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allestriero\OneDrive\FINANZA\Sperimentazioni\Risparmi\"/>
    </mc:Choice>
  </mc:AlternateContent>
  <xr:revisionPtr revIDLastSave="0" documentId="8_{8F8FD8D8-5FE2-4C9F-98E3-E3B1CD6977E8}" xr6:coauthVersionLast="47" xr6:coauthVersionMax="47" xr10:uidLastSave="{00000000-0000-0000-0000-000000000000}"/>
  <bookViews>
    <workbookView xWindow="-120" yWindow="-120" windowWidth="38640" windowHeight="21120" tabRatio="748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CC'!$A$1:$K$2508</definedName>
    <definedName name="_xlnm._FilterDatabase" localSheetId="15" hidden="1">'SPESE COINTESTATO'!$A$1:$AD$464</definedName>
    <definedName name="_xlnm._FilterDatabase" localSheetId="3" hidden="1">'Spese Generiche BANCOMAT '!$A$1:$K$145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4"/>
    <pivotCache cacheId="1" r:id="rId25"/>
    <pivotCache cacheId="2" r:id="rId26"/>
    <pivotCache cacheId="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F2" i="2" s="1"/>
  <c r="E3" i="2"/>
  <c r="F3" i="2" s="1"/>
  <c r="D3" i="2"/>
  <c r="E4" i="2"/>
  <c r="D4" i="2"/>
  <c r="F4" i="2" s="1"/>
  <c r="E5" i="2"/>
  <c r="D5" i="2"/>
  <c r="E6" i="2"/>
  <c r="D6" i="2"/>
  <c r="F6" i="2" s="1"/>
  <c r="E7" i="2"/>
  <c r="D7" i="2"/>
  <c r="E8" i="2"/>
  <c r="D8" i="2"/>
  <c r="E10" i="2"/>
  <c r="D10" i="2"/>
  <c r="E11" i="2"/>
  <c r="D11" i="2"/>
  <c r="AU18" i="1"/>
  <c r="BC16" i="1"/>
  <c r="BB16" i="1"/>
  <c r="E12" i="2"/>
  <c r="D12" i="2"/>
  <c r="E9" i="2"/>
  <c r="D9" i="2"/>
  <c r="F9" i="2" l="1"/>
  <c r="F12" i="2"/>
  <c r="F5" i="2"/>
  <c r="F8" i="2"/>
  <c r="F7" i="2"/>
  <c r="F10" i="2"/>
  <c r="F11" i="2"/>
  <c r="M19" i="27"/>
  <c r="N19" i="27"/>
  <c r="O19" i="27"/>
  <c r="P19" i="27"/>
  <c r="R19" i="27"/>
  <c r="Q19" i="27"/>
  <c r="CU11" i="1"/>
  <c r="B36" i="42" l="1"/>
  <c r="CS30" i="1"/>
  <c r="B1" i="42"/>
  <c r="B8" i="42"/>
  <c r="CR24" i="1"/>
  <c r="E13" i="2"/>
  <c r="D13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E2" i="12"/>
  <c r="D14" i="2"/>
  <c r="D15" i="2"/>
  <c r="D16" i="2"/>
  <c r="D17" i="2"/>
  <c r="D18" i="2"/>
  <c r="D19" i="2"/>
  <c r="D20" i="2"/>
  <c r="D21" i="2"/>
  <c r="E21" i="2"/>
  <c r="E20" i="2"/>
  <c r="E19" i="2"/>
  <c r="E18" i="2"/>
  <c r="E17" i="2"/>
  <c r="E16" i="2"/>
  <c r="E15" i="2"/>
  <c r="E14" i="2"/>
  <c r="F2" i="12" l="1"/>
  <c r="F15" i="2"/>
  <c r="F16" i="2"/>
  <c r="C12" i="42"/>
  <c r="C8" i="42"/>
  <c r="F19" i="2"/>
  <c r="F13" i="2"/>
  <c r="F18" i="2"/>
  <c r="F17" i="2"/>
  <c r="F14" i="2"/>
  <c r="F21" i="2"/>
  <c r="F20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F247" i="12" s="1"/>
  <c r="D248" i="12"/>
  <c r="F248" i="12" s="1"/>
  <c r="D249" i="12"/>
  <c r="F249" i="12" s="1"/>
  <c r="D250" i="12"/>
  <c r="F250" i="12" s="1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F257" i="12" s="1"/>
  <c r="D258" i="12"/>
  <c r="F258" i="12" s="1"/>
  <c r="D259" i="12"/>
  <c r="F259" i="12" s="1"/>
  <c r="D260" i="12"/>
  <c r="F260" i="12" s="1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F283" i="12" s="1"/>
  <c r="D284" i="12"/>
  <c r="F284" i="12" s="1"/>
  <c r="D285" i="12"/>
  <c r="F285" i="12" s="1"/>
  <c r="D286" i="12"/>
  <c r="F286" i="12" s="1"/>
  <c r="D287" i="12"/>
  <c r="F287" i="12" s="1"/>
  <c r="D288" i="12"/>
  <c r="F288" i="12" s="1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F329" i="12" s="1"/>
  <c r="D330" i="12"/>
  <c r="F330" i="12" s="1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F355" i="12" s="1"/>
  <c r="D356" i="12"/>
  <c r="F356" i="12" s="1"/>
  <c r="D357" i="12"/>
  <c r="F357" i="12" s="1"/>
  <c r="D358" i="12"/>
  <c r="F358" i="12" s="1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F381" i="12" s="1"/>
  <c r="D382" i="12"/>
  <c r="F382" i="12" s="1"/>
  <c r="D383" i="12"/>
  <c r="F383" i="12" s="1"/>
  <c r="D384" i="12"/>
  <c r="F384" i="12" s="1"/>
  <c r="D385" i="12"/>
  <c r="F385" i="12" s="1"/>
  <c r="D386" i="12"/>
  <c r="F386" i="12" s="1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F427" i="12" s="1"/>
  <c r="D428" i="12"/>
  <c r="F428" i="12" s="1"/>
  <c r="D429" i="12"/>
  <c r="F429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30" i="12"/>
  <c r="F130" i="12" s="1"/>
  <c r="E131" i="12"/>
  <c r="F131" i="12" s="1"/>
  <c r="E132" i="12"/>
  <c r="E133" i="12"/>
  <c r="E134" i="12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2" i="2"/>
  <c r="E23" i="2"/>
  <c r="F23" i="2" s="1"/>
  <c r="E24" i="2"/>
  <c r="F24" i="2" s="1"/>
  <c r="E25" i="2"/>
  <c r="F25" i="2" s="1"/>
  <c r="E26" i="2"/>
  <c r="F26" i="2" s="1"/>
  <c r="E27" i="2"/>
  <c r="F27" i="2" s="1"/>
  <c r="E28" i="2"/>
  <c r="E29" i="2"/>
  <c r="E30" i="2"/>
  <c r="E32" i="2"/>
  <c r="F32" i="2" s="1"/>
  <c r="E31" i="2"/>
  <c r="E35" i="2"/>
  <c r="E34" i="2"/>
  <c r="E33" i="2"/>
  <c r="CS63" i="1"/>
  <c r="C47" i="10"/>
  <c r="BU71" i="11"/>
  <c r="BV71" i="11"/>
  <c r="E36" i="2"/>
  <c r="F36" i="2" s="1"/>
  <c r="M13" i="15" l="1"/>
  <c r="F134" i="12"/>
  <c r="F132" i="12"/>
  <c r="F133" i="12"/>
  <c r="F22" i="2"/>
  <c r="F30" i="2"/>
  <c r="F28" i="2"/>
  <c r="F29" i="2"/>
  <c r="F35" i="2"/>
  <c r="F31" i="2"/>
  <c r="F33" i="2"/>
  <c r="F34" i="2"/>
  <c r="E37" i="2"/>
  <c r="E38" i="2"/>
  <c r="F38" i="2" s="1"/>
  <c r="E42" i="2"/>
  <c r="E41" i="2"/>
  <c r="E40" i="2"/>
  <c r="E39" i="2"/>
  <c r="E43" i="2"/>
  <c r="E44" i="2"/>
  <c r="E45" i="2"/>
  <c r="E46" i="2"/>
  <c r="E47" i="2"/>
  <c r="BX72" i="11"/>
  <c r="CT11" i="1"/>
  <c r="CT13" i="1"/>
  <c r="CT16" i="1"/>
  <c r="CU25" i="1"/>
  <c r="CR25" i="1"/>
  <c r="CS25" i="1"/>
  <c r="CT25" i="1"/>
  <c r="E48" i="2"/>
  <c r="E49" i="2"/>
  <c r="E50" i="2"/>
  <c r="E51" i="2"/>
  <c r="E52" i="2"/>
  <c r="E57" i="2"/>
  <c r="E58" i="2"/>
  <c r="E53" i="2"/>
  <c r="E54" i="2"/>
  <c r="G55" i="2"/>
  <c r="E55" i="2"/>
  <c r="E56" i="2"/>
  <c r="E8" i="10"/>
  <c r="E6" i="10"/>
  <c r="E5" i="10"/>
  <c r="C5" i="10"/>
  <c r="E61" i="2"/>
  <c r="E60" i="2"/>
  <c r="E59" i="2"/>
  <c r="E62" i="2"/>
  <c r="E63" i="2"/>
  <c r="E64" i="2"/>
  <c r="E65" i="2"/>
  <c r="E66" i="2"/>
  <c r="E67" i="2"/>
  <c r="E68" i="2"/>
  <c r="E69" i="2"/>
  <c r="E70" i="2"/>
  <c r="E71" i="2"/>
  <c r="E72" i="2"/>
  <c r="CR63" i="1"/>
  <c r="E73" i="2"/>
  <c r="E81" i="2"/>
  <c r="E74" i="2"/>
  <c r="E75" i="2"/>
  <c r="E76" i="2"/>
  <c r="CQ22" i="1"/>
  <c r="CQ23" i="1"/>
  <c r="E77" i="2"/>
  <c r="E78" i="2"/>
  <c r="E79" i="2"/>
  <c r="E80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CQ28" i="1"/>
  <c r="CS48" i="1"/>
  <c r="CR48" i="1"/>
  <c r="G96" i="2"/>
  <c r="E96" i="2"/>
  <c r="E97" i="2"/>
  <c r="E98" i="2"/>
  <c r="E99" i="2"/>
  <c r="E100" i="2"/>
  <c r="E101" i="2"/>
  <c r="E102" i="2"/>
  <c r="E103" i="2"/>
  <c r="E105" i="2"/>
  <c r="E104" i="2"/>
  <c r="E106" i="2"/>
  <c r="E108" i="2"/>
  <c r="E107" i="2"/>
  <c r="E110" i="2"/>
  <c r="E109" i="2"/>
  <c r="E111" i="2"/>
  <c r="E112" i="2"/>
  <c r="E113" i="2"/>
  <c r="CQ25" i="1"/>
  <c r="CP25" i="1"/>
  <c r="E121" i="2"/>
  <c r="E114" i="2"/>
  <c r="E115" i="2"/>
  <c r="E116" i="2"/>
  <c r="E117" i="2"/>
  <c r="E118" i="2"/>
  <c r="E119" i="2"/>
  <c r="E120" i="2"/>
  <c r="E122" i="2"/>
  <c r="E123" i="2"/>
  <c r="E124" i="2"/>
  <c r="E125" i="2"/>
  <c r="E126" i="2"/>
  <c r="E128" i="2"/>
  <c r="E127" i="2"/>
  <c r="E129" i="2"/>
  <c r="E131" i="2"/>
  <c r="H113" i="11"/>
  <c r="CP28" i="1"/>
  <c r="E130" i="2"/>
  <c r="H47" i="6"/>
  <c r="E139" i="2"/>
  <c r="E132" i="2"/>
  <c r="E133" i="2"/>
  <c r="E134" i="2"/>
  <c r="E135" i="2"/>
  <c r="E3" i="12"/>
  <c r="E136" i="2"/>
  <c r="E137" i="2"/>
  <c r="E138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37" i="2"/>
  <c r="F40" i="2"/>
  <c r="F42" i="2"/>
  <c r="F39" i="2"/>
  <c r="F52" i="2"/>
  <c r="F41" i="2"/>
  <c r="F43" i="2"/>
  <c r="F46" i="2"/>
  <c r="F44" i="2"/>
  <c r="F47" i="2"/>
  <c r="F48" i="2"/>
  <c r="F45" i="2"/>
  <c r="F58" i="2"/>
  <c r="F51" i="2"/>
  <c r="F49" i="2"/>
  <c r="F61" i="2"/>
  <c r="F50" i="2"/>
  <c r="F57" i="2"/>
  <c r="F63" i="2"/>
  <c r="F56" i="2"/>
  <c r="F53" i="2"/>
  <c r="F55" i="2"/>
  <c r="F54" i="2"/>
  <c r="F60" i="2"/>
  <c r="F65" i="2"/>
  <c r="F59" i="2"/>
  <c r="F62" i="2"/>
  <c r="F71" i="2"/>
  <c r="F64" i="2"/>
  <c r="F66" i="2"/>
  <c r="F76" i="2"/>
  <c r="F67" i="2"/>
  <c r="F68" i="2"/>
  <c r="F77" i="2"/>
  <c r="F69" i="2"/>
  <c r="F70" i="2"/>
  <c r="F82" i="2"/>
  <c r="F75" i="2"/>
  <c r="F72" i="2"/>
  <c r="F73" i="2"/>
  <c r="F79" i="2"/>
  <c r="F81" i="2"/>
  <c r="F78" i="2"/>
  <c r="F74" i="2"/>
  <c r="F95" i="2"/>
  <c r="F88" i="2"/>
  <c r="F80" i="2"/>
  <c r="F90" i="2"/>
  <c r="F83" i="2"/>
  <c r="F86" i="2"/>
  <c r="F91" i="2"/>
  <c r="F85" i="2"/>
  <c r="F94" i="2"/>
  <c r="F87" i="2"/>
  <c r="F84" i="2"/>
  <c r="F89" i="2"/>
  <c r="F92" i="2"/>
  <c r="F93" i="2"/>
  <c r="F96" i="2"/>
  <c r="F97" i="2"/>
  <c r="F98" i="2"/>
  <c r="F110" i="2"/>
  <c r="F102" i="2"/>
  <c r="F105" i="2"/>
  <c r="F99" i="2"/>
  <c r="F103" i="2"/>
  <c r="F100" i="2"/>
  <c r="F121" i="2"/>
  <c r="F107" i="2"/>
  <c r="F101" i="2"/>
  <c r="F104" i="2"/>
  <c r="F109" i="2"/>
  <c r="F106" i="2"/>
  <c r="F108" i="2"/>
  <c r="F113" i="2"/>
  <c r="F111" i="2"/>
  <c r="F112" i="2"/>
  <c r="F116" i="2"/>
  <c r="F117" i="2"/>
  <c r="F115" i="2"/>
  <c r="F114" i="2"/>
  <c r="F118" i="2"/>
  <c r="F119" i="2"/>
  <c r="F120" i="2"/>
  <c r="F123" i="2"/>
  <c r="F122" i="2"/>
  <c r="F125" i="2"/>
  <c r="F124" i="2"/>
  <c r="F126" i="2"/>
  <c r="F128" i="2"/>
  <c r="F127" i="2"/>
  <c r="F129" i="2"/>
  <c r="F131" i="2"/>
  <c r="F133" i="2"/>
  <c r="F130" i="2"/>
  <c r="F139" i="2"/>
  <c r="F132" i="2"/>
  <c r="F135" i="2"/>
  <c r="F134" i="2"/>
  <c r="F136" i="2"/>
  <c r="F137" i="2"/>
  <c r="F138" i="2"/>
  <c r="BT51" i="11"/>
  <c r="BT54" i="11"/>
  <c r="BU54" i="11" s="1"/>
  <c r="E140" i="2"/>
  <c r="E141" i="2"/>
  <c r="E142" i="2"/>
  <c r="E143" i="2"/>
  <c r="E144" i="2"/>
  <c r="K11" i="9"/>
  <c r="J43" i="9"/>
  <c r="F140" i="2" l="1"/>
  <c r="F141" i="2"/>
  <c r="BU57" i="11"/>
  <c r="BU56" i="11"/>
  <c r="BU55" i="11"/>
  <c r="BU53" i="11"/>
  <c r="F144" i="2"/>
  <c r="F142" i="2"/>
  <c r="F143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45" i="2"/>
  <c r="E146" i="2"/>
  <c r="E147" i="2"/>
  <c r="C18" i="10" l="1"/>
  <c r="H6" i="41"/>
  <c r="H7" i="41"/>
  <c r="G8" i="41"/>
  <c r="G6" i="41"/>
  <c r="G7" i="41"/>
  <c r="H8" i="41"/>
  <c r="F145" i="2"/>
  <c r="F146" i="2"/>
  <c r="F147" i="2"/>
  <c r="E148" i="2"/>
  <c r="E150" i="2"/>
  <c r="E149" i="2"/>
  <c r="E151" i="2"/>
  <c r="E152" i="2"/>
  <c r="E153" i="2"/>
  <c r="E154" i="2"/>
  <c r="CQ13" i="1"/>
  <c r="E4" i="12"/>
  <c r="E5" i="12"/>
  <c r="F5" i="12" s="1"/>
  <c r="E6" i="12"/>
  <c r="F6" i="12" s="1"/>
  <c r="E7" i="12"/>
  <c r="F7" i="12" s="1"/>
  <c r="E155" i="2"/>
  <c r="E156" i="2"/>
  <c r="E157" i="2"/>
  <c r="E158" i="2"/>
  <c r="E159" i="2"/>
  <c r="E160" i="2"/>
  <c r="E161" i="2"/>
  <c r="E162" i="2"/>
  <c r="E163" i="2"/>
  <c r="E181" i="2"/>
  <c r="E183" i="2"/>
  <c r="E184" i="2"/>
  <c r="E185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65" i="2"/>
  <c r="E164" i="2"/>
  <c r="E166" i="2"/>
  <c r="E167" i="2"/>
  <c r="E168" i="2"/>
  <c r="E169" i="2"/>
  <c r="E170" i="2"/>
  <c r="E171" i="2"/>
  <c r="E172" i="2"/>
  <c r="E173" i="2"/>
  <c r="E174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41" i="2"/>
  <c r="E289" i="2"/>
  <c r="E175" i="2"/>
  <c r="E176" i="2"/>
  <c r="E177" i="2"/>
  <c r="E14" i="12"/>
  <c r="F14" i="12" s="1"/>
  <c r="E15" i="12"/>
  <c r="F15" i="12" s="1"/>
  <c r="E19" i="12"/>
  <c r="F19" i="12" s="1"/>
  <c r="E16" i="12"/>
  <c r="F16" i="12" s="1"/>
  <c r="E17" i="12"/>
  <c r="F17" i="12" s="1"/>
  <c r="E178" i="2"/>
  <c r="E179" i="2"/>
  <c r="E180" i="2"/>
  <c r="E182" i="2"/>
  <c r="E187" i="2"/>
  <c r="E186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88" i="2"/>
  <c r="E189" i="2"/>
  <c r="E190" i="2"/>
  <c r="E191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CO30" i="1"/>
  <c r="E213" i="2"/>
  <c r="E212" i="2"/>
  <c r="E214" i="2"/>
  <c r="E215" i="2"/>
  <c r="E216" i="2"/>
  <c r="E221" i="2"/>
  <c r="E217" i="2"/>
  <c r="BR51" i="11"/>
  <c r="E218" i="2"/>
  <c r="CO21" i="1"/>
  <c r="E219" i="2"/>
  <c r="E220" i="2"/>
  <c r="E224" i="2"/>
  <c r="E222" i="2"/>
  <c r="E223" i="2"/>
  <c r="E226" i="2"/>
  <c r="E225" i="2"/>
  <c r="E229" i="2"/>
  <c r="E228" i="2"/>
  <c r="E227" i="2"/>
  <c r="E230" i="2"/>
  <c r="E231" i="2"/>
  <c r="E232" i="2"/>
  <c r="E233" i="2"/>
  <c r="E234" i="2"/>
  <c r="F6" i="10"/>
  <c r="G6" i="10" s="1"/>
  <c r="E242" i="2"/>
  <c r="E243" i="2"/>
  <c r="E235" i="2"/>
  <c r="E239" i="2"/>
  <c r="E236" i="2"/>
  <c r="E237" i="2"/>
  <c r="E238" i="2"/>
  <c r="E244" i="2"/>
  <c r="E245" i="2"/>
  <c r="E246" i="2"/>
  <c r="E247" i="2"/>
  <c r="E248" i="2"/>
  <c r="E249" i="2"/>
  <c r="CN30" i="1"/>
  <c r="I25" i="1"/>
  <c r="Q25" i="1" s="1"/>
  <c r="H11" i="41" s="1"/>
  <c r="H25" i="1"/>
  <c r="P25" i="1" s="1"/>
  <c r="G11" i="41" s="1"/>
  <c r="E251" i="2"/>
  <c r="E250" i="2"/>
  <c r="BT14" i="11"/>
  <c r="BT15" i="11"/>
  <c r="BS24" i="11"/>
  <c r="E254" i="2"/>
  <c r="E253" i="2"/>
  <c r="E252" i="2"/>
  <c r="E257" i="2"/>
  <c r="E256" i="2"/>
  <c r="E255" i="2"/>
  <c r="E259" i="2"/>
  <c r="E260" i="2"/>
  <c r="E261" i="2"/>
  <c r="E240" i="2"/>
  <c r="E258" i="2"/>
  <c r="E262" i="2"/>
  <c r="E263" i="2"/>
  <c r="E264" i="2"/>
  <c r="E265" i="2"/>
  <c r="E266" i="2"/>
  <c r="E267" i="2"/>
  <c r="E272" i="2"/>
  <c r="E268" i="2"/>
  <c r="E270" i="2"/>
  <c r="E269" i="2"/>
  <c r="E271" i="2"/>
  <c r="E273" i="2"/>
  <c r="E274" i="2"/>
  <c r="E275" i="2"/>
  <c r="E276" i="2"/>
  <c r="CD63" i="1"/>
  <c r="CD45" i="1"/>
  <c r="CD46" i="1"/>
  <c r="CO63" i="1"/>
  <c r="E277" i="2"/>
  <c r="E278" i="2"/>
  <c r="E279" i="2"/>
  <c r="BT9" i="11"/>
  <c r="BT40" i="11" s="1"/>
  <c r="E280" i="2"/>
  <c r="E281" i="2"/>
  <c r="E282" i="2"/>
  <c r="E283" i="2"/>
  <c r="E284" i="2"/>
  <c r="H28" i="9"/>
  <c r="E285" i="2"/>
  <c r="E286" i="2"/>
  <c r="E287" i="2"/>
  <c r="E288" i="2"/>
  <c r="E290" i="2"/>
  <c r="E291" i="2"/>
  <c r="F291" i="2" s="1"/>
  <c r="D72" i="11"/>
  <c r="I67" i="11"/>
  <c r="I59" i="11"/>
  <c r="E292" i="2"/>
  <c r="CR30" i="1"/>
  <c r="CR69" i="1" s="1"/>
  <c r="CW30" i="1"/>
  <c r="E293" i="2"/>
  <c r="E294" i="2"/>
  <c r="E295" i="2"/>
  <c r="E296" i="2"/>
  <c r="E297" i="2"/>
  <c r="E298" i="2"/>
  <c r="E299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00" i="2"/>
  <c r="E301" i="2"/>
  <c r="E302" i="2"/>
  <c r="E303" i="2"/>
  <c r="E304" i="2"/>
  <c r="D18" i="10"/>
  <c r="E18" i="10" s="1"/>
  <c r="E305" i="2"/>
  <c r="E308" i="2"/>
  <c r="E307" i="2"/>
  <c r="E306" i="2"/>
  <c r="CM24" i="1"/>
  <c r="D75" i="15" s="1"/>
  <c r="E311" i="2"/>
  <c r="E310" i="2"/>
  <c r="E309" i="2"/>
  <c r="E312" i="2"/>
  <c r="E313" i="2"/>
  <c r="E314" i="2"/>
  <c r="BS71" i="11"/>
  <c r="BR71" i="11"/>
  <c r="CD73" i="11"/>
  <c r="BQ71" i="11"/>
  <c r="E320" i="2"/>
  <c r="CM16" i="1"/>
  <c r="CL28" i="1"/>
  <c r="CM28" i="1"/>
  <c r="CM30" i="1"/>
  <c r="CM69" i="1" s="1"/>
  <c r="E315" i="2"/>
  <c r="E316" i="2"/>
  <c r="E317" i="2"/>
  <c r="E318" i="2"/>
  <c r="E319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4" i="2"/>
  <c r="E335" i="2"/>
  <c r="E336" i="2"/>
  <c r="E333" i="2"/>
  <c r="E337" i="2"/>
  <c r="E338" i="2"/>
  <c r="E339" i="2"/>
  <c r="E340" i="2"/>
  <c r="E341" i="2"/>
  <c r="E342" i="2"/>
  <c r="E343" i="2"/>
  <c r="E344" i="2"/>
  <c r="E346" i="2"/>
  <c r="E347" i="2"/>
  <c r="E345" i="2"/>
  <c r="E348" i="2"/>
  <c r="E369" i="2"/>
  <c r="E370" i="2"/>
  <c r="E349" i="2"/>
  <c r="E350" i="2"/>
  <c r="E351" i="2"/>
  <c r="E352" i="2"/>
  <c r="E353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54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55" i="2"/>
  <c r="BR54" i="11"/>
  <c r="BR9" i="11"/>
  <c r="BO71" i="11"/>
  <c r="CA73" i="11"/>
  <c r="BP71" i="11"/>
  <c r="E356" i="2"/>
  <c r="E357" i="2"/>
  <c r="E358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59" i="2"/>
  <c r="E360" i="2"/>
  <c r="E361" i="2"/>
  <c r="E362" i="2"/>
  <c r="E377" i="2"/>
  <c r="E363" i="2"/>
  <c r="E364" i="2"/>
  <c r="E365" i="2"/>
  <c r="E366" i="2"/>
  <c r="E367" i="2"/>
  <c r="E368" i="2"/>
  <c r="E371" i="2"/>
  <c r="E378" i="2"/>
  <c r="E372" i="2"/>
  <c r="E373" i="2"/>
  <c r="E374" i="2"/>
  <c r="E375" i="2"/>
  <c r="E376" i="2"/>
  <c r="E379" i="2"/>
  <c r="E381" i="2"/>
  <c r="E380" i="2"/>
  <c r="L13" i="9"/>
  <c r="L7" i="9"/>
  <c r="T12" i="9"/>
  <c r="E383" i="2"/>
  <c r="E382" i="2"/>
  <c r="E384" i="2"/>
  <c r="E385" i="2"/>
  <c r="E386" i="2"/>
  <c r="E388" i="2"/>
  <c r="E387" i="2"/>
  <c r="E389" i="2"/>
  <c r="E390" i="2"/>
  <c r="E391" i="2"/>
  <c r="E392" i="2"/>
  <c r="E393" i="2"/>
  <c r="E394" i="2"/>
  <c r="E395" i="2"/>
  <c r="E396" i="2"/>
  <c r="E397" i="2"/>
  <c r="E398" i="2"/>
  <c r="E399" i="2"/>
  <c r="CM63" i="1"/>
  <c r="CM80" i="1" s="1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CM59" i="1"/>
  <c r="CM58" i="1"/>
  <c r="E74" i="15" s="1"/>
  <c r="CL16" i="1"/>
  <c r="E425" i="2"/>
  <c r="E426" i="2"/>
  <c r="E427" i="2"/>
  <c r="E428" i="2"/>
  <c r="E429" i="2"/>
  <c r="CK24" i="1"/>
  <c r="D73" i="15" s="1"/>
  <c r="E430" i="2"/>
  <c r="E431" i="2"/>
  <c r="E432" i="2"/>
  <c r="E433" i="2"/>
  <c r="E434" i="2"/>
  <c r="E437" i="2"/>
  <c r="E436" i="2"/>
  <c r="E438" i="2"/>
  <c r="E435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39" i="2"/>
  <c r="CL59" i="1"/>
  <c r="F72" i="15" s="1"/>
  <c r="CL58" i="1"/>
  <c r="E73" i="15" s="1"/>
  <c r="S9" i="9"/>
  <c r="E486" i="2"/>
  <c r="G455" i="2"/>
  <c r="CL61" i="1"/>
  <c r="G456" i="2"/>
  <c r="E492" i="2"/>
  <c r="E493" i="2"/>
  <c r="E476" i="2"/>
  <c r="E477" i="2"/>
  <c r="E495" i="2"/>
  <c r="E494" i="2"/>
  <c r="E491" i="2"/>
  <c r="E440" i="2"/>
  <c r="E441" i="2"/>
  <c r="CK59" i="1"/>
  <c r="F71" i="15" s="1"/>
  <c r="CK58" i="1"/>
  <c r="E72" i="15" s="1"/>
  <c r="E442" i="2"/>
  <c r="E443" i="2"/>
  <c r="E444" i="2"/>
  <c r="E445" i="2"/>
  <c r="E446" i="2"/>
  <c r="E455" i="2"/>
  <c r="E447" i="2"/>
  <c r="E448" i="2"/>
  <c r="E449" i="2"/>
  <c r="E450" i="2"/>
  <c r="E451" i="2"/>
  <c r="E452" i="2"/>
  <c r="E453" i="2"/>
  <c r="E454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8" i="2"/>
  <c r="E479" i="2"/>
  <c r="E480" i="2"/>
  <c r="E481" i="2"/>
  <c r="G507" i="2"/>
  <c r="G508" i="2"/>
  <c r="G506" i="2"/>
  <c r="G505" i="2"/>
  <c r="E482" i="2"/>
  <c r="E483" i="2"/>
  <c r="E484" i="2"/>
  <c r="E485" i="2"/>
  <c r="E487" i="2"/>
  <c r="E488" i="2"/>
  <c r="E489" i="2"/>
  <c r="E490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1" i="2"/>
  <c r="E510" i="2"/>
  <c r="E512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13" i="2"/>
  <c r="E514" i="2"/>
  <c r="E515" i="2"/>
  <c r="E516" i="2"/>
  <c r="E517" i="2"/>
  <c r="CI80" i="1"/>
  <c r="E518" i="2"/>
  <c r="E519" i="2"/>
  <c r="E582" i="2"/>
  <c r="E576" i="2"/>
  <c r="E578" i="2"/>
  <c r="E566" i="2"/>
  <c r="E520" i="2"/>
  <c r="E521" i="2"/>
  <c r="E522" i="2"/>
  <c r="E523" i="2"/>
  <c r="E524" i="2"/>
  <c r="E525" i="2"/>
  <c r="E526" i="2"/>
  <c r="S12" i="9"/>
  <c r="S14" i="9" s="1"/>
  <c r="S15" i="9" s="1"/>
  <c r="E527" i="2"/>
  <c r="CK16" i="1"/>
  <c r="E528" i="2"/>
  <c r="E529" i="2"/>
  <c r="E530" i="2"/>
  <c r="E531" i="2"/>
  <c r="E532" i="2"/>
  <c r="E533" i="2"/>
  <c r="E534" i="2"/>
  <c r="E535" i="2"/>
  <c r="E536" i="2"/>
  <c r="E537" i="2"/>
  <c r="E538" i="2"/>
  <c r="E551" i="2"/>
  <c r="E539" i="2"/>
  <c r="E540" i="2"/>
  <c r="BN28" i="11"/>
  <c r="CB31" i="11"/>
  <c r="E541" i="2"/>
  <c r="CJ16" i="1"/>
  <c r="T9" i="9"/>
  <c r="T19" i="9"/>
  <c r="E542" i="2"/>
  <c r="E543" i="2"/>
  <c r="E544" i="2"/>
  <c r="E545" i="2"/>
  <c r="E546" i="2"/>
  <c r="E547" i="2"/>
  <c r="E548" i="2"/>
  <c r="E549" i="2"/>
  <c r="E550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7" i="2"/>
  <c r="E568" i="2"/>
  <c r="E569" i="2"/>
  <c r="CJ59" i="1"/>
  <c r="CJ58" i="1"/>
  <c r="E71" i="15" s="1"/>
  <c r="E570" i="2"/>
  <c r="V84" i="9"/>
  <c r="CI59" i="1"/>
  <c r="F69" i="15" s="1"/>
  <c r="E571" i="2"/>
  <c r="E572" i="2"/>
  <c r="E573" i="2"/>
  <c r="CI16" i="1"/>
  <c r="E574" i="2"/>
  <c r="E575" i="2"/>
  <c r="E577" i="2"/>
  <c r="E595" i="2"/>
  <c r="E593" i="2"/>
  <c r="E579" i="2"/>
  <c r="E580" i="2"/>
  <c r="E581" i="2"/>
  <c r="E583" i="2"/>
  <c r="E584" i="2"/>
  <c r="E585" i="2"/>
  <c r="E600" i="2"/>
  <c r="E586" i="2"/>
  <c r="E587" i="2"/>
  <c r="E588" i="2"/>
  <c r="E589" i="2"/>
  <c r="E590" i="2"/>
  <c r="E591" i="2"/>
  <c r="E594" i="2"/>
  <c r="E601" i="2"/>
  <c r="E599" i="2"/>
  <c r="E602" i="2"/>
  <c r="E598" i="2"/>
  <c r="E597" i="2"/>
  <c r="E596" i="2"/>
  <c r="E592" i="2"/>
  <c r="E621" i="2"/>
  <c r="E604" i="2"/>
  <c r="E605" i="2"/>
  <c r="E606" i="2"/>
  <c r="E607" i="2"/>
  <c r="E608" i="2"/>
  <c r="E609" i="2"/>
  <c r="E610" i="2"/>
  <c r="E612" i="2"/>
  <c r="E613" i="2"/>
  <c r="E614" i="2"/>
  <c r="E611" i="2"/>
  <c r="E615" i="2"/>
  <c r="E616" i="2"/>
  <c r="E617" i="2"/>
  <c r="E618" i="2"/>
  <c r="E619" i="2"/>
  <c r="E620" i="2"/>
  <c r="E622" i="2"/>
  <c r="E623" i="2"/>
  <c r="CA28" i="1"/>
  <c r="CA80" i="1" s="1"/>
  <c r="E624" i="2"/>
  <c r="E625" i="2"/>
  <c r="E626" i="2"/>
  <c r="E627" i="2"/>
  <c r="CI58" i="1"/>
  <c r="E70" i="15" s="1"/>
  <c r="E628" i="2"/>
  <c r="E629" i="2"/>
  <c r="E641" i="2"/>
  <c r="E633" i="2"/>
  <c r="E630" i="2"/>
  <c r="E631" i="2"/>
  <c r="E632" i="2"/>
  <c r="E634" i="2"/>
  <c r="E635" i="2"/>
  <c r="E636" i="2"/>
  <c r="E637" i="2"/>
  <c r="E638" i="2"/>
  <c r="E639" i="2"/>
  <c r="E646" i="2"/>
  <c r="E603" i="2"/>
  <c r="E640" i="2"/>
  <c r="E642" i="2"/>
  <c r="H49" i="1"/>
  <c r="P49" i="1"/>
  <c r="G19" i="40" s="1"/>
  <c r="E643" i="2"/>
  <c r="E644" i="2"/>
  <c r="E645" i="2"/>
  <c r="E647" i="2"/>
  <c r="E648" i="2"/>
  <c r="E649" i="2"/>
  <c r="E650" i="2"/>
  <c r="BK36" i="11"/>
  <c r="M30" i="11"/>
  <c r="W30" i="11"/>
  <c r="BI25" i="11"/>
  <c r="AC25" i="11"/>
  <c r="E651" i="2"/>
  <c r="E652" i="2"/>
  <c r="E653" i="2"/>
  <c r="CG28" i="1"/>
  <c r="CG30" i="1" s="1"/>
  <c r="CG69" i="1" s="1"/>
  <c r="E654" i="2"/>
  <c r="CH63" i="1"/>
  <c r="CH80" i="1" s="1"/>
  <c r="E655" i="2"/>
  <c r="E656" i="2"/>
  <c r="E657" i="2"/>
  <c r="E658" i="2"/>
  <c r="E659" i="2"/>
  <c r="E660" i="2"/>
  <c r="E661" i="2"/>
  <c r="E662" i="2"/>
  <c r="E663" i="2"/>
  <c r="E664" i="2"/>
  <c r="E665" i="2"/>
  <c r="E667" i="2"/>
  <c r="E666" i="2"/>
  <c r="E668" i="2"/>
  <c r="E669" i="2"/>
  <c r="E670" i="2"/>
  <c r="E671" i="2"/>
  <c r="E672" i="2"/>
  <c r="E673" i="2"/>
  <c r="E674" i="2"/>
  <c r="E677" i="2"/>
  <c r="E675" i="2"/>
  <c r="E676" i="2"/>
  <c r="E678" i="2"/>
  <c r="E679" i="2"/>
  <c r="E680" i="2"/>
  <c r="E681" i="2"/>
  <c r="E682" i="2"/>
  <c r="E683" i="2"/>
  <c r="E684" i="2"/>
  <c r="E686" i="2"/>
  <c r="E687" i="2"/>
  <c r="E685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BL9" i="11"/>
  <c r="BM9" i="11" s="1"/>
  <c r="BJ9" i="11"/>
  <c r="BH36" i="11"/>
  <c r="C52" i="10"/>
  <c r="E716" i="2"/>
  <c r="E717" i="2"/>
  <c r="E718" i="2"/>
  <c r="E719" i="2"/>
  <c r="E720" i="2"/>
  <c r="E721" i="2"/>
  <c r="E713" i="2"/>
  <c r="H90" i="6"/>
  <c r="E714" i="2"/>
  <c r="E715" i="2"/>
  <c r="E722" i="2"/>
  <c r="E723" i="2"/>
  <c r="E724" i="2"/>
  <c r="E725" i="2"/>
  <c r="CF77" i="1"/>
  <c r="E726" i="2"/>
  <c r="F726" i="2" s="1"/>
  <c r="E727" i="2"/>
  <c r="E728" i="2"/>
  <c r="E729" i="2"/>
  <c r="E730" i="2"/>
  <c r="E731" i="2"/>
  <c r="F731" i="2" s="1"/>
  <c r="E732" i="2"/>
  <c r="E733" i="2"/>
  <c r="E734" i="2"/>
  <c r="E735" i="2"/>
  <c r="E736" i="2"/>
  <c r="E737" i="2"/>
  <c r="E738" i="2"/>
  <c r="E739" i="2"/>
  <c r="E740" i="2"/>
  <c r="F740" i="2" s="1"/>
  <c r="E741" i="2"/>
  <c r="E742" i="2"/>
  <c r="E756" i="2"/>
  <c r="E743" i="2"/>
  <c r="E744" i="2"/>
  <c r="E745" i="2"/>
  <c r="E746" i="2"/>
  <c r="E747" i="2"/>
  <c r="E748" i="2"/>
  <c r="E749" i="2"/>
  <c r="E750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51" i="2"/>
  <c r="E752" i="2"/>
  <c r="E753" i="2"/>
  <c r="E754" i="2"/>
  <c r="E755" i="2"/>
  <c r="E758" i="2"/>
  <c r="E757" i="2"/>
  <c r="E759" i="2"/>
  <c r="E760" i="2"/>
  <c r="E761" i="2"/>
  <c r="H111" i="6"/>
  <c r="E765" i="2"/>
  <c r="CF59" i="1"/>
  <c r="H59" i="1" s="1"/>
  <c r="Q4" i="10" s="1"/>
  <c r="Q9" i="10" s="1"/>
  <c r="E763" i="2"/>
  <c r="E764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CF58" i="1"/>
  <c r="E67" i="15" s="1"/>
  <c r="E762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13" i="2"/>
  <c r="E812" i="2"/>
  <c r="CC25" i="1"/>
  <c r="CB28" i="1"/>
  <c r="BZ28" i="1"/>
  <c r="BZ30" i="1"/>
  <c r="BZ69" i="1" s="1"/>
  <c r="CD24" i="1"/>
  <c r="D66" i="15" s="1"/>
  <c r="E814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U31" i="1" s="1"/>
  <c r="CT8" i="1"/>
  <c r="CT31" i="1" s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15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16" i="2"/>
  <c r="E817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18" i="2"/>
  <c r="E819" i="2"/>
  <c r="CB25" i="1"/>
  <c r="E820" i="2"/>
  <c r="E821" i="2"/>
  <c r="E822" i="2"/>
  <c r="E823" i="2"/>
  <c r="E824" i="2"/>
  <c r="E825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26" i="2"/>
  <c r="BD28" i="11"/>
  <c r="BF24" i="11"/>
  <c r="BF25" i="11"/>
  <c r="BG24" i="11"/>
  <c r="H107" i="6"/>
  <c r="CD25" i="1"/>
  <c r="CC24" i="1"/>
  <c r="D65" i="15" s="1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47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48" i="2"/>
  <c r="E849" i="2"/>
  <c r="E850" i="2"/>
  <c r="E851" i="2"/>
  <c r="CC16" i="1"/>
  <c r="CD59" i="1"/>
  <c r="F64" i="15"/>
  <c r="CD58" i="1"/>
  <c r="E65" i="15" s="1"/>
  <c r="G46" i="1"/>
  <c r="O46" i="1"/>
  <c r="F5" i="40" s="1"/>
  <c r="E852" i="2"/>
  <c r="E853" i="2"/>
  <c r="E854" i="2"/>
  <c r="F113" i="6"/>
  <c r="E113" i="6"/>
  <c r="E855" i="2"/>
  <c r="E856" i="2"/>
  <c r="E857" i="2"/>
  <c r="E873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CB16" i="1"/>
  <c r="CA24" i="1"/>
  <c r="CC21" i="1"/>
  <c r="CC63" i="1"/>
  <c r="CC77" i="1" s="1"/>
  <c r="CC45" i="1"/>
  <c r="G45" i="1"/>
  <c r="O45" i="1" s="1"/>
  <c r="F13" i="40" s="1"/>
  <c r="E883" i="2"/>
  <c r="E882" i="2"/>
  <c r="E871" i="2"/>
  <c r="E872" i="2"/>
  <c r="E874" i="2"/>
  <c r="E875" i="2"/>
  <c r="E876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77" i="2"/>
  <c r="E878" i="2"/>
  <c r="E879" i="2"/>
  <c r="E880" i="2"/>
  <c r="E881" i="2"/>
  <c r="E884" i="2"/>
  <c r="E885" i="2"/>
  <c r="E886" i="2"/>
  <c r="E902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F900" i="2" s="1"/>
  <c r="E901" i="2"/>
  <c r="E905" i="2"/>
  <c r="E904" i="2"/>
  <c r="E903" i="2"/>
  <c r="E906" i="2"/>
  <c r="E907" i="2"/>
  <c r="E908" i="2"/>
  <c r="BF71" i="11"/>
  <c r="BF73" i="11" s="1"/>
  <c r="BH31" i="11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CB59" i="1"/>
  <c r="F62" i="15"/>
  <c r="CB58" i="1"/>
  <c r="E63" i="15" s="1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5" i="2"/>
  <c r="E964" i="2"/>
  <c r="E963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66" i="2"/>
  <c r="E967" i="2"/>
  <c r="E968" i="2"/>
  <c r="E969" i="2"/>
  <c r="E970" i="2"/>
  <c r="E971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72" i="2"/>
  <c r="E973" i="2"/>
  <c r="E974" i="2"/>
  <c r="E975" i="2"/>
  <c r="E976" i="2"/>
  <c r="E977" i="2"/>
  <c r="E978" i="2"/>
  <c r="E979" i="2"/>
  <c r="E980" i="2"/>
  <c r="E1000" i="2"/>
  <c r="E981" i="2"/>
  <c r="E982" i="2"/>
  <c r="E983" i="2"/>
  <c r="E984" i="2"/>
  <c r="CA59" i="1"/>
  <c r="F61" i="15" s="1"/>
  <c r="CA58" i="1"/>
  <c r="E62" i="15" s="1"/>
  <c r="E985" i="2"/>
  <c r="E986" i="2"/>
  <c r="E987" i="2"/>
  <c r="E988" i="2"/>
  <c r="E989" i="2"/>
  <c r="E990" i="2"/>
  <c r="BF19" i="11"/>
  <c r="E996" i="2"/>
  <c r="L23" i="19"/>
  <c r="M23" i="19"/>
  <c r="N23" i="19"/>
  <c r="O23" i="19"/>
  <c r="P23" i="19"/>
  <c r="L24" i="19"/>
  <c r="M24" i="19"/>
  <c r="N24" i="19"/>
  <c r="O24" i="19"/>
  <c r="P24" i="19"/>
  <c r="E991" i="2"/>
  <c r="E992" i="2"/>
  <c r="E993" i="2"/>
  <c r="E994" i="2"/>
  <c r="E995" i="2"/>
  <c r="E997" i="2"/>
  <c r="E998" i="2"/>
  <c r="E999" i="2"/>
  <c r="E1001" i="2"/>
  <c r="E1002" i="2"/>
  <c r="BD24" i="11"/>
  <c r="BC24" i="11"/>
  <c r="BC25" i="11" s="1"/>
  <c r="E1004" i="2"/>
  <c r="E1003" i="2"/>
  <c r="E1005" i="2"/>
  <c r="E1006" i="2"/>
  <c r="E1008" i="2"/>
  <c r="E1007" i="2"/>
  <c r="E1009" i="2"/>
  <c r="E1011" i="2"/>
  <c r="E1010" i="2"/>
  <c r="E1012" i="2"/>
  <c r="E1013" i="2"/>
  <c r="E1014" i="2"/>
  <c r="E1015" i="2"/>
  <c r="E1016" i="2"/>
  <c r="E1017" i="2"/>
  <c r="E1018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20" i="2"/>
  <c r="E1021" i="2"/>
  <c r="E1019" i="2"/>
  <c r="BZ59" i="1"/>
  <c r="BZ58" i="1"/>
  <c r="E61" i="15" s="1"/>
  <c r="BY11" i="1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6" i="2"/>
  <c r="E1034" i="2"/>
  <c r="E1035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62" i="2"/>
  <c r="E1063" i="2"/>
  <c r="E1058" i="2"/>
  <c r="E1059" i="2"/>
  <c r="E1060" i="2"/>
  <c r="E1061" i="2"/>
  <c r="F377" i="6"/>
  <c r="F167" i="6"/>
  <c r="G167" i="6" s="1"/>
  <c r="BC31" i="11"/>
  <c r="BB31" i="11"/>
  <c r="E1066" i="2"/>
  <c r="E1064" i="2"/>
  <c r="E1065" i="2"/>
  <c r="E1067" i="2"/>
  <c r="E1068" i="2"/>
  <c r="E1069" i="2"/>
  <c r="E1070" i="2"/>
  <c r="E1079" i="2"/>
  <c r="BY58" i="1"/>
  <c r="E60" i="15" s="1"/>
  <c r="E1071" i="2"/>
  <c r="E1072" i="2"/>
  <c r="E1073" i="2"/>
  <c r="E1074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75" i="2"/>
  <c r="E1076" i="2"/>
  <c r="E1077" i="2"/>
  <c r="E1078" i="2"/>
  <c r="E1080" i="2"/>
  <c r="E1081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86" i="2"/>
  <c r="E1082" i="2"/>
  <c r="E1083" i="2"/>
  <c r="E1084" i="2"/>
  <c r="E1085" i="2"/>
  <c r="E1087" i="2"/>
  <c r="E1088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89" i="2"/>
  <c r="E1091" i="2"/>
  <c r="E1092" i="2"/>
  <c r="E1090" i="2"/>
  <c r="E1093" i="2"/>
  <c r="E1094" i="2"/>
  <c r="F1094" i="2" s="1"/>
  <c r="E1095" i="2"/>
  <c r="E1096" i="2"/>
  <c r="E1099" i="2"/>
  <c r="E1097" i="2"/>
  <c r="F1097" i="2" s="1"/>
  <c r="E1098" i="2"/>
  <c r="F1098" i="2" s="1"/>
  <c r="E1100" i="2"/>
  <c r="E1101" i="2"/>
  <c r="E1102" i="2"/>
  <c r="E1103" i="2"/>
  <c r="E1104" i="2"/>
  <c r="E1105" i="2"/>
  <c r="E1106" i="2"/>
  <c r="E1107" i="2"/>
  <c r="E1108" i="2"/>
  <c r="C45" i="10"/>
  <c r="E1109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10" i="2"/>
  <c r="E1111" i="2"/>
  <c r="E1112" i="2"/>
  <c r="E1113" i="2"/>
  <c r="E1114" i="2"/>
  <c r="E1115" i="2"/>
  <c r="E1116" i="2"/>
  <c r="BX59" i="1"/>
  <c r="F58" i="15"/>
  <c r="BX58" i="1"/>
  <c r="E59" i="15" s="1"/>
  <c r="E1117" i="2"/>
  <c r="E1118" i="2"/>
  <c r="E1119" i="2"/>
  <c r="E1120" i="2"/>
  <c r="E1121" i="2"/>
  <c r="E1122" i="2"/>
  <c r="E1123" i="2"/>
  <c r="BM71" i="11"/>
  <c r="BM73" i="11" s="1"/>
  <c r="BH71" i="11"/>
  <c r="BH73" i="11" s="1"/>
  <c r="BL71" i="11"/>
  <c r="BX73" i="11"/>
  <c r="BB71" i="11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37" i="2"/>
  <c r="E1138" i="2"/>
  <c r="E1139" i="2"/>
  <c r="E1140" i="2"/>
  <c r="E1141" i="2"/>
  <c r="E1142" i="2"/>
  <c r="E1143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45" i="2"/>
  <c r="E1146" i="2"/>
  <c r="E1144" i="2"/>
  <c r="E139" i="6"/>
  <c r="F139" i="6"/>
  <c r="BW11" i="1"/>
  <c r="BW69" i="1" s="1"/>
  <c r="E1147" i="2"/>
  <c r="E1148" i="2"/>
  <c r="E1149" i="2"/>
  <c r="E1150" i="2"/>
  <c r="E1151" i="2"/>
  <c r="E1152" i="2"/>
  <c r="E1153" i="2"/>
  <c r="E1154" i="2"/>
  <c r="E1155" i="2"/>
  <c r="E1159" i="2"/>
  <c r="E1160" i="2"/>
  <c r="E1156" i="2"/>
  <c r="E1157" i="2"/>
  <c r="E1158" i="2"/>
  <c r="BX60" i="1"/>
  <c r="BX61" i="1"/>
  <c r="E1161" i="2"/>
  <c r="E1162" i="2"/>
  <c r="E1163" i="2"/>
  <c r="E1164" i="2"/>
  <c r="E1165" i="2"/>
  <c r="E1166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67" i="2"/>
  <c r="BW59" i="1"/>
  <c r="F57" i="15"/>
  <c r="BW58" i="1"/>
  <c r="E58" i="15" s="1"/>
  <c r="E1168" i="2"/>
  <c r="E1169" i="2"/>
  <c r="BW61" i="1"/>
  <c r="BW60" i="1"/>
  <c r="L63" i="5" s="1"/>
  <c r="U63" i="5" s="1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16" i="2"/>
  <c r="E1217" i="2"/>
  <c r="E1218" i="2"/>
  <c r="E1219" i="2"/>
  <c r="E1215" i="2"/>
  <c r="E1214" i="2"/>
  <c r="E1220" i="2"/>
  <c r="E1221" i="2"/>
  <c r="E1222" i="2"/>
  <c r="BV53" i="1"/>
  <c r="BV61" i="1"/>
  <c r="BV60" i="1"/>
  <c r="L62" i="5" s="1"/>
  <c r="U62" i="5" s="1"/>
  <c r="BV58" i="1"/>
  <c r="E57" i="15" s="1"/>
  <c r="E1206" i="2"/>
  <c r="E1207" i="2"/>
  <c r="E1208" i="2"/>
  <c r="E1209" i="2"/>
  <c r="E1210" i="2"/>
  <c r="E1211" i="2"/>
  <c r="E1212" i="2"/>
  <c r="E1213" i="2"/>
  <c r="E1223" i="2"/>
  <c r="E1224" i="2"/>
  <c r="E1225" i="2"/>
  <c r="BV59" i="1"/>
  <c r="F56" i="15"/>
  <c r="E1226" i="2"/>
  <c r="E1227" i="2"/>
  <c r="AY34" i="11"/>
  <c r="BC12" i="11"/>
  <c r="BU16" i="1"/>
  <c r="H155" i="6"/>
  <c r="AG617" i="5"/>
  <c r="AG615" i="5"/>
  <c r="E1228" i="2"/>
  <c r="E1229" i="2"/>
  <c r="E1230" i="2"/>
  <c r="AG614" i="5"/>
  <c r="AH614" i="5"/>
  <c r="AG613" i="5"/>
  <c r="AH613" i="5"/>
  <c r="AG612" i="5"/>
  <c r="AG611" i="5"/>
  <c r="AG610" i="5"/>
  <c r="AD614" i="5"/>
  <c r="AD612" i="5"/>
  <c r="E1231" i="2"/>
  <c r="E1234" i="2"/>
  <c r="E1233" i="2"/>
  <c r="E1232" i="2"/>
  <c r="E1235" i="2"/>
  <c r="E1237" i="2"/>
  <c r="E1236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38" i="2"/>
  <c r="E1239" i="2"/>
  <c r="E1240" i="2"/>
  <c r="E1241" i="2"/>
  <c r="E1242" i="2"/>
  <c r="E1243" i="2"/>
  <c r="E1244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45" i="2"/>
  <c r="E1246" i="2"/>
  <c r="G96" i="12"/>
  <c r="AG601" i="5"/>
  <c r="E1247" i="2"/>
  <c r="E1248" i="2"/>
  <c r="E1249" i="2"/>
  <c r="E1250" i="2"/>
  <c r="E1251" i="2"/>
  <c r="AG600" i="5"/>
  <c r="AG599" i="5"/>
  <c r="AG598" i="5"/>
  <c r="E1281" i="2"/>
  <c r="E1254" i="2"/>
  <c r="E1255" i="2"/>
  <c r="E1256" i="2"/>
  <c r="E1253" i="2"/>
  <c r="E1252" i="2"/>
  <c r="BU59" i="1"/>
  <c r="F55" i="15" s="1"/>
  <c r="BU58" i="1"/>
  <c r="E56" i="15" s="1"/>
  <c r="AG597" i="5"/>
  <c r="E1257" i="2"/>
  <c r="E1258" i="2"/>
  <c r="C81" i="5"/>
  <c r="AG596" i="5"/>
  <c r="AG585" i="5"/>
  <c r="AG595" i="5"/>
  <c r="AF595" i="5"/>
  <c r="E1259" i="2"/>
  <c r="E1260" i="2"/>
  <c r="E1261" i="2"/>
  <c r="E1262" i="2"/>
  <c r="E1265" i="2"/>
  <c r="E1263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64" i="2"/>
  <c r="AZ19" i="11"/>
  <c r="AZ20" i="11"/>
  <c r="AZ17" i="11"/>
  <c r="AZ63" i="11"/>
  <c r="BT16" i="1"/>
  <c r="BS21" i="1"/>
  <c r="G21" i="1" s="1"/>
  <c r="O21" i="1" s="1"/>
  <c r="BT24" i="1"/>
  <c r="E1266" i="2"/>
  <c r="E1267" i="2"/>
  <c r="E1268" i="2"/>
  <c r="E1269" i="2"/>
  <c r="E1270" i="2"/>
  <c r="E1271" i="2"/>
  <c r="E1272" i="2"/>
  <c r="E1273" i="2"/>
  <c r="E1274" i="2"/>
  <c r="AG584" i="5"/>
  <c r="AG583" i="5"/>
  <c r="AG582" i="5"/>
  <c r="E1275" i="2"/>
  <c r="E1276" i="2"/>
  <c r="E1277" i="2"/>
  <c r="E1278" i="2"/>
  <c r="E1279" i="2"/>
  <c r="E1280" i="2"/>
  <c r="E1282" i="2"/>
  <c r="E1283" i="2"/>
  <c r="AD595" i="5"/>
  <c r="AD585" i="5"/>
  <c r="AG580" i="5"/>
  <c r="AF580" i="5"/>
  <c r="E1284" i="2"/>
  <c r="E1285" i="2"/>
  <c r="AG579" i="5"/>
  <c r="AG578" i="5"/>
  <c r="AG577" i="5"/>
  <c r="E1286" i="2"/>
  <c r="E1287" i="2"/>
  <c r="E1288" i="2"/>
  <c r="E1289" i="2"/>
  <c r="E1290" i="2"/>
  <c r="E1291" i="2"/>
  <c r="E1295" i="2"/>
  <c r="E1294" i="2"/>
  <c r="E1293" i="2"/>
  <c r="E1292" i="2"/>
  <c r="E1296" i="2"/>
  <c r="E1297" i="2"/>
  <c r="AF575" i="5"/>
  <c r="AG575" i="5"/>
  <c r="AG574" i="5"/>
  <c r="AG567" i="5"/>
  <c r="AF574" i="5"/>
  <c r="AG573" i="5"/>
  <c r="AF573" i="5"/>
  <c r="E1298" i="2"/>
  <c r="AG572" i="5"/>
  <c r="AH572" i="5"/>
  <c r="AG571" i="5"/>
  <c r="AG570" i="5"/>
  <c r="AF570" i="5"/>
  <c r="AH570" i="5"/>
  <c r="E1299" i="2"/>
  <c r="G1300" i="2"/>
  <c r="E1300" i="2"/>
  <c r="E1301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02" i="2"/>
  <c r="E1303" i="2"/>
  <c r="E1304" i="2"/>
  <c r="E1305" i="2"/>
  <c r="E1306" i="2"/>
  <c r="E1307" i="2"/>
  <c r="E1308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09" i="2"/>
  <c r="BT61" i="1"/>
  <c r="L60" i="5" s="1"/>
  <c r="BT59" i="1"/>
  <c r="G59" i="1" s="1"/>
  <c r="P4" i="10" s="1"/>
  <c r="F54" i="15"/>
  <c r="BT58" i="1"/>
  <c r="E55" i="15" s="1"/>
  <c r="E1310" i="2"/>
  <c r="E1311" i="2"/>
  <c r="E1312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13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14" i="2"/>
  <c r="E1315" i="2"/>
  <c r="E1316" i="2"/>
  <c r="E1317" i="2"/>
  <c r="E1318" i="2"/>
  <c r="E1319" i="2"/>
  <c r="E1320" i="2"/>
  <c r="E1321" i="2"/>
  <c r="E1322" i="2"/>
  <c r="E1323" i="2"/>
  <c r="AZ59" i="11"/>
  <c r="AF546" i="5"/>
  <c r="AG545" i="5"/>
  <c r="AF545" i="5"/>
  <c r="AH545" i="5"/>
  <c r="E1324" i="2"/>
  <c r="AD565" i="5"/>
  <c r="AF539" i="5"/>
  <c r="AD543" i="5"/>
  <c r="AA544" i="5"/>
  <c r="AD544" i="5"/>
  <c r="AN574" i="5"/>
  <c r="AG543" i="5"/>
  <c r="AH543" i="5"/>
  <c r="AG542" i="5"/>
  <c r="AF542" i="5"/>
  <c r="E1325" i="2"/>
  <c r="E1326" i="2"/>
  <c r="E1327" i="2"/>
  <c r="E1328" i="2"/>
  <c r="E1329" i="2"/>
  <c r="E1330" i="2"/>
  <c r="E1331" i="2"/>
  <c r="E1332" i="2"/>
  <c r="E1333" i="2"/>
  <c r="E1334" i="2"/>
  <c r="AG541" i="5"/>
  <c r="AF541" i="5"/>
  <c r="AH541" i="5"/>
  <c r="W541" i="5"/>
  <c r="AG540" i="5"/>
  <c r="AF540" i="5"/>
  <c r="BS60" i="1"/>
  <c r="AG538" i="5"/>
  <c r="AF538" i="5"/>
  <c r="AH538" i="5"/>
  <c r="H176" i="6"/>
  <c r="E1335" i="2"/>
  <c r="E1336" i="2"/>
  <c r="E1337" i="2"/>
  <c r="AG537" i="5"/>
  <c r="AG536" i="5"/>
  <c r="AH536" i="5"/>
  <c r="AG535" i="5"/>
  <c r="AF535" i="5"/>
  <c r="E1338" i="2"/>
  <c r="E1339" i="2"/>
  <c r="E1341" i="2"/>
  <c r="E1340" i="2"/>
  <c r="E1342" i="2"/>
  <c r="E1343" i="2"/>
  <c r="BS59" i="1"/>
  <c r="F53" i="15"/>
  <c r="BS58" i="1"/>
  <c r="E54" i="15" s="1"/>
  <c r="AF534" i="5"/>
  <c r="AH534" i="5"/>
  <c r="E1344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45" i="2"/>
  <c r="AF531" i="5"/>
  <c r="AH531" i="5"/>
  <c r="BQ80" i="1"/>
  <c r="E1346" i="2"/>
  <c r="E1347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48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62" i="2"/>
  <c r="E1363" i="2"/>
  <c r="E1364" i="2"/>
  <c r="AG507" i="5"/>
  <c r="AG506" i="5"/>
  <c r="AF506" i="5"/>
  <c r="AG505" i="5"/>
  <c r="AF505" i="5"/>
  <c r="AH505" i="5"/>
  <c r="AG504" i="5"/>
  <c r="AH504" i="5"/>
  <c r="AF504" i="5"/>
  <c r="AG503" i="5"/>
  <c r="AF503" i="5"/>
  <c r="E1366" i="2"/>
  <c r="E1365" i="2"/>
  <c r="E1367" i="2"/>
  <c r="E1369" i="2"/>
  <c r="BR59" i="1"/>
  <c r="F52" i="15" s="1"/>
  <c r="E1368" i="2"/>
  <c r="E1370" i="2"/>
  <c r="E1371" i="2"/>
  <c r="G1372" i="2"/>
  <c r="E1372" i="2"/>
  <c r="E1387" i="2"/>
  <c r="E1373" i="2"/>
  <c r="E1374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78" i="2"/>
  <c r="E1377" i="2"/>
  <c r="E1376" i="2"/>
  <c r="E1379" i="2"/>
  <c r="E1380" i="2"/>
  <c r="E1375" i="2"/>
  <c r="E185" i="6"/>
  <c r="F185" i="6"/>
  <c r="E1381" i="2"/>
  <c r="E1382" i="2"/>
  <c r="E1383" i="2"/>
  <c r="E1384" i="2"/>
  <c r="E1385" i="2"/>
  <c r="E1386" i="2"/>
  <c r="AG492" i="5"/>
  <c r="AF492" i="5"/>
  <c r="AG491" i="5"/>
  <c r="AF491" i="5"/>
  <c r="AG490" i="5"/>
  <c r="AF490" i="5"/>
  <c r="AH490" i="5"/>
  <c r="AG489" i="5"/>
  <c r="AF489" i="5"/>
  <c r="AD496" i="5"/>
  <c r="E1388" i="2"/>
  <c r="E1389" i="2"/>
  <c r="E1390" i="2"/>
  <c r="E1391" i="2"/>
  <c r="E1392" i="2"/>
  <c r="E1393" i="2"/>
  <c r="G107" i="12"/>
  <c r="E1394" i="2"/>
  <c r="AV31" i="11"/>
  <c r="AG488" i="5"/>
  <c r="AG487" i="5"/>
  <c r="AG486" i="5"/>
  <c r="AF486" i="5"/>
  <c r="AH486" i="5"/>
  <c r="E1395" i="2"/>
  <c r="E1396" i="2"/>
  <c r="E1397" i="2"/>
  <c r="E1398" i="2"/>
  <c r="E1399" i="2"/>
  <c r="AD505" i="5"/>
  <c r="BP21" i="1"/>
  <c r="E1400" i="2"/>
  <c r="E1401" i="2"/>
  <c r="E1402" i="2"/>
  <c r="E1403" i="2"/>
  <c r="E1404" i="2"/>
  <c r="E1405" i="2"/>
  <c r="E1409" i="2"/>
  <c r="E1410" i="2"/>
  <c r="BQ59" i="1"/>
  <c r="F51" i="15" s="1"/>
  <c r="BQ58" i="1"/>
  <c r="E52" i="15" s="1"/>
  <c r="E1406" i="2"/>
  <c r="E1407" i="2"/>
  <c r="E1408" i="2"/>
  <c r="E1411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12" i="2"/>
  <c r="E1413" i="2"/>
  <c r="E1414" i="2"/>
  <c r="E1415" i="2"/>
  <c r="G1416" i="2"/>
  <c r="E1416" i="2"/>
  <c r="AG477" i="5"/>
  <c r="AF477" i="5"/>
  <c r="AF476" i="5"/>
  <c r="E1417" i="2"/>
  <c r="AD478" i="5"/>
  <c r="AG475" i="5"/>
  <c r="AF475" i="5"/>
  <c r="E1418" i="2"/>
  <c r="E1419" i="2"/>
  <c r="AG474" i="5"/>
  <c r="AH474" i="5"/>
  <c r="AG473" i="5"/>
  <c r="AG472" i="5"/>
  <c r="AF472" i="5"/>
  <c r="E1420" i="2"/>
  <c r="E1436" i="2"/>
  <c r="E1437" i="2"/>
  <c r="E1438" i="2"/>
  <c r="E1428" i="2"/>
  <c r="E1430" i="2"/>
  <c r="E1421" i="2"/>
  <c r="E1422" i="2"/>
  <c r="E1423" i="2"/>
  <c r="E1424" i="2"/>
  <c r="E1425" i="2"/>
  <c r="E1426" i="2"/>
  <c r="E1427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29" i="2"/>
  <c r="E1431" i="2"/>
  <c r="E1432" i="2"/>
  <c r="E1433" i="2"/>
  <c r="E1434" i="2"/>
  <c r="E1435" i="2"/>
  <c r="F1435" i="2" s="1"/>
  <c r="AT9" i="11"/>
  <c r="AQ36" i="11"/>
  <c r="AV19" i="11"/>
  <c r="AF464" i="5"/>
  <c r="E1442" i="2"/>
  <c r="E1441" i="2"/>
  <c r="E1440" i="2"/>
  <c r="E1439" i="2"/>
  <c r="G92" i="5"/>
  <c r="D29" i="5"/>
  <c r="D57" i="5"/>
  <c r="AG463" i="5"/>
  <c r="AF463" i="5"/>
  <c r="H180" i="6"/>
  <c r="E1443" i="2"/>
  <c r="E1445" i="2"/>
  <c r="E1444" i="2"/>
  <c r="E1446" i="2"/>
  <c r="E1447" i="2"/>
  <c r="E1448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49" i="2"/>
  <c r="E1450" i="2"/>
  <c r="E1451" i="2"/>
  <c r="AD461" i="5"/>
  <c r="AG457" i="5"/>
  <c r="AF457" i="5"/>
  <c r="AH457" i="5"/>
  <c r="AG456" i="5"/>
  <c r="AG455" i="5"/>
  <c r="AF455" i="5"/>
  <c r="E1452" i="2"/>
  <c r="E1453" i="2"/>
  <c r="E1456" i="2"/>
  <c r="E1454" i="2"/>
  <c r="E1455" i="2"/>
  <c r="AU31" i="11"/>
  <c r="AT31" i="11"/>
  <c r="AD454" i="5"/>
  <c r="AP482" i="5"/>
  <c r="AF454" i="5"/>
  <c r="E1458" i="2"/>
  <c r="E1457" i="2"/>
  <c r="E1459" i="2"/>
  <c r="E1460" i="2"/>
  <c r="E1461" i="2"/>
  <c r="E1462" i="2"/>
  <c r="E1463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64" i="2"/>
  <c r="E1465" i="2"/>
  <c r="E1466" i="2"/>
  <c r="E1467" i="2"/>
  <c r="E1468" i="2"/>
  <c r="E1469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70" i="2"/>
  <c r="E1471" i="2"/>
  <c r="E1474" i="2"/>
  <c r="E1473" i="2"/>
  <c r="E1472" i="2"/>
  <c r="E1475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76" i="2"/>
  <c r="E1479" i="2"/>
  <c r="E1477" i="2"/>
  <c r="E1478" i="2"/>
  <c r="AD445" i="5"/>
  <c r="AW445" i="5"/>
  <c r="BA445" i="5"/>
  <c r="AG442" i="5"/>
  <c r="AF442" i="5"/>
  <c r="AH442" i="5"/>
  <c r="AF441" i="5"/>
  <c r="AH441" i="5"/>
  <c r="E1493" i="2"/>
  <c r="AG440" i="5"/>
  <c r="AF440" i="5"/>
  <c r="AG439" i="5"/>
  <c r="AH439" i="5"/>
  <c r="AG438" i="5"/>
  <c r="AF437" i="5"/>
  <c r="AF436" i="5"/>
  <c r="E1480" i="2"/>
  <c r="E1481" i="2"/>
  <c r="E1482" i="2"/>
  <c r="E1483" i="2"/>
  <c r="E1484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85" i="2"/>
  <c r="E1486" i="2"/>
  <c r="E1487" i="2"/>
  <c r="E1488" i="2"/>
  <c r="AG429" i="5"/>
  <c r="AF429" i="5"/>
  <c r="AG428" i="5"/>
  <c r="AH428" i="5"/>
  <c r="AG427" i="5"/>
  <c r="AH427" i="5"/>
  <c r="E1489" i="2"/>
  <c r="E1490" i="2"/>
  <c r="E1491" i="2"/>
  <c r="E1492" i="2"/>
  <c r="AG426" i="5"/>
  <c r="AF426" i="5"/>
  <c r="AF428" i="5"/>
  <c r="AF427" i="5"/>
  <c r="AG425" i="5"/>
  <c r="AH425" i="5"/>
  <c r="AG424" i="5"/>
  <c r="AH424" i="5"/>
  <c r="AG423" i="5"/>
  <c r="AF423" i="5"/>
  <c r="AF422" i="5"/>
  <c r="E1494" i="2"/>
  <c r="E1495" i="2"/>
  <c r="E1496" i="2"/>
  <c r="E1497" i="2"/>
  <c r="E1498" i="2"/>
  <c r="E1499" i="2"/>
  <c r="E1500" i="2"/>
  <c r="E1501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02" i="2"/>
  <c r="E1503" i="2"/>
  <c r="E1504" i="2"/>
  <c r="E1505" i="2"/>
  <c r="E1506" i="2"/>
  <c r="E1507" i="2"/>
  <c r="E1508" i="2"/>
  <c r="E1509" i="2"/>
  <c r="AT19" i="11"/>
  <c r="AT17" i="11"/>
  <c r="AT16" i="11" s="1"/>
  <c r="AF413" i="5"/>
  <c r="E1532" i="2"/>
  <c r="BO60" i="1"/>
  <c r="L55" i="5"/>
  <c r="U55" i="5"/>
  <c r="E1516" i="2"/>
  <c r="E1510" i="2"/>
  <c r="E1511" i="2"/>
  <c r="E1512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13" i="2"/>
  <c r="E1514" i="2"/>
  <c r="E1515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19" i="2"/>
  <c r="E1517" i="2"/>
  <c r="AT63" i="11"/>
  <c r="AT64" i="11" s="1"/>
  <c r="AT60" i="11"/>
  <c r="AR60" i="11"/>
  <c r="E1518" i="2"/>
  <c r="AD401" i="5"/>
  <c r="AG400" i="5"/>
  <c r="AH400" i="5"/>
  <c r="AF400" i="5"/>
  <c r="E1520" i="2"/>
  <c r="E1521" i="2"/>
  <c r="E1522" i="2"/>
  <c r="E1523" i="2"/>
  <c r="E1524" i="2"/>
  <c r="E1525" i="2"/>
  <c r="E1526" i="2"/>
  <c r="E1527" i="2"/>
  <c r="AG399" i="5"/>
  <c r="AF399" i="5"/>
  <c r="AG398" i="5"/>
  <c r="AF398" i="5"/>
  <c r="E1528" i="2"/>
  <c r="E1529" i="2"/>
  <c r="E1530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66" i="2"/>
  <c r="BM59" i="1"/>
  <c r="F47" i="15"/>
  <c r="E1533" i="2"/>
  <c r="E1534" i="2"/>
  <c r="E1531" i="2"/>
  <c r="AS31" i="11"/>
  <c r="E1535" i="2"/>
  <c r="AG391" i="5"/>
  <c r="AF391" i="5"/>
  <c r="BN61" i="1"/>
  <c r="BN59" i="1"/>
  <c r="F48" i="15"/>
  <c r="BN58" i="1"/>
  <c r="E49" i="15" s="1"/>
  <c r="E1536" i="2"/>
  <c r="E1537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38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39" i="2"/>
  <c r="E1540" i="2"/>
  <c r="E1541" i="2"/>
  <c r="E1542" i="2"/>
  <c r="E1543" i="2"/>
  <c r="E1544" i="2"/>
  <c r="E1545" i="2"/>
  <c r="E1546" i="2"/>
  <c r="E1547" i="2"/>
  <c r="E1548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49" i="2"/>
  <c r="E1550" i="2"/>
  <c r="E1551" i="2"/>
  <c r="E1552" i="2"/>
  <c r="E1553" i="2"/>
  <c r="E1554" i="2"/>
  <c r="E1555" i="2"/>
  <c r="E1556" i="2"/>
  <c r="AG364" i="5"/>
  <c r="AF364" i="5"/>
  <c r="AH364" i="5"/>
  <c r="E1557" i="2"/>
  <c r="AG363" i="5"/>
  <c r="AF363" i="5"/>
  <c r="AG365" i="5"/>
  <c r="AG362" i="5"/>
  <c r="AH362" i="5"/>
  <c r="AG361" i="5"/>
  <c r="AH361" i="5"/>
  <c r="AF360" i="5"/>
  <c r="E1559" i="2"/>
  <c r="E1558" i="2"/>
  <c r="E1560" i="2"/>
  <c r="E1561" i="2"/>
  <c r="AF365" i="5"/>
  <c r="AG359" i="5"/>
  <c r="AF359" i="5"/>
  <c r="AH359" i="5"/>
  <c r="AF358" i="5"/>
  <c r="AH358" i="5"/>
  <c r="AG357" i="5"/>
  <c r="AF357" i="5"/>
  <c r="AG356" i="5"/>
  <c r="AF356" i="5"/>
  <c r="E1562" i="2"/>
  <c r="E1563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64" i="2"/>
  <c r="E1565" i="2"/>
  <c r="E1567" i="2"/>
  <c r="BM58" i="1"/>
  <c r="E48" i="15" s="1"/>
  <c r="E1568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69" i="2"/>
  <c r="E1570" i="2"/>
  <c r="AG349" i="5"/>
  <c r="AF349" i="5"/>
  <c r="AQ31" i="11"/>
  <c r="BJ23" i="1"/>
  <c r="AG347" i="5"/>
  <c r="AG346" i="5"/>
  <c r="AF346" i="5"/>
  <c r="AG345" i="5"/>
  <c r="AF345" i="5"/>
  <c r="E1571" i="2"/>
  <c r="AG344" i="5"/>
  <c r="AF344" i="5"/>
  <c r="AG343" i="5"/>
  <c r="AF343" i="5"/>
  <c r="E1572" i="2"/>
  <c r="F1572" i="2" s="1"/>
  <c r="E1573" i="2"/>
  <c r="E1574" i="2"/>
  <c r="AG342" i="5"/>
  <c r="AF342" i="5"/>
  <c r="AH342" i="5"/>
  <c r="E1575" i="2"/>
  <c r="E1576" i="2"/>
  <c r="E1577" i="2"/>
  <c r="AG341" i="5"/>
  <c r="AH341" i="5"/>
  <c r="AG340" i="5"/>
  <c r="AH340" i="5"/>
  <c r="AG339" i="5"/>
  <c r="AF339" i="5"/>
  <c r="AH339" i="5"/>
  <c r="E1578" i="2"/>
  <c r="E1579" i="2"/>
  <c r="E1580" i="2"/>
  <c r="AD350" i="5"/>
  <c r="AG336" i="5"/>
  <c r="AF336" i="5"/>
  <c r="E1583" i="2"/>
  <c r="E1581" i="2"/>
  <c r="E1582" i="2"/>
  <c r="E1584" i="2"/>
  <c r="AG338" i="5"/>
  <c r="AH338" i="5"/>
  <c r="AG335" i="5"/>
  <c r="AF335" i="5"/>
  <c r="AG334" i="5"/>
  <c r="AH334" i="5"/>
  <c r="AG326" i="5"/>
  <c r="AH326" i="5"/>
  <c r="AG332" i="5"/>
  <c r="AH332" i="5"/>
  <c r="AF332" i="5"/>
  <c r="E1589" i="2"/>
  <c r="E1588" i="2"/>
  <c r="E1591" i="2"/>
  <c r="E1592" i="2"/>
  <c r="E1585" i="2"/>
  <c r="E1586" i="2"/>
  <c r="E1587" i="2"/>
  <c r="AG330" i="5"/>
  <c r="AM359" i="5"/>
  <c r="AF330" i="5"/>
  <c r="E1590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93" i="2"/>
  <c r="E1594" i="2"/>
  <c r="AG328" i="5"/>
  <c r="AD334" i="5"/>
  <c r="AP359" i="5"/>
  <c r="AF328" i="5"/>
  <c r="E1595" i="2"/>
  <c r="E1596" i="2"/>
  <c r="E1597" i="2"/>
  <c r="AD360" i="5"/>
  <c r="AD342" i="5"/>
  <c r="AG327" i="5"/>
  <c r="AH327" i="5"/>
  <c r="AG318" i="5"/>
  <c r="AG325" i="5"/>
  <c r="AF325" i="5"/>
  <c r="E1598" i="2"/>
  <c r="E1599" i="2"/>
  <c r="E1600" i="2"/>
  <c r="AG324" i="5"/>
  <c r="AF324" i="5"/>
  <c r="AH324" i="5"/>
  <c r="AG323" i="5"/>
  <c r="AF323" i="5"/>
  <c r="BL59" i="1"/>
  <c r="F46" i="15"/>
  <c r="BL58" i="1"/>
  <c r="E47" i="15" s="1"/>
  <c r="E1634" i="2"/>
  <c r="E1601" i="2"/>
  <c r="E1602" i="2"/>
  <c r="E1603" i="2"/>
  <c r="E1604" i="2"/>
  <c r="AG322" i="5"/>
  <c r="AF322" i="5"/>
  <c r="AG321" i="5"/>
  <c r="AF321" i="5"/>
  <c r="AD318" i="5"/>
  <c r="AG320" i="5"/>
  <c r="AH320" i="5"/>
  <c r="AG319" i="5"/>
  <c r="AH319" i="5"/>
  <c r="AF318" i="5"/>
  <c r="E1605" i="2"/>
  <c r="E1606" i="2"/>
  <c r="E1607" i="2"/>
  <c r="E1608" i="2"/>
  <c r="E1609" i="2"/>
  <c r="AG317" i="5"/>
  <c r="AF317" i="5"/>
  <c r="AG316" i="5"/>
  <c r="AF316" i="5"/>
  <c r="E1610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11" i="2"/>
  <c r="E1612" i="2"/>
  <c r="E1613" i="2"/>
  <c r="E1614" i="2"/>
  <c r="AF307" i="5"/>
  <c r="AH307" i="5"/>
  <c r="E1615" i="2"/>
  <c r="E1616" i="2"/>
  <c r="E1617" i="2"/>
  <c r="AG306" i="5"/>
  <c r="AH306" i="5"/>
  <c r="AJ312" i="5"/>
  <c r="AG305" i="5"/>
  <c r="AH305" i="5"/>
  <c r="AG304" i="5"/>
  <c r="AH304" i="5"/>
  <c r="AG303" i="5"/>
  <c r="AF303" i="5"/>
  <c r="AH303" i="5"/>
  <c r="AZ73" i="11"/>
  <c r="E1618" i="2"/>
  <c r="E1619" i="2"/>
  <c r="E1620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26" i="2"/>
  <c r="E1621" i="2"/>
  <c r="E1622" i="2"/>
  <c r="E1623" i="2"/>
  <c r="E1624" i="2"/>
  <c r="E1625" i="2"/>
  <c r="E1627" i="2"/>
  <c r="E1628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29" i="2"/>
  <c r="E1630" i="2"/>
  <c r="E1631" i="2"/>
  <c r="E1632" i="2"/>
  <c r="E1633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F2011" i="2" s="1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F2089" i="2" s="1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F2115" i="2" s="1"/>
  <c r="E2116" i="2"/>
  <c r="F2116" i="2" s="1"/>
  <c r="E2117" i="2"/>
  <c r="E2118" i="2"/>
  <c r="F2118" i="2" s="1"/>
  <c r="E2119" i="2"/>
  <c r="E2120" i="2"/>
  <c r="E2121" i="2"/>
  <c r="E2122" i="2"/>
  <c r="E2123" i="2"/>
  <c r="E2124" i="2"/>
  <c r="E2125" i="2"/>
  <c r="E2126" i="2"/>
  <c r="E2127" i="2"/>
  <c r="E2128" i="2"/>
  <c r="F2128" i="2" s="1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F2153" i="2" s="1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G2004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T75" i="1"/>
  <c r="CT78" i="1"/>
  <c r="CU75" i="1"/>
  <c r="CU78" i="1"/>
  <c r="BT10" i="11"/>
  <c r="BR36" i="11"/>
  <c r="BQ36" i="11"/>
  <c r="DA71" i="1"/>
  <c r="CZ71" i="1"/>
  <c r="CY71" i="1"/>
  <c r="DB71" i="1"/>
  <c r="CU71" i="1"/>
  <c r="CV71" i="1"/>
  <c r="CX71" i="1"/>
  <c r="CW71" i="1"/>
  <c r="CT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E4" i="10"/>
  <c r="F4" i="10" s="1"/>
  <c r="C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DH56" i="1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90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P108" i="5" s="1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798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49" i="2"/>
  <c r="F148" i="2"/>
  <c r="F150" i="2"/>
  <c r="F152" i="2"/>
  <c r="F153" i="2"/>
  <c r="F151" i="2"/>
  <c r="F154" i="2"/>
  <c r="F157" i="2"/>
  <c r="CQ69" i="1"/>
  <c r="Q30" i="1"/>
  <c r="F156" i="2"/>
  <c r="F159" i="2"/>
  <c r="F163" i="2"/>
  <c r="F162" i="2"/>
  <c r="F181" i="2"/>
  <c r="F184" i="2"/>
  <c r="F183" i="2"/>
  <c r="F806" i="2"/>
  <c r="F185" i="2"/>
  <c r="F732" i="2"/>
  <c r="F796" i="2"/>
  <c r="F166" i="2"/>
  <c r="F164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65" i="2"/>
  <c r="E23" i="10"/>
  <c r="F1081" i="2"/>
  <c r="F168" i="2"/>
  <c r="F171" i="2"/>
  <c r="F170" i="2"/>
  <c r="F167" i="2"/>
  <c r="F169" i="2"/>
  <c r="F173" i="2"/>
  <c r="F343" i="2"/>
  <c r="F263" i="2"/>
  <c r="F1392" i="2"/>
  <c r="F1004" i="2"/>
  <c r="F1150" i="2"/>
  <c r="F959" i="2"/>
  <c r="F349" i="2"/>
  <c r="F323" i="2"/>
  <c r="F244" i="2"/>
  <c r="F391" i="2"/>
  <c r="F1384" i="2"/>
  <c r="F1010" i="2"/>
  <c r="F172" i="2"/>
  <c r="F1338" i="2"/>
  <c r="F1117" i="2"/>
  <c r="F1021" i="2"/>
  <c r="F647" i="2"/>
  <c r="F404" i="2"/>
  <c r="F331" i="2"/>
  <c r="F1060" i="2"/>
  <c r="F990" i="2"/>
  <c r="F934" i="2"/>
  <c r="F434" i="2"/>
  <c r="F345" i="2"/>
  <c r="F318" i="2"/>
  <c r="F277" i="2"/>
  <c r="F260" i="2"/>
  <c r="F1330" i="2"/>
  <c r="F174" i="2"/>
  <c r="F1072" i="2"/>
  <c r="F286" i="2"/>
  <c r="F353" i="2"/>
  <c r="F327" i="2"/>
  <c r="F248" i="2"/>
  <c r="F1524" i="2"/>
  <c r="F893" i="2"/>
  <c r="F902" i="2"/>
  <c r="F388" i="2"/>
  <c r="F309" i="2"/>
  <c r="F284" i="2"/>
  <c r="F1165" i="2"/>
  <c r="F851" i="2"/>
  <c r="F339" i="2"/>
  <c r="F1001" i="2"/>
  <c r="F557" i="2"/>
  <c r="F532" i="2"/>
  <c r="F254" i="2"/>
  <c r="F844" i="2"/>
  <c r="F548" i="2"/>
  <c r="F526" i="2"/>
  <c r="F625" i="2"/>
  <c r="F553" i="2"/>
  <c r="F528" i="2"/>
  <c r="F251" i="2"/>
  <c r="F1007" i="2"/>
  <c r="F971" i="2"/>
  <c r="F943" i="2"/>
  <c r="F881" i="2"/>
  <c r="F828" i="2"/>
  <c r="F734" i="2"/>
  <c r="F716" i="2"/>
  <c r="F561" i="2"/>
  <c r="F536" i="2"/>
  <c r="F336" i="2"/>
  <c r="F784" i="2"/>
  <c r="F840" i="2"/>
  <c r="F815" i="2"/>
  <c r="F544" i="2"/>
  <c r="F967" i="2"/>
  <c r="F940" i="2"/>
  <c r="F877" i="2"/>
  <c r="F907" i="2"/>
  <c r="F1547" i="2"/>
  <c r="F1015" i="2"/>
  <c r="F897" i="2"/>
  <c r="F890" i="2"/>
  <c r="F836" i="2"/>
  <c r="F762" i="2"/>
  <c r="F765" i="2"/>
  <c r="F644" i="2"/>
  <c r="F578" i="2"/>
  <c r="F1539" i="2"/>
  <c r="F1095" i="2"/>
  <c r="F262" i="2"/>
  <c r="F1143" i="2"/>
  <c r="F1063" i="2"/>
  <c r="F917" i="2"/>
  <c r="F785" i="2"/>
  <c r="F1588" i="2"/>
  <c r="F1076" i="2"/>
  <c r="F991" i="2"/>
  <c r="F418" i="2"/>
  <c r="F783" i="2"/>
  <c r="F649" i="2"/>
  <c r="F522" i="2"/>
  <c r="F794" i="2"/>
  <c r="F832" i="2"/>
  <c r="F824" i="2"/>
  <c r="F738" i="2"/>
  <c r="F720" i="2"/>
  <c r="F565" i="2"/>
  <c r="F539" i="2"/>
  <c r="F518" i="2"/>
  <c r="F1531" i="2"/>
  <c r="F616" i="2"/>
  <c r="F813" i="2"/>
  <c r="F995" i="2"/>
  <c r="F696" i="2"/>
  <c r="F241" i="2"/>
  <c r="F1022" i="2"/>
  <c r="F922" i="2"/>
  <c r="F847" i="2"/>
  <c r="F818" i="2"/>
  <c r="F757" i="2"/>
  <c r="F753" i="2"/>
  <c r="F747" i="2"/>
  <c r="F742" i="2"/>
  <c r="F729" i="2"/>
  <c r="F722" i="2"/>
  <c r="F694" i="2"/>
  <c r="F690" i="2"/>
  <c r="F685" i="2"/>
  <c r="F683" i="2"/>
  <c r="F677" i="2"/>
  <c r="F671" i="2"/>
  <c r="F663" i="2"/>
  <c r="F659" i="2"/>
  <c r="F655" i="2"/>
  <c r="F640" i="2"/>
  <c r="F646" i="2"/>
  <c r="F635" i="2"/>
  <c r="F630" i="2"/>
  <c r="F628" i="2"/>
  <c r="F623" i="2"/>
  <c r="F618" i="2"/>
  <c r="F611" i="2"/>
  <c r="F610" i="2"/>
  <c r="F606" i="2"/>
  <c r="F592" i="2"/>
  <c r="F602" i="2"/>
  <c r="F591" i="2"/>
  <c r="F587" i="2"/>
  <c r="F584" i="2"/>
  <c r="F579" i="2"/>
  <c r="F541" i="2"/>
  <c r="F514" i="2"/>
  <c r="F509" i="2"/>
  <c r="F505" i="2"/>
  <c r="F501" i="2"/>
  <c r="F497" i="2"/>
  <c r="F488" i="2"/>
  <c r="F483" i="2"/>
  <c r="F481" i="2"/>
  <c r="F475" i="2"/>
  <c r="F471" i="2"/>
  <c r="F467" i="2"/>
  <c r="F463" i="2"/>
  <c r="F459" i="2"/>
  <c r="F454" i="2"/>
  <c r="F450" i="2"/>
  <c r="F455" i="2"/>
  <c r="F443" i="2"/>
  <c r="F491" i="2"/>
  <c r="F476" i="2"/>
  <c r="F439" i="2"/>
  <c r="F436" i="2"/>
  <c r="F432" i="2"/>
  <c r="F424" i="2"/>
  <c r="F356" i="2"/>
  <c r="F308" i="2"/>
  <c r="F285" i="2"/>
  <c r="F1951" i="2"/>
  <c r="F420" i="2"/>
  <c r="F416" i="2"/>
  <c r="F402" i="2"/>
  <c r="F466" i="2"/>
  <c r="F462" i="2"/>
  <c r="F369" i="2"/>
  <c r="F1667" i="2"/>
  <c r="F1639" i="2"/>
  <c r="F426" i="2"/>
  <c r="F399" i="2"/>
  <c r="F395" i="2"/>
  <c r="F393" i="2"/>
  <c r="F389" i="2"/>
  <c r="F385" i="2"/>
  <c r="F380" i="2"/>
  <c r="F375" i="2"/>
  <c r="F378" i="2"/>
  <c r="F366" i="2"/>
  <c r="F377" i="2"/>
  <c r="F359" i="2"/>
  <c r="F355" i="2"/>
  <c r="F313" i="2"/>
  <c r="F310" i="2"/>
  <c r="F282" i="2"/>
  <c r="F273" i="2"/>
  <c r="F268" i="2"/>
  <c r="F265" i="2"/>
  <c r="F258" i="2"/>
  <c r="F259" i="2"/>
  <c r="F252" i="2"/>
  <c r="F885" i="2"/>
  <c r="F299" i="2"/>
  <c r="F1228" i="2"/>
  <c r="F1055" i="2"/>
  <c r="F719" i="2"/>
  <c r="F701" i="2"/>
  <c r="F648" i="2"/>
  <c r="F643" i="2"/>
  <c r="F599" i="2"/>
  <c r="F590" i="2"/>
  <c r="F560" i="2"/>
  <c r="F552" i="2"/>
  <c r="F547" i="2"/>
  <c r="F551" i="2"/>
  <c r="F535" i="2"/>
  <c r="F413" i="2"/>
  <c r="F246" i="2"/>
  <c r="F1032" i="2"/>
  <c r="F1024" i="2"/>
  <c r="F1012" i="2"/>
  <c r="F1003" i="2"/>
  <c r="F986" i="2"/>
  <c r="F981" i="2"/>
  <c r="F978" i="2"/>
  <c r="F974" i="2"/>
  <c r="F964" i="2"/>
  <c r="F956" i="2"/>
  <c r="F952" i="2"/>
  <c r="F948" i="2"/>
  <c r="F944" i="2"/>
  <c r="F930" i="2"/>
  <c r="F924" i="2"/>
  <c r="F921" i="2"/>
  <c r="F2112" i="2"/>
  <c r="F2108" i="2"/>
  <c r="F2104" i="2"/>
  <c r="F2096" i="2"/>
  <c r="F2092" i="2"/>
  <c r="F2007" i="2"/>
  <c r="F2003" i="2"/>
  <c r="F1999" i="2"/>
  <c r="F1995" i="2"/>
  <c r="F1987" i="2"/>
  <c r="F1983" i="2"/>
  <c r="F1975" i="2"/>
  <c r="F837" i="2"/>
  <c r="F833" i="2"/>
  <c r="F825" i="2"/>
  <c r="F1270" i="2"/>
  <c r="F914" i="2"/>
  <c r="F910" i="2"/>
  <c r="F905" i="2"/>
  <c r="F875" i="2"/>
  <c r="F882" i="2"/>
  <c r="F867" i="2"/>
  <c r="F859" i="2"/>
  <c r="F853" i="2"/>
  <c r="F848" i="2"/>
  <c r="F704" i="2"/>
  <c r="F693" i="2"/>
  <c r="F689" i="2"/>
  <c r="F670" i="2"/>
  <c r="F583" i="2"/>
  <c r="F387" i="2"/>
  <c r="F320" i="2"/>
  <c r="F1230" i="2"/>
  <c r="F1530" i="2"/>
  <c r="F314" i="2"/>
  <c r="F1567" i="2"/>
  <c r="F1561" i="2"/>
  <c r="F274" i="2"/>
  <c r="F270" i="2"/>
  <c r="F266" i="2"/>
  <c r="F257" i="2"/>
  <c r="F2101" i="2"/>
  <c r="F1976" i="2"/>
  <c r="F1960" i="2"/>
  <c r="F1928" i="2"/>
  <c r="F1876" i="2"/>
  <c r="F1864" i="2"/>
  <c r="F1548" i="2"/>
  <c r="F1433" i="2"/>
  <c r="F1389" i="2"/>
  <c r="F1379" i="2"/>
  <c r="F1370" i="2"/>
  <c r="F898" i="2"/>
  <c r="F894" i="2"/>
  <c r="F891" i="2"/>
  <c r="F350" i="2"/>
  <c r="F328" i="2"/>
  <c r="F319" i="2"/>
  <c r="F315" i="2"/>
  <c r="F306" i="2"/>
  <c r="F249" i="2"/>
  <c r="F245" i="2"/>
  <c r="F1742" i="2"/>
  <c r="F1836" i="2"/>
  <c r="F1820" i="2"/>
  <c r="F1800" i="2"/>
  <c r="F1792" i="2"/>
  <c r="F1776" i="2"/>
  <c r="F1736" i="2"/>
  <c r="F1724" i="2"/>
  <c r="F1696" i="2"/>
  <c r="F1684" i="2"/>
  <c r="F1656" i="2"/>
  <c r="F1640" i="2"/>
  <c r="F1636" i="2"/>
  <c r="F1971" i="2"/>
  <c r="F301" i="2"/>
  <c r="F651" i="2"/>
  <c r="F645" i="2"/>
  <c r="F1587" i="2"/>
  <c r="F1500" i="2"/>
  <c r="F1316" i="2"/>
  <c r="F1312" i="2"/>
  <c r="F1276" i="2"/>
  <c r="F1250" i="2"/>
  <c r="F1242" i="2"/>
  <c r="F1238" i="2"/>
  <c r="F1221" i="2"/>
  <c r="F1219" i="2"/>
  <c r="F1205" i="2"/>
  <c r="F1201" i="2"/>
  <c r="F1189" i="2"/>
  <c r="F1185" i="2"/>
  <c r="F1177" i="2"/>
  <c r="F1173" i="2"/>
  <c r="F1077" i="2"/>
  <c r="F1016" i="2"/>
  <c r="F887" i="2"/>
  <c r="F884" i="2"/>
  <c r="F878" i="2"/>
  <c r="F422" i="2"/>
  <c r="F807" i="2"/>
  <c r="F800" i="2"/>
  <c r="F791" i="2"/>
  <c r="F567" i="2"/>
  <c r="F558" i="2"/>
  <c r="F554" i="2"/>
  <c r="F540" i="2"/>
  <c r="F537" i="2"/>
  <c r="F566" i="2"/>
  <c r="F519" i="2"/>
  <c r="F427" i="2"/>
  <c r="F1302" i="2"/>
  <c r="F1158" i="2"/>
  <c r="F1159" i="2"/>
  <c r="F1124" i="2"/>
  <c r="F1119" i="2"/>
  <c r="F1114" i="2"/>
  <c r="F1083" i="2"/>
  <c r="F1058" i="2"/>
  <c r="F1033" i="2"/>
  <c r="F1025" i="2"/>
  <c r="F979" i="2"/>
  <c r="F963" i="2"/>
  <c r="F957" i="2"/>
  <c r="F953" i="2"/>
  <c r="F937" i="2"/>
  <c r="F925" i="2"/>
  <c r="F915" i="2"/>
  <c r="F908" i="2"/>
  <c r="F871" i="2"/>
  <c r="F1543" i="2"/>
  <c r="F1499" i="2"/>
  <c r="F1495" i="2"/>
  <c r="F1461" i="2"/>
  <c r="F1458" i="2"/>
  <c r="F1451" i="2"/>
  <c r="F1388" i="2"/>
  <c r="F1376" i="2"/>
  <c r="F1368" i="2"/>
  <c r="F1360" i="2"/>
  <c r="F1337" i="2"/>
  <c r="F1323" i="2"/>
  <c r="F1319" i="2"/>
  <c r="F1279" i="2"/>
  <c r="F777" i="2"/>
  <c r="F769" i="2"/>
  <c r="F759" i="2"/>
  <c r="F754" i="2"/>
  <c r="F748" i="2"/>
  <c r="F744" i="2"/>
  <c r="F730" i="2"/>
  <c r="F723" i="2"/>
  <c r="F710" i="2"/>
  <c r="F706" i="2"/>
  <c r="F703" i="2"/>
  <c r="F699" i="2"/>
  <c r="F695" i="2"/>
  <c r="F691" i="2"/>
  <c r="F688" i="2"/>
  <c r="F684" i="2"/>
  <c r="F636" i="2"/>
  <c r="F631" i="2"/>
  <c r="F629" i="2"/>
  <c r="F619" i="2"/>
  <c r="F615" i="2"/>
  <c r="F612" i="2"/>
  <c r="F607" i="2"/>
  <c r="F621" i="2"/>
  <c r="F598" i="2"/>
  <c r="F594" i="2"/>
  <c r="F588" i="2"/>
  <c r="F585" i="2"/>
  <c r="F580" i="2"/>
  <c r="F574" i="2"/>
  <c r="F515" i="2"/>
  <c r="F511" i="2"/>
  <c r="F506" i="2"/>
  <c r="F502" i="2"/>
  <c r="F498" i="2"/>
  <c r="F489" i="2"/>
  <c r="F484" i="2"/>
  <c r="F478" i="2"/>
  <c r="F472" i="2"/>
  <c r="F468" i="2"/>
  <c r="F464" i="2"/>
  <c r="F460" i="2"/>
  <c r="F456" i="2"/>
  <c r="F451" i="2"/>
  <c r="F447" i="2"/>
  <c r="F444" i="2"/>
  <c r="F440" i="2"/>
  <c r="F477" i="2"/>
  <c r="F492" i="2"/>
  <c r="F438" i="2"/>
  <c r="F433" i="2"/>
  <c r="F421" i="2"/>
  <c r="F417" i="2"/>
  <c r="F411" i="2"/>
  <c r="F407" i="2"/>
  <c r="F403" i="2"/>
  <c r="F390" i="2"/>
  <c r="F383" i="2"/>
  <c r="F376" i="2"/>
  <c r="F372" i="2"/>
  <c r="F357" i="2"/>
  <c r="F2135" i="2"/>
  <c r="F1247" i="2"/>
  <c r="F1174" i="2"/>
  <c r="F1170" i="2"/>
  <c r="F1102" i="2"/>
  <c r="F1099" i="2"/>
  <c r="F1514" i="2"/>
  <c r="F1356" i="2"/>
  <c r="F1243" i="2"/>
  <c r="F1305" i="2"/>
  <c r="F1274" i="2"/>
  <c r="F1260" i="2"/>
  <c r="F1118" i="2"/>
  <c r="F1079" i="2"/>
  <c r="F1052" i="2"/>
  <c r="F1048" i="2"/>
  <c r="F1044" i="2"/>
  <c r="F1040" i="2"/>
  <c r="F1035" i="2"/>
  <c r="F1028" i="2"/>
  <c r="F1432" i="2"/>
  <c r="F1139" i="2"/>
  <c r="F1108" i="2"/>
  <c r="F1104" i="2"/>
  <c r="F624" i="2"/>
  <c r="F573" i="2"/>
  <c r="F569" i="2"/>
  <c r="F564" i="2"/>
  <c r="F556" i="2"/>
  <c r="F543" i="2"/>
  <c r="F531" i="2"/>
  <c r="F525" i="2"/>
  <c r="F1315" i="2"/>
  <c r="F1313" i="2"/>
  <c r="F1311" i="2"/>
  <c r="F1100" i="2"/>
  <c r="F1066" i="2"/>
  <c r="F1303" i="2"/>
  <c r="F1272" i="2"/>
  <c r="F1153" i="2"/>
  <c r="F1149" i="2"/>
  <c r="F817" i="2"/>
  <c r="F641" i="2"/>
  <c r="F288" i="2"/>
  <c r="F279" i="2"/>
  <c r="F1575" i="2"/>
  <c r="F1468" i="2"/>
  <c r="F1452" i="2"/>
  <c r="F1437" i="2"/>
  <c r="F1396" i="2"/>
  <c r="F1387" i="2"/>
  <c r="F1297" i="2"/>
  <c r="F1263" i="2"/>
  <c r="F1281" i="2"/>
  <c r="F1151" i="2"/>
  <c r="F1967" i="2"/>
  <c r="F1963" i="2"/>
  <c r="F1959" i="2"/>
  <c r="F1955" i="2"/>
  <c r="F1947" i="2"/>
  <c r="F1939" i="2"/>
  <c r="F1931" i="2"/>
  <c r="F1927" i="2"/>
  <c r="F1923" i="2"/>
  <c r="F1919" i="2"/>
  <c r="F1915" i="2"/>
  <c r="F1911" i="2"/>
  <c r="F1903" i="2"/>
  <c r="F1899" i="2"/>
  <c r="F1895" i="2"/>
  <c r="F1891" i="2"/>
  <c r="F1887" i="2"/>
  <c r="F1883" i="2"/>
  <c r="F1879" i="2"/>
  <c r="F1867" i="2"/>
  <c r="F1863" i="2"/>
  <c r="F1859" i="2"/>
  <c r="F1855" i="2"/>
  <c r="F1851" i="2"/>
  <c r="F1843" i="2"/>
  <c r="F1839" i="2"/>
  <c r="F1835" i="2"/>
  <c r="F1831" i="2"/>
  <c r="F1827" i="2"/>
  <c r="F1783" i="2"/>
  <c r="F1751" i="2"/>
  <c r="F1597" i="2"/>
  <c r="F1581" i="2"/>
  <c r="F1511" i="2"/>
  <c r="F1352" i="2"/>
  <c r="F521" i="2"/>
  <c r="F2175" i="2"/>
  <c r="F2151" i="2"/>
  <c r="F2147" i="2"/>
  <c r="F2139" i="2"/>
  <c r="F2097" i="2"/>
  <c r="F2093" i="2"/>
  <c r="F2040" i="2"/>
  <c r="F2008" i="2"/>
  <c r="F1984" i="2"/>
  <c r="F1980" i="2"/>
  <c r="F1972" i="2"/>
  <c r="F1940" i="2"/>
  <c r="F1936" i="2"/>
  <c r="F1924" i="2"/>
  <c r="F1920" i="2"/>
  <c r="F1900" i="2"/>
  <c r="F1888" i="2"/>
  <c r="F1884" i="2"/>
  <c r="F1880" i="2"/>
  <c r="F1872" i="2"/>
  <c r="F1868" i="2"/>
  <c r="F1856" i="2"/>
  <c r="F1852" i="2"/>
  <c r="F1848" i="2"/>
  <c r="F1844" i="2"/>
  <c r="F1840" i="2"/>
  <c r="F1832" i="2"/>
  <c r="F1828" i="2"/>
  <c r="F1816" i="2"/>
  <c r="F1812" i="2"/>
  <c r="F1808" i="2"/>
  <c r="F1804" i="2"/>
  <c r="F1796" i="2"/>
  <c r="F1788" i="2"/>
  <c r="F1780" i="2"/>
  <c r="F1772" i="2"/>
  <c r="F1768" i="2"/>
  <c r="F1760" i="2"/>
  <c r="F1756" i="2"/>
  <c r="F1752" i="2"/>
  <c r="F1744" i="2"/>
  <c r="F1740" i="2"/>
  <c r="F1732" i="2"/>
  <c r="F1728" i="2"/>
  <c r="F1720" i="2"/>
  <c r="F1716" i="2"/>
  <c r="F1708" i="2"/>
  <c r="F1704" i="2"/>
  <c r="F1700" i="2"/>
  <c r="F1692" i="2"/>
  <c r="F1688" i="2"/>
  <c r="F1676" i="2"/>
  <c r="F1672" i="2"/>
  <c r="F1668" i="2"/>
  <c r="F1664" i="2"/>
  <c r="F1660" i="2"/>
  <c r="F1652" i="2"/>
  <c r="F1648" i="2"/>
  <c r="F1631" i="2"/>
  <c r="F1627" i="2"/>
  <c r="F1622" i="2"/>
  <c r="F1620" i="2"/>
  <c r="F1611" i="2"/>
  <c r="F1604" i="2"/>
  <c r="F1634" i="2"/>
  <c r="F1591" i="2"/>
  <c r="F1580" i="2"/>
  <c r="F1576" i="2"/>
  <c r="F1571" i="2"/>
  <c r="F1544" i="2"/>
  <c r="F1540" i="2"/>
  <c r="F1525" i="2"/>
  <c r="F1521" i="2"/>
  <c r="F1518" i="2"/>
  <c r="F1515" i="2"/>
  <c r="F1512" i="2"/>
  <c r="F1509" i="2"/>
  <c r="F1505" i="2"/>
  <c r="F1496" i="2"/>
  <c r="F1487" i="2"/>
  <c r="F1484" i="2"/>
  <c r="F1471" i="2"/>
  <c r="F1464" i="2"/>
  <c r="F1462" i="2"/>
  <c r="F1457" i="2"/>
  <c r="F1455" i="2"/>
  <c r="F1447" i="2"/>
  <c r="F1443" i="2"/>
  <c r="F1439" i="2"/>
  <c r="F1425" i="2"/>
  <c r="F1421" i="2"/>
  <c r="F1416" i="2"/>
  <c r="F1412" i="2"/>
  <c r="F1406" i="2"/>
  <c r="F1410" i="2"/>
  <c r="F1403" i="2"/>
  <c r="F1393" i="2"/>
  <c r="F1385" i="2"/>
  <c r="F1381" i="2"/>
  <c r="F1362" i="2"/>
  <c r="F1361" i="2"/>
  <c r="F1357" i="2"/>
  <c r="F1353" i="2"/>
  <c r="F1349" i="2"/>
  <c r="F1346" i="2"/>
  <c r="F1343" i="2"/>
  <c r="F1339" i="2"/>
  <c r="F1331" i="2"/>
  <c r="F1327" i="2"/>
  <c r="F1320" i="2"/>
  <c r="F1301" i="2"/>
  <c r="F1294" i="2"/>
  <c r="F1289" i="2"/>
  <c r="F1280" i="2"/>
  <c r="F1266" i="2"/>
  <c r="F1253" i="2"/>
  <c r="F1237" i="2"/>
  <c r="F1234" i="2"/>
  <c r="F1213" i="2"/>
  <c r="F1209" i="2"/>
  <c r="F1197" i="2"/>
  <c r="F1193" i="2"/>
  <c r="F1181" i="2"/>
  <c r="F1162" i="2"/>
  <c r="F1144" i="2"/>
  <c r="F1135" i="2"/>
  <c r="F960" i="2"/>
  <c r="F1454" i="2"/>
  <c r="F1446" i="2"/>
  <c r="F1440" i="2"/>
  <c r="F1424" i="2"/>
  <c r="F1430" i="2"/>
  <c r="F1436" i="2"/>
  <c r="F775" i="2"/>
  <c r="F767" i="2"/>
  <c r="F1490" i="2"/>
  <c r="F1482" i="2"/>
  <c r="F1466" i="2"/>
  <c r="F1074" i="2"/>
  <c r="F1057" i="2"/>
  <c r="F1046" i="2"/>
  <c r="F1017" i="2"/>
  <c r="F993" i="2"/>
  <c r="F996" i="2"/>
  <c r="F919" i="2"/>
  <c r="F892" i="2"/>
  <c r="F888" i="2"/>
  <c r="F873" i="2"/>
  <c r="F718" i="2"/>
  <c r="F711" i="2"/>
  <c r="F700" i="2"/>
  <c r="F692" i="2"/>
  <c r="F627" i="2"/>
  <c r="F613" i="2"/>
  <c r="F368" i="2"/>
  <c r="F364" i="2"/>
  <c r="F346" i="2"/>
  <c r="F334" i="2"/>
  <c r="F325" i="2"/>
  <c r="F302" i="2"/>
  <c r="F298" i="2"/>
  <c r="F269" i="2"/>
  <c r="F289" i="2"/>
  <c r="F2131" i="2"/>
  <c r="F2113" i="2"/>
  <c r="F2105" i="2"/>
  <c r="F2000" i="2"/>
  <c r="F1996" i="2"/>
  <c r="F1992" i="2"/>
  <c r="F1988" i="2"/>
  <c r="F1968" i="2"/>
  <c r="F1956" i="2"/>
  <c r="F1952" i="2"/>
  <c r="F1948" i="2"/>
  <c r="F1944" i="2"/>
  <c r="F1916" i="2"/>
  <c r="F1912" i="2"/>
  <c r="F1908" i="2"/>
  <c r="F1904" i="2"/>
  <c r="F1892" i="2"/>
  <c r="F2311" i="2"/>
  <c r="F2299" i="2"/>
  <c r="F2267" i="2"/>
  <c r="F2259" i="2"/>
  <c r="F2247" i="2"/>
  <c r="F2231" i="2"/>
  <c r="F2219" i="2"/>
  <c r="F2215" i="2"/>
  <c r="F2211" i="2"/>
  <c r="F2207" i="2"/>
  <c r="F2199" i="2"/>
  <c r="F2195" i="2"/>
  <c r="F2187" i="2"/>
  <c r="F2179" i="2"/>
  <c r="F2167" i="2"/>
  <c r="F2163" i="2"/>
  <c r="F2159" i="2"/>
  <c r="F2126" i="2"/>
  <c r="F2122" i="2"/>
  <c r="F2088" i="2"/>
  <c r="F2084" i="2"/>
  <c r="F2080" i="2"/>
  <c r="F2076" i="2"/>
  <c r="F2072" i="2"/>
  <c r="F2068" i="2"/>
  <c r="F2060" i="2"/>
  <c r="F2056" i="2"/>
  <c r="F2052" i="2"/>
  <c r="F2048" i="2"/>
  <c r="F2044" i="2"/>
  <c r="F2036" i="2"/>
  <c r="F2032" i="2"/>
  <c r="F2024" i="2"/>
  <c r="F2020" i="2"/>
  <c r="F2016" i="2"/>
  <c r="F2012" i="2"/>
  <c r="F1467" i="2"/>
  <c r="F1161" i="2"/>
  <c r="F1156" i="2"/>
  <c r="F1154" i="2"/>
  <c r="F1146" i="2"/>
  <c r="F1134" i="2"/>
  <c r="F1130" i="2"/>
  <c r="F1126" i="2"/>
  <c r="F1121" i="2"/>
  <c r="F1116" i="2"/>
  <c r="F1112" i="2"/>
  <c r="F772" i="2"/>
  <c r="F763" i="2"/>
  <c r="F809" i="2"/>
  <c r="F2280" i="2"/>
  <c r="F1599" i="2"/>
  <c r="F1574" i="2"/>
  <c r="F1553" i="2"/>
  <c r="F1549" i="2"/>
  <c r="F1535" i="2"/>
  <c r="F1517" i="2"/>
  <c r="F1506" i="2"/>
  <c r="F1502" i="2"/>
  <c r="F1488" i="2"/>
  <c r="F1481" i="2"/>
  <c r="F1474" i="2"/>
  <c r="F1369" i="2"/>
  <c r="F1347" i="2"/>
  <c r="F1344" i="2"/>
  <c r="F1341" i="2"/>
  <c r="F1332" i="2"/>
  <c r="F1328" i="2"/>
  <c r="F1306" i="2"/>
  <c r="F1293" i="2"/>
  <c r="F1290" i="2"/>
  <c r="F1286" i="2"/>
  <c r="F1267" i="2"/>
  <c r="F1261" i="2"/>
  <c r="F1252" i="2"/>
  <c r="F1254" i="2"/>
  <c r="F1229" i="2"/>
  <c r="F1163" i="2"/>
  <c r="F1152" i="2"/>
  <c r="F1148" i="2"/>
  <c r="F1136" i="2"/>
  <c r="F1132" i="2"/>
  <c r="F1128" i="2"/>
  <c r="F1123" i="2"/>
  <c r="F1110" i="2"/>
  <c r="F1109" i="2"/>
  <c r="F1090" i="2"/>
  <c r="F1088" i="2"/>
  <c r="F1068" i="2"/>
  <c r="F1019" i="2"/>
  <c r="F1009" i="2"/>
  <c r="F987" i="2"/>
  <c r="F975" i="2"/>
  <c r="F961" i="2"/>
  <c r="F949" i="2"/>
  <c r="F945" i="2"/>
  <c r="F941" i="2"/>
  <c r="F931" i="2"/>
  <c r="F911" i="2"/>
  <c r="F904" i="2"/>
  <c r="F876" i="2"/>
  <c r="F868" i="2"/>
  <c r="F864" i="2"/>
  <c r="F860" i="2"/>
  <c r="F857" i="2"/>
  <c r="F854" i="2"/>
  <c r="F845" i="2"/>
  <c r="F801" i="2"/>
  <c r="F792" i="2"/>
  <c r="F778" i="2"/>
  <c r="F770" i="2"/>
  <c r="F739" i="2"/>
  <c r="F735" i="2"/>
  <c r="F721" i="2"/>
  <c r="F717" i="2"/>
  <c r="F650" i="2"/>
  <c r="F626" i="2"/>
  <c r="F571" i="2"/>
  <c r="F562" i="2"/>
  <c r="F549" i="2"/>
  <c r="F545" i="2"/>
  <c r="F533" i="2"/>
  <c r="F523" i="2"/>
  <c r="F396" i="2"/>
  <c r="F394" i="2"/>
  <c r="F386" i="2"/>
  <c r="F367" i="2"/>
  <c r="F363" i="2"/>
  <c r="F360" i="2"/>
  <c r="F348" i="2"/>
  <c r="F344" i="2"/>
  <c r="F340" i="2"/>
  <c r="F2508" i="2"/>
  <c r="F2504" i="2"/>
  <c r="F2476" i="2"/>
  <c r="F2472" i="2"/>
  <c r="F2468" i="2"/>
  <c r="F2464" i="2"/>
  <c r="F2460" i="2"/>
  <c r="F2456" i="2"/>
  <c r="F2452" i="2"/>
  <c r="F2448" i="2"/>
  <c r="F2440" i="2"/>
  <c r="F2428" i="2"/>
  <c r="F2416" i="2"/>
  <c r="F2408" i="2"/>
  <c r="F2404" i="2"/>
  <c r="F2396" i="2"/>
  <c r="F2384" i="2"/>
  <c r="F2380" i="2"/>
  <c r="F2376" i="2"/>
  <c r="F2372" i="2"/>
  <c r="F2356" i="2"/>
  <c r="F2352" i="2"/>
  <c r="F2348" i="2"/>
  <c r="F2344" i="2"/>
  <c r="F2340" i="2"/>
  <c r="F2336" i="2"/>
  <c r="F2332" i="2"/>
  <c r="F2324" i="2"/>
  <c r="F2320" i="2"/>
  <c r="F2316" i="2"/>
  <c r="F2304" i="2"/>
  <c r="F2292" i="2"/>
  <c r="F2288" i="2"/>
  <c r="F2284" i="2"/>
  <c r="F2276" i="2"/>
  <c r="F2272" i="2"/>
  <c r="F2268" i="2"/>
  <c r="F2260" i="2"/>
  <c r="F2256" i="2"/>
  <c r="F2252" i="2"/>
  <c r="F2248" i="2"/>
  <c r="F2240" i="2"/>
  <c r="F2232" i="2"/>
  <c r="F2228" i="2"/>
  <c r="F2224" i="2"/>
  <c r="F2220" i="2"/>
  <c r="F2216" i="2"/>
  <c r="F2212" i="2"/>
  <c r="F2208" i="2"/>
  <c r="F2204" i="2"/>
  <c r="F2200" i="2"/>
  <c r="F2196" i="2"/>
  <c r="F2188" i="2"/>
  <c r="F2184" i="2"/>
  <c r="F2180" i="2"/>
  <c r="F2176" i="2"/>
  <c r="F2172" i="2"/>
  <c r="F2168" i="2"/>
  <c r="F2164" i="2"/>
  <c r="F2160" i="2"/>
  <c r="F2156" i="2"/>
  <c r="F2127" i="2"/>
  <c r="F2123" i="2"/>
  <c r="F2119" i="2"/>
  <c r="F2073" i="2"/>
  <c r="F2069" i="2"/>
  <c r="F2065" i="2"/>
  <c r="F2061" i="2"/>
  <c r="F2057" i="2"/>
  <c r="F2053" i="2"/>
  <c r="F2049" i="2"/>
  <c r="F2045" i="2"/>
  <c r="F2037" i="2"/>
  <c r="F2033" i="2"/>
  <c r="F2029" i="2"/>
  <c r="F2025" i="2"/>
  <c r="F2021" i="2"/>
  <c r="F2017" i="2"/>
  <c r="F2013" i="2"/>
  <c r="F841" i="2"/>
  <c r="F829" i="2"/>
  <c r="F333" i="2"/>
  <c r="F332" i="2"/>
  <c r="F324" i="2"/>
  <c r="F1559" i="2"/>
  <c r="F2487" i="2"/>
  <c r="F2459" i="2"/>
  <c r="F2395" i="2"/>
  <c r="F2375" i="2"/>
  <c r="F2347" i="2"/>
  <c r="F2150" i="2"/>
  <c r="F2146" i="2"/>
  <c r="F2142" i="2"/>
  <c r="F2138" i="2"/>
  <c r="F2130" i="2"/>
  <c r="F2117" i="2"/>
  <c r="F1823" i="2"/>
  <c r="F1819" i="2"/>
  <c r="F1815" i="2"/>
  <c r="F1811" i="2"/>
  <c r="F1803" i="2"/>
  <c r="F1795" i="2"/>
  <c r="F1791" i="2"/>
  <c r="F1787" i="2"/>
  <c r="F1779" i="2"/>
  <c r="F1775" i="2"/>
  <c r="F1771" i="2"/>
  <c r="F1767" i="2"/>
  <c r="F1763" i="2"/>
  <c r="F1755" i="2"/>
  <c r="F1743" i="2"/>
  <c r="F1739" i="2"/>
  <c r="F1735" i="2"/>
  <c r="F1731" i="2"/>
  <c r="F1727" i="2"/>
  <c r="F1723" i="2"/>
  <c r="F1715" i="2"/>
  <c r="F1711" i="2"/>
  <c r="F1707" i="2"/>
  <c r="F2190" i="2"/>
  <c r="F2182" i="2"/>
  <c r="F782" i="2"/>
  <c r="F804" i="2"/>
  <c r="F788" i="2"/>
  <c r="F741" i="2"/>
  <c r="F697" i="2"/>
  <c r="F674" i="2"/>
  <c r="F603" i="2"/>
  <c r="F634" i="2"/>
  <c r="F633" i="2"/>
  <c r="F617" i="2"/>
  <c r="F586" i="2"/>
  <c r="F504" i="2"/>
  <c r="F500" i="2"/>
  <c r="F496" i="2"/>
  <c r="F453" i="2"/>
  <c r="F1545" i="2"/>
  <c r="F1541" i="2"/>
  <c r="F1533" i="2"/>
  <c r="F1528" i="2"/>
  <c r="F1526" i="2"/>
  <c r="F1522" i="2"/>
  <c r="F1516" i="2"/>
  <c r="F1501" i="2"/>
  <c r="F1497" i="2"/>
  <c r="F1477" i="2"/>
  <c r="F1382" i="2"/>
  <c r="F1378" i="2"/>
  <c r="F1350" i="2"/>
  <c r="F1345" i="2"/>
  <c r="F1335" i="2"/>
  <c r="F1321" i="2"/>
  <c r="F1317" i="2"/>
  <c r="F1299" i="2"/>
  <c r="F1298" i="2"/>
  <c r="F1284" i="2"/>
  <c r="F1282" i="2"/>
  <c r="F1277" i="2"/>
  <c r="F1251" i="2"/>
  <c r="F1245" i="2"/>
  <c r="F1239" i="2"/>
  <c r="F1236" i="2"/>
  <c r="F1233" i="2"/>
  <c r="F1223" i="2"/>
  <c r="F1210" i="2"/>
  <c r="F1206" i="2"/>
  <c r="F1222" i="2"/>
  <c r="F1215" i="2"/>
  <c r="F1216" i="2"/>
  <c r="F1202" i="2"/>
  <c r="F1198" i="2"/>
  <c r="F1194" i="2"/>
  <c r="F1190" i="2"/>
  <c r="F1186" i="2"/>
  <c r="F1182" i="2"/>
  <c r="F1178" i="2"/>
  <c r="F1141" i="2"/>
  <c r="F1137" i="2"/>
  <c r="F1078" i="2"/>
  <c r="F1065" i="2"/>
  <c r="F998" i="2"/>
  <c r="F969" i="2"/>
  <c r="F899" i="2"/>
  <c r="F895" i="2"/>
  <c r="F879" i="2"/>
  <c r="F779" i="2"/>
  <c r="F727" i="2"/>
  <c r="F724" i="2"/>
  <c r="F714" i="2"/>
  <c r="F707" i="2"/>
  <c r="F686" i="2"/>
  <c r="F681" i="2"/>
  <c r="F676" i="2"/>
  <c r="F673" i="2"/>
  <c r="F669" i="2"/>
  <c r="F665" i="2"/>
  <c r="F661" i="2"/>
  <c r="F657" i="2"/>
  <c r="F654" i="2"/>
  <c r="F638" i="2"/>
  <c r="F620" i="2"/>
  <c r="F601" i="2"/>
  <c r="F575" i="2"/>
  <c r="F485" i="2"/>
  <c r="F479" i="2"/>
  <c r="F452" i="2"/>
  <c r="F445" i="2"/>
  <c r="F441" i="2"/>
  <c r="F495" i="2"/>
  <c r="F493" i="2"/>
  <c r="F486" i="2"/>
  <c r="F435" i="2"/>
  <c r="F430" i="2"/>
  <c r="F414" i="2"/>
  <c r="F412" i="2"/>
  <c r="F408" i="2"/>
  <c r="F400" i="2"/>
  <c r="F358" i="2"/>
  <c r="F294" i="2"/>
  <c r="F280" i="2"/>
  <c r="F275" i="2"/>
  <c r="F267" i="2"/>
  <c r="F261" i="2"/>
  <c r="F256" i="2"/>
  <c r="F176" i="2"/>
  <c r="F2103" i="2"/>
  <c r="F2091" i="2"/>
  <c r="F2075" i="2"/>
  <c r="F2067" i="2"/>
  <c r="F2055" i="2"/>
  <c r="F2051" i="2"/>
  <c r="F2047" i="2"/>
  <c r="F2043" i="2"/>
  <c r="F2039" i="2"/>
  <c r="F2035" i="2"/>
  <c r="F2031" i="2"/>
  <c r="F2019" i="2"/>
  <c r="F2015" i="2"/>
  <c r="F2010" i="2"/>
  <c r="F1551" i="2"/>
  <c r="F1504" i="2"/>
  <c r="F1483" i="2"/>
  <c r="F1417" i="2"/>
  <c r="F1415" i="2"/>
  <c r="F1411" i="2"/>
  <c r="F1409" i="2"/>
  <c r="F1402" i="2"/>
  <c r="F1399" i="2"/>
  <c r="F1395" i="2"/>
  <c r="F1394" i="2"/>
  <c r="F1372" i="2"/>
  <c r="F1348" i="2"/>
  <c r="F1342" i="2"/>
  <c r="F1334" i="2"/>
  <c r="F1326" i="2"/>
  <c r="F1273" i="2"/>
  <c r="F1227" i="2"/>
  <c r="F1091" i="2"/>
  <c r="F1085" i="2"/>
  <c r="F1086" i="2"/>
  <c r="F1070" i="2"/>
  <c r="F1067" i="2"/>
  <c r="F1054" i="2"/>
  <c r="F1051" i="2"/>
  <c r="F1047" i="2"/>
  <c r="F1043" i="2"/>
  <c r="F1039" i="2"/>
  <c r="F1034" i="2"/>
  <c r="F1027" i="2"/>
  <c r="F1023" i="2"/>
  <c r="F1020" i="2"/>
  <c r="F1008" i="2"/>
  <c r="F989" i="2"/>
  <c r="F985" i="2"/>
  <c r="F984" i="2"/>
  <c r="F977" i="2"/>
  <c r="F973" i="2"/>
  <c r="F965" i="2"/>
  <c r="F955" i="2"/>
  <c r="F951" i="2"/>
  <c r="F947" i="2"/>
  <c r="F939" i="2"/>
  <c r="F935" i="2"/>
  <c r="F870" i="2"/>
  <c r="F866" i="2"/>
  <c r="F862" i="2"/>
  <c r="F858" i="2"/>
  <c r="F855" i="2"/>
  <c r="F852" i="2"/>
  <c r="F823" i="2"/>
  <c r="F821" i="2"/>
  <c r="F737" i="2"/>
  <c r="F733" i="2"/>
  <c r="F653" i="2"/>
  <c r="F576" i="2"/>
  <c r="F398" i="2"/>
  <c r="F392" i="2"/>
  <c r="F347" i="2"/>
  <c r="F342" i="2"/>
  <c r="F338" i="2"/>
  <c r="F303" i="2"/>
  <c r="F290" i="2"/>
  <c r="F247" i="2"/>
  <c r="F175" i="2"/>
  <c r="F2082" i="2"/>
  <c r="F2074" i="2"/>
  <c r="F1554" i="2"/>
  <c r="F1507" i="2"/>
  <c r="F1485" i="2"/>
  <c r="F1473" i="2"/>
  <c r="F1456" i="2"/>
  <c r="F1444" i="2"/>
  <c r="F1441" i="2"/>
  <c r="F1427" i="2"/>
  <c r="F1423" i="2"/>
  <c r="F1428" i="2"/>
  <c r="F1420" i="2"/>
  <c r="F1414" i="2"/>
  <c r="F1408" i="2"/>
  <c r="F1405" i="2"/>
  <c r="F1401" i="2"/>
  <c r="F1398" i="2"/>
  <c r="F1374" i="2"/>
  <c r="F1365" i="2"/>
  <c r="F1309" i="2"/>
  <c r="F1307" i="2"/>
  <c r="F1292" i="2"/>
  <c r="F1291" i="2"/>
  <c r="F1287" i="2"/>
  <c r="F1268" i="2"/>
  <c r="F1262" i="2"/>
  <c r="F1255" i="2"/>
  <c r="F1226" i="2"/>
  <c r="F1191" i="2"/>
  <c r="F1164" i="2"/>
  <c r="F1160" i="2"/>
  <c r="F1145" i="2"/>
  <c r="F1133" i="2"/>
  <c r="F1129" i="2"/>
  <c r="F1125" i="2"/>
  <c r="F1120" i="2"/>
  <c r="F1115" i="2"/>
  <c r="F1111" i="2"/>
  <c r="F1093" i="2"/>
  <c r="F1089" i="2"/>
  <c r="F1084" i="2"/>
  <c r="F1069" i="2"/>
  <c r="F1059" i="2"/>
  <c r="F1053" i="2"/>
  <c r="F1042" i="2"/>
  <c r="F1038" i="2"/>
  <c r="F1036" i="2"/>
  <c r="F1030" i="2"/>
  <c r="F1026" i="2"/>
  <c r="F1014" i="2"/>
  <c r="F1011" i="2"/>
  <c r="F1006" i="2"/>
  <c r="F988" i="2"/>
  <c r="F983" i="2"/>
  <c r="F980" i="2"/>
  <c r="F972" i="2"/>
  <c r="F946" i="2"/>
  <c r="F932" i="2"/>
  <c r="F928" i="2"/>
  <c r="F926" i="2"/>
  <c r="F912" i="2"/>
  <c r="F903" i="2"/>
  <c r="F872" i="2"/>
  <c r="F869" i="2"/>
  <c r="F865" i="2"/>
  <c r="F861" i="2"/>
  <c r="F850" i="2"/>
  <c r="F846" i="2"/>
  <c r="F842" i="2"/>
  <c r="F838" i="2"/>
  <c r="F834" i="2"/>
  <c r="F830" i="2"/>
  <c r="F822" i="2"/>
  <c r="F820" i="2"/>
  <c r="F814" i="2"/>
  <c r="F736" i="2"/>
  <c r="F713" i="2"/>
  <c r="F652" i="2"/>
  <c r="F428" i="2"/>
  <c r="F397" i="2"/>
  <c r="F382" i="2"/>
  <c r="F1998" i="2"/>
  <c r="F1986" i="2"/>
  <c r="F1982" i="2"/>
  <c r="F1978" i="2"/>
  <c r="F1966" i="2"/>
  <c r="F1018" i="2"/>
  <c r="F999" i="2"/>
  <c r="F889" i="2"/>
  <c r="F409" i="2"/>
  <c r="F177" i="2"/>
  <c r="F1703" i="2"/>
  <c r="F1699" i="2"/>
  <c r="F1695" i="2"/>
  <c r="F1691" i="2"/>
  <c r="F1687" i="2"/>
  <c r="F1683" i="2"/>
  <c r="F1679" i="2"/>
  <c r="F1675" i="2"/>
  <c r="F1663" i="2"/>
  <c r="F1659" i="2"/>
  <c r="F1651" i="2"/>
  <c r="F1647" i="2"/>
  <c r="F1643" i="2"/>
  <c r="F1635" i="2"/>
  <c r="F1946" i="2"/>
  <c r="F1942" i="2"/>
  <c r="F1938" i="2"/>
  <c r="F1926" i="2"/>
  <c r="F1914" i="2"/>
  <c r="F1906" i="2"/>
  <c r="F1902" i="2"/>
  <c r="F1898" i="2"/>
  <c r="F1886" i="2"/>
  <c r="F1874" i="2"/>
  <c r="F1870" i="2"/>
  <c r="F1866" i="2"/>
  <c r="F1854" i="2"/>
  <c r="F1846" i="2"/>
  <c r="F1838" i="2"/>
  <c r="F1830" i="2"/>
  <c r="F1826" i="2"/>
  <c r="F1814" i="2"/>
  <c r="F1802" i="2"/>
  <c r="F1798" i="2"/>
  <c r="F1794" i="2"/>
  <c r="F1782" i="2"/>
  <c r="F1770" i="2"/>
  <c r="F1766" i="2"/>
  <c r="F1762" i="2"/>
  <c r="F1758" i="2"/>
  <c r="F1750" i="2"/>
  <c r="F1730" i="2"/>
  <c r="F1722" i="2"/>
  <c r="F1710" i="2"/>
  <c r="F1706" i="2"/>
  <c r="F1702" i="2"/>
  <c r="F1690" i="2"/>
  <c r="F1682" i="2"/>
  <c r="F1670" i="2"/>
  <c r="F1666" i="2"/>
  <c r="F1662" i="2"/>
  <c r="F1650" i="2"/>
  <c r="F1638" i="2"/>
  <c r="F1629" i="2"/>
  <c r="F1624" i="2"/>
  <c r="F1626" i="2"/>
  <c r="F1609" i="2"/>
  <c r="F1596" i="2"/>
  <c r="F1594" i="2"/>
  <c r="F1583" i="2"/>
  <c r="F1565" i="2"/>
  <c r="F1560" i="2"/>
  <c r="F1513" i="2"/>
  <c r="F1498" i="2"/>
  <c r="F1478" i="2"/>
  <c r="F1460" i="2"/>
  <c r="F1450" i="2"/>
  <c r="F1431" i="2"/>
  <c r="F1419" i="2"/>
  <c r="F1391" i="2"/>
  <c r="F1383" i="2"/>
  <c r="F1375" i="2"/>
  <c r="F1377" i="2"/>
  <c r="F1187" i="2"/>
  <c r="F1167" i="2"/>
  <c r="F795" i="2"/>
  <c r="F776" i="2"/>
  <c r="F768" i="2"/>
  <c r="F805" i="2"/>
  <c r="F797" i="2"/>
  <c r="F789" i="2"/>
  <c r="F773" i="2"/>
  <c r="F764" i="2"/>
  <c r="F810" i="2"/>
  <c r="F802" i="2"/>
  <c r="F786" i="2"/>
  <c r="F379" i="2"/>
  <c r="F373" i="2"/>
  <c r="F361" i="2"/>
  <c r="F351" i="2"/>
  <c r="F341" i="2"/>
  <c r="F337" i="2"/>
  <c r="F329" i="2"/>
  <c r="F321" i="2"/>
  <c r="F316" i="2"/>
  <c r="F305" i="2"/>
  <c r="F250" i="2"/>
  <c r="F179" i="2"/>
  <c r="F1630" i="2"/>
  <c r="F1625" i="2"/>
  <c r="F1621" i="2"/>
  <c r="F1617" i="2"/>
  <c r="F1606" i="2"/>
  <c r="F1603" i="2"/>
  <c r="F1598" i="2"/>
  <c r="F1586" i="2"/>
  <c r="F1552" i="2"/>
  <c r="F1519" i="2"/>
  <c r="F2438" i="2"/>
  <c r="F2278" i="2"/>
  <c r="F1364" i="2"/>
  <c r="F1359" i="2"/>
  <c r="F1355" i="2"/>
  <c r="F1351" i="2"/>
  <c r="F1318" i="2"/>
  <c r="F1285" i="2"/>
  <c r="F1283" i="2"/>
  <c r="F1278" i="2"/>
  <c r="F1257" i="2"/>
  <c r="F1248" i="2"/>
  <c r="F1246" i="2"/>
  <c r="F1244" i="2"/>
  <c r="F1240" i="2"/>
  <c r="F1232" i="2"/>
  <c r="F1224" i="2"/>
  <c r="F1211" i="2"/>
  <c r="F1207" i="2"/>
  <c r="F1214" i="2"/>
  <c r="F1217" i="2"/>
  <c r="F1203" i="2"/>
  <c r="F1199" i="2"/>
  <c r="F1195" i="2"/>
  <c r="F1183" i="2"/>
  <c r="F1179" i="2"/>
  <c r="F1175" i="2"/>
  <c r="F1171" i="2"/>
  <c r="F1168" i="2"/>
  <c r="F1142" i="2"/>
  <c r="F1138" i="2"/>
  <c r="F1107" i="2"/>
  <c r="F1103" i="2"/>
  <c r="F1080" i="2"/>
  <c r="F1075" i="2"/>
  <c r="F1071" i="2"/>
  <c r="F994" i="2"/>
  <c r="F970" i="2"/>
  <c r="F966" i="2"/>
  <c r="F826" i="2"/>
  <c r="F781" i="2"/>
  <c r="F761" i="2"/>
  <c r="F758" i="2"/>
  <c r="F752" i="2"/>
  <c r="F750" i="2"/>
  <c r="F746" i="2"/>
  <c r="F756" i="2"/>
  <c r="F725" i="2"/>
  <c r="F712" i="2"/>
  <c r="F708" i="2"/>
  <c r="F687" i="2"/>
  <c r="F682" i="2"/>
  <c r="F678" i="2"/>
  <c r="F667" i="2"/>
  <c r="F662" i="2"/>
  <c r="F658" i="2"/>
  <c r="F639" i="2"/>
  <c r="F622" i="2"/>
  <c r="F614" i="2"/>
  <c r="F609" i="2"/>
  <c r="F605" i="2"/>
  <c r="F596" i="2"/>
  <c r="F593" i="2"/>
  <c r="F577" i="2"/>
  <c r="F527" i="2"/>
  <c r="F517" i="2"/>
  <c r="F513" i="2"/>
  <c r="F512" i="2"/>
  <c r="F508" i="2"/>
  <c r="F487" i="2"/>
  <c r="F482" i="2"/>
  <c r="F480" i="2"/>
  <c r="F474" i="2"/>
  <c r="F470" i="2"/>
  <c r="F458" i="2"/>
  <c r="F449" i="2"/>
  <c r="F446" i="2"/>
  <c r="F442" i="2"/>
  <c r="F437" i="2"/>
  <c r="F405" i="2"/>
  <c r="F401" i="2"/>
  <c r="F295" i="2"/>
  <c r="F292" i="2"/>
  <c r="F281" i="2"/>
  <c r="F264" i="2"/>
  <c r="F255" i="2"/>
  <c r="C72" i="5"/>
  <c r="F178" i="2"/>
  <c r="F182" i="2"/>
  <c r="F180" i="2"/>
  <c r="F187" i="2"/>
  <c r="F2004" i="2"/>
  <c r="F1964" i="2"/>
  <c r="F1932" i="2"/>
  <c r="F1896" i="2"/>
  <c r="F1860" i="2"/>
  <c r="F2391" i="2"/>
  <c r="F2263" i="2"/>
  <c r="F2251" i="2"/>
  <c r="F186" i="2"/>
  <c r="F1824" i="2"/>
  <c r="F1784" i="2"/>
  <c r="F1764" i="2"/>
  <c r="F1748" i="2"/>
  <c r="F1712" i="2"/>
  <c r="F1680" i="2"/>
  <c r="F1644" i="2"/>
  <c r="F2411" i="2"/>
  <c r="F2227" i="2"/>
  <c r="F2183" i="2"/>
  <c r="F188" i="2"/>
  <c r="F1550" i="2"/>
  <c r="F1472" i="2"/>
  <c r="F2488" i="2"/>
  <c r="F2480" i="2"/>
  <c r="F2424" i="2"/>
  <c r="F2392" i="2"/>
  <c r="F2360" i="2"/>
  <c r="F2328" i="2"/>
  <c r="F2264" i="2"/>
  <c r="F2236" i="2"/>
  <c r="F2192" i="2"/>
  <c r="F2143" i="2"/>
  <c r="F2109" i="2"/>
  <c r="F2085" i="2"/>
  <c r="F2081" i="2"/>
  <c r="F2077" i="2"/>
  <c r="F2041" i="2"/>
  <c r="F1503" i="2"/>
  <c r="O5" i="10"/>
  <c r="F1607" i="2"/>
  <c r="F1582" i="2"/>
  <c r="F189" i="2"/>
  <c r="F190" i="2"/>
  <c r="F191" i="2"/>
  <c r="F2482" i="2"/>
  <c r="F2478" i="2"/>
  <c r="F2434" i="2"/>
  <c r="F2418" i="2"/>
  <c r="F2414" i="2"/>
  <c r="F2394" i="2"/>
  <c r="F2390" i="2"/>
  <c r="F2358" i="2"/>
  <c r="F2354" i="2"/>
  <c r="F2346" i="2"/>
  <c r="F2322" i="2"/>
  <c r="F2318" i="2"/>
  <c r="F2290" i="2"/>
  <c r="F2274" i="2"/>
  <c r="F2242" i="2"/>
  <c r="F2234" i="2"/>
  <c r="F2206" i="2"/>
  <c r="F2202" i="2"/>
  <c r="F2198" i="2"/>
  <c r="F2194" i="2"/>
  <c r="F2186" i="2"/>
  <c r="F2178" i="2"/>
  <c r="F2174" i="2"/>
  <c r="F2170" i="2"/>
  <c r="F2166" i="2"/>
  <c r="F2162" i="2"/>
  <c r="F2158" i="2"/>
  <c r="F2145" i="2"/>
  <c r="F2141" i="2"/>
  <c r="F2129" i="2"/>
  <c r="F2125" i="2"/>
  <c r="F2121" i="2"/>
  <c r="F1259" i="2"/>
  <c r="F1220" i="2"/>
  <c r="F1087" i="2"/>
  <c r="F1062" i="2"/>
  <c r="F968" i="2"/>
  <c r="F962" i="2"/>
  <c r="F950" i="2"/>
  <c r="F938" i="2"/>
  <c r="F896" i="2"/>
  <c r="F880" i="2"/>
  <c r="F419" i="2"/>
  <c r="F415" i="2"/>
  <c r="F709" i="2"/>
  <c r="F192" i="2"/>
  <c r="F1893" i="2"/>
  <c r="F1881" i="2"/>
  <c r="F1689" i="2"/>
  <c r="F1557" i="2"/>
  <c r="F1529" i="2"/>
  <c r="F698" i="2"/>
  <c r="F835" i="2"/>
  <c r="F1465" i="2"/>
  <c r="F1463" i="2"/>
  <c r="F1390" i="2"/>
  <c r="F1386" i="2"/>
  <c r="F1371" i="2"/>
  <c r="F1358" i="2"/>
  <c r="F1325" i="2"/>
  <c r="F1304" i="2"/>
  <c r="F1218" i="2"/>
  <c r="F1176" i="2"/>
  <c r="F1140" i="2"/>
  <c r="F1082" i="2"/>
  <c r="F2140" i="2"/>
  <c r="F1965" i="2"/>
  <c r="F1961" i="2"/>
  <c r="F1685" i="2"/>
  <c r="F193" i="2"/>
  <c r="F799" i="2"/>
  <c r="F751" i="2"/>
  <c r="F2098" i="2"/>
  <c r="F2090" i="2"/>
  <c r="F2034" i="2"/>
  <c r="F1777" i="2"/>
  <c r="F1773" i="2"/>
  <c r="F1623" i="2"/>
  <c r="F1493" i="2"/>
  <c r="F1765" i="2"/>
  <c r="F1429" i="2"/>
  <c r="F1073" i="2"/>
  <c r="F1061" i="2"/>
  <c r="F1056" i="2"/>
  <c r="F1002" i="2"/>
  <c r="F933" i="2"/>
  <c r="F923" i="2"/>
  <c r="F920" i="2"/>
  <c r="F901" i="2"/>
  <c r="F874" i="2"/>
  <c r="F863" i="2"/>
  <c r="F766" i="2"/>
  <c r="F811" i="2"/>
  <c r="F803" i="2"/>
  <c r="F771" i="2"/>
  <c r="F664" i="2"/>
  <c r="F660" i="2"/>
  <c r="F608" i="2"/>
  <c r="F604" i="2"/>
  <c r="F597" i="2"/>
  <c r="F555" i="2"/>
  <c r="F520" i="2"/>
  <c r="F499" i="2"/>
  <c r="F490" i="2"/>
  <c r="F381" i="2"/>
  <c r="F335" i="2"/>
  <c r="F330" i="2"/>
  <c r="F326" i="2"/>
  <c r="F300" i="2"/>
  <c r="F240" i="2"/>
  <c r="F2506" i="2"/>
  <c r="F2502" i="2"/>
  <c r="F2498" i="2"/>
  <c r="F2494" i="2"/>
  <c r="F2490" i="2"/>
  <c r="F2486" i="2"/>
  <c r="F2474" i="2"/>
  <c r="F2470" i="2"/>
  <c r="F2466" i="2"/>
  <c r="F2462" i="2"/>
  <c r="F2458" i="2"/>
  <c r="F2454" i="2"/>
  <c r="F2450" i="2"/>
  <c r="F2446" i="2"/>
  <c r="F2442" i="2"/>
  <c r="F2430" i="2"/>
  <c r="F2426" i="2"/>
  <c r="F2422" i="2"/>
  <c r="F2406" i="2"/>
  <c r="F2402" i="2"/>
  <c r="F2398" i="2"/>
  <c r="F2386" i="2"/>
  <c r="F2382" i="2"/>
  <c r="F2378" i="2"/>
  <c r="F2374" i="2"/>
  <c r="F2370" i="2"/>
  <c r="F2366" i="2"/>
  <c r="F2362" i="2"/>
  <c r="F2350" i="2"/>
  <c r="F2342" i="2"/>
  <c r="F2338" i="2"/>
  <c r="F2334" i="2"/>
  <c r="F2330" i="2"/>
  <c r="F2326" i="2"/>
  <c r="F2314" i="2"/>
  <c r="F2310" i="2"/>
  <c r="F2306" i="2"/>
  <c r="F2298" i="2"/>
  <c r="F2294" i="2"/>
  <c r="F2286" i="2"/>
  <c r="F2282" i="2"/>
  <c r="F2270" i="2"/>
  <c r="F2266" i="2"/>
  <c r="F2262" i="2"/>
  <c r="F2258" i="2"/>
  <c r="F2254" i="2"/>
  <c r="F2250" i="2"/>
  <c r="F2246" i="2"/>
  <c r="F2238" i="2"/>
  <c r="F2230" i="2"/>
  <c r="F2226" i="2"/>
  <c r="F2222" i="2"/>
  <c r="F2218" i="2"/>
  <c r="F2214" i="2"/>
  <c r="F2210" i="2"/>
  <c r="F1249" i="2"/>
  <c r="F2500" i="2"/>
  <c r="F2496" i="2"/>
  <c r="F2492" i="2"/>
  <c r="F2484" i="2"/>
  <c r="F2444" i="2"/>
  <c r="F2436" i="2"/>
  <c r="F2432" i="2"/>
  <c r="F2420" i="2"/>
  <c r="F2412" i="2"/>
  <c r="F2400" i="2"/>
  <c r="F2388" i="2"/>
  <c r="F2368" i="2"/>
  <c r="F2364" i="2"/>
  <c r="F2312" i="2"/>
  <c r="F2308" i="2"/>
  <c r="F2300" i="2"/>
  <c r="F2296" i="2"/>
  <c r="F2244" i="2"/>
  <c r="F194" i="2"/>
  <c r="F2144" i="2"/>
  <c r="F2136" i="2"/>
  <c r="F2132" i="2"/>
  <c r="F2102" i="2"/>
  <c r="F2094" i="2"/>
  <c r="F2009" i="2"/>
  <c r="F2005" i="2"/>
  <c r="F2001" i="2"/>
  <c r="F1997" i="2"/>
  <c r="F1993" i="2"/>
  <c r="F1989" i="2"/>
  <c r="F1985" i="2"/>
  <c r="F1981" i="2"/>
  <c r="F1977" i="2"/>
  <c r="F1973" i="2"/>
  <c r="F1969" i="2"/>
  <c r="F1957" i="2"/>
  <c r="F1953" i="2"/>
  <c r="F1949" i="2"/>
  <c r="F1945" i="2"/>
  <c r="F1941" i="2"/>
  <c r="F1937" i="2"/>
  <c r="F1933" i="2"/>
  <c r="F1929" i="2"/>
  <c r="F1925" i="2"/>
  <c r="F1921" i="2"/>
  <c r="F1258" i="2"/>
  <c r="F680" i="2"/>
  <c r="F196" i="2"/>
  <c r="F195" i="2"/>
  <c r="F1434" i="2"/>
  <c r="F197" i="2"/>
  <c r="F2148" i="2"/>
  <c r="F1592" i="2"/>
  <c r="F1584" i="2"/>
  <c r="F1577" i="2"/>
  <c r="F1569" i="2"/>
  <c r="F1564" i="2"/>
  <c r="F1562" i="2"/>
  <c r="F1558" i="2"/>
  <c r="F1373" i="2"/>
  <c r="F1295" i="2"/>
  <c r="F1288" i="2"/>
  <c r="F1269" i="2"/>
  <c r="F1265" i="2"/>
  <c r="F1208" i="2"/>
  <c r="F1204" i="2"/>
  <c r="F1196" i="2"/>
  <c r="F1192" i="2"/>
  <c r="F1188" i="2"/>
  <c r="F812" i="2"/>
  <c r="F793" i="2"/>
  <c r="F760" i="2"/>
  <c r="F755" i="2"/>
  <c r="F668" i="2"/>
  <c r="F656" i="2"/>
  <c r="F642" i="2"/>
  <c r="F637" i="2"/>
  <c r="F384" i="2"/>
  <c r="F297" i="2"/>
  <c r="F293" i="2"/>
  <c r="F287" i="2"/>
  <c r="F283" i="2"/>
  <c r="F198" i="2"/>
  <c r="F2451" i="2"/>
  <c r="F2443" i="2"/>
  <c r="F2379" i="2"/>
  <c r="F2327" i="2"/>
  <c r="F2323" i="2"/>
  <c r="F1157" i="2"/>
  <c r="F886" i="2"/>
  <c r="F774" i="2"/>
  <c r="F787" i="2"/>
  <c r="F589" i="2"/>
  <c r="F600" i="2"/>
  <c r="F595" i="2"/>
  <c r="F568" i="2"/>
  <c r="F559" i="2"/>
  <c r="F550" i="2"/>
  <c r="F542" i="2"/>
  <c r="F538" i="2"/>
  <c r="F524" i="2"/>
  <c r="F507" i="2"/>
  <c r="F457" i="2"/>
  <c r="F448" i="2"/>
  <c r="F494" i="2"/>
  <c r="F406" i="2"/>
  <c r="F362" i="2"/>
  <c r="F307" i="2"/>
  <c r="F304" i="2"/>
  <c r="F200" i="2"/>
  <c r="F199" i="2"/>
  <c r="F201" i="2"/>
  <c r="F1546" i="2"/>
  <c r="F1542" i="2"/>
  <c r="F1536" i="2"/>
  <c r="F1534" i="2"/>
  <c r="F1527" i="2"/>
  <c r="F1510" i="2"/>
  <c r="F1494" i="2"/>
  <c r="F1470" i="2"/>
  <c r="F1469" i="2"/>
  <c r="F1453" i="2"/>
  <c r="F1448" i="2"/>
  <c r="F1445" i="2"/>
  <c r="F1442" i="2"/>
  <c r="F1426" i="2"/>
  <c r="F1422" i="2"/>
  <c r="F1438" i="2"/>
  <c r="F1413" i="2"/>
  <c r="F1407" i="2"/>
  <c r="F1404" i="2"/>
  <c r="F1400" i="2"/>
  <c r="F1155" i="2"/>
  <c r="F831" i="2"/>
  <c r="F819" i="2"/>
  <c r="F2279" i="2"/>
  <c r="F2507" i="2"/>
  <c r="F2495" i="2"/>
  <c r="F2479" i="2"/>
  <c r="F2455" i="2"/>
  <c r="F2427" i="2"/>
  <c r="F2423" i="2"/>
  <c r="F2407" i="2"/>
  <c r="F2359" i="2"/>
  <c r="F2355" i="2"/>
  <c r="F2343" i="2"/>
  <c r="F2295" i="2"/>
  <c r="F2291" i="2"/>
  <c r="F2275" i="2"/>
  <c r="F2243" i="2"/>
  <c r="F2239" i="2"/>
  <c r="F1000" i="2"/>
  <c r="F202" i="2"/>
  <c r="F2477" i="2"/>
  <c r="F2405" i="2"/>
  <c r="F2333" i="2"/>
  <c r="F2157" i="2"/>
  <c r="F2050" i="2"/>
  <c r="F2014" i="2"/>
  <c r="F1917" i="2"/>
  <c r="F1913" i="2"/>
  <c r="F1909" i="2"/>
  <c r="F1905" i="2"/>
  <c r="F1901" i="2"/>
  <c r="F1897" i="2"/>
  <c r="F1889" i="2"/>
  <c r="F1885" i="2"/>
  <c r="F1877" i="2"/>
  <c r="F1873" i="2"/>
  <c r="F1869" i="2"/>
  <c r="F1865" i="2"/>
  <c r="F1861" i="2"/>
  <c r="F1857" i="2"/>
  <c r="F1853" i="2"/>
  <c r="F1849" i="2"/>
  <c r="F1845" i="2"/>
  <c r="F1841" i="2"/>
  <c r="F1837" i="2"/>
  <c r="F1833" i="2"/>
  <c r="F1829" i="2"/>
  <c r="F1825" i="2"/>
  <c r="F1821" i="2"/>
  <c r="F1817" i="2"/>
  <c r="F1813" i="2"/>
  <c r="F1809" i="2"/>
  <c r="F1805" i="2"/>
  <c r="F1801" i="2"/>
  <c r="F1753" i="2"/>
  <c r="F1749" i="2"/>
  <c r="F1721" i="2"/>
  <c r="F1713" i="2"/>
  <c r="F1705" i="2"/>
  <c r="F1693" i="2"/>
  <c r="F1657" i="2"/>
  <c r="F1645" i="2"/>
  <c r="F1637" i="2"/>
  <c r="F1618" i="2"/>
  <c r="F1566" i="2"/>
  <c r="F1147" i="2"/>
  <c r="F1113" i="2"/>
  <c r="F1105" i="2"/>
  <c r="F1096" i="2"/>
  <c r="F1092" i="2"/>
  <c r="F1064" i="2"/>
  <c r="F1049" i="2"/>
  <c r="F1029" i="2"/>
  <c r="F982" i="2"/>
  <c r="F929" i="2"/>
  <c r="F916" i="2"/>
  <c r="F909" i="2"/>
  <c r="F849" i="2"/>
  <c r="F203" i="2"/>
  <c r="F2223" i="2"/>
  <c r="F2203" i="2"/>
  <c r="F2191" i="2"/>
  <c r="F2171" i="2"/>
  <c r="F2155" i="2"/>
  <c r="F2064" i="2"/>
  <c r="F2028" i="2"/>
  <c r="F204" i="2"/>
  <c r="F1797" i="2"/>
  <c r="F1793" i="2"/>
  <c r="F1789" i="2"/>
  <c r="F1785" i="2"/>
  <c r="F1781" i="2"/>
  <c r="F1769" i="2"/>
  <c r="F1761" i="2"/>
  <c r="F1757" i="2"/>
  <c r="F1745" i="2"/>
  <c r="F1741" i="2"/>
  <c r="F1737" i="2"/>
  <c r="F1733" i="2"/>
  <c r="F1729" i="2"/>
  <c r="F1725" i="2"/>
  <c r="F1717" i="2"/>
  <c r="F1709" i="2"/>
  <c r="F1701" i="2"/>
  <c r="F1697" i="2"/>
  <c r="F1681" i="2"/>
  <c r="F1677" i="2"/>
  <c r="F1673" i="2"/>
  <c r="F1669" i="2"/>
  <c r="F1665" i="2"/>
  <c r="F1661" i="2"/>
  <c r="F1653" i="2"/>
  <c r="F1649" i="2"/>
  <c r="F1641" i="2"/>
  <c r="F1632" i="2"/>
  <c r="F1628" i="2"/>
  <c r="F1397" i="2"/>
  <c r="F1296" i="2"/>
  <c r="F1256" i="2"/>
  <c r="F2134" i="2"/>
  <c r="F2100" i="2"/>
  <c r="F1991" i="2"/>
  <c r="F1979" i="2"/>
  <c r="F1943" i="2"/>
  <c r="F1935" i="2"/>
  <c r="F1907" i="2"/>
  <c r="F1875" i="2"/>
  <c r="F1871" i="2"/>
  <c r="F1847" i="2"/>
  <c r="F1807" i="2"/>
  <c r="F1671" i="2"/>
  <c r="F1655" i="2"/>
  <c r="F1614" i="2"/>
  <c r="F1556" i="2"/>
  <c r="F1271" i="2"/>
  <c r="F1031" i="2"/>
  <c r="F2491" i="2"/>
  <c r="F2475" i="2"/>
  <c r="F2471" i="2"/>
  <c r="F2439" i="2"/>
  <c r="F2419" i="2"/>
  <c r="F2387" i="2"/>
  <c r="F2363" i="2"/>
  <c r="F2331" i="2"/>
  <c r="F2315" i="2"/>
  <c r="F2283" i="2"/>
  <c r="F2271" i="2"/>
  <c r="F2255" i="2"/>
  <c r="F2235" i="2"/>
  <c r="F1799" i="2"/>
  <c r="F1759" i="2"/>
  <c r="F1747" i="2"/>
  <c r="F1719" i="2"/>
  <c r="F1573" i="2"/>
  <c r="F1489" i="2"/>
  <c r="F1366" i="2"/>
  <c r="F1241" i="2"/>
  <c r="F1340" i="2"/>
  <c r="F1333" i="2"/>
  <c r="F1329" i="2"/>
  <c r="F1322" i="2"/>
  <c r="F1314" i="2"/>
  <c r="F1310" i="2"/>
  <c r="F780" i="2"/>
  <c r="F728" i="2"/>
  <c r="F374" i="2"/>
  <c r="F371" i="2"/>
  <c r="F354" i="2"/>
  <c r="F352" i="2"/>
  <c r="F322" i="2"/>
  <c r="F317" i="2"/>
  <c r="F276" i="2"/>
  <c r="F271" i="2"/>
  <c r="F272" i="2"/>
  <c r="F205" i="2"/>
  <c r="F1235" i="2"/>
  <c r="F1231" i="2"/>
  <c r="F1225" i="2"/>
  <c r="F1212" i="2"/>
  <c r="F1200" i="2"/>
  <c r="F1184" i="2"/>
  <c r="F1180" i="2"/>
  <c r="F1172" i="2"/>
  <c r="F1169" i="2"/>
  <c r="F1166" i="2"/>
  <c r="F1131" i="2"/>
  <c r="F1127" i="2"/>
  <c r="F1122" i="2"/>
  <c r="F997" i="2"/>
  <c r="F992" i="2"/>
  <c r="F958" i="2"/>
  <c r="F954" i="2"/>
  <c r="F942" i="2"/>
  <c r="F749" i="2"/>
  <c r="F745" i="2"/>
  <c r="F715" i="2"/>
  <c r="F705" i="2"/>
  <c r="F702" i="2"/>
  <c r="F516" i="2"/>
  <c r="F510" i="2"/>
  <c r="F473" i="2"/>
  <c r="F431" i="2"/>
  <c r="F423" i="2"/>
  <c r="F312" i="2"/>
  <c r="F311" i="2"/>
  <c r="F278" i="2"/>
  <c r="F206" i="2"/>
  <c r="F2497" i="2"/>
  <c r="F2393" i="2"/>
  <c r="F2377" i="2"/>
  <c r="F2373" i="2"/>
  <c r="F2293" i="2"/>
  <c r="F2289" i="2"/>
  <c r="F2269" i="2"/>
  <c r="F2253" i="2"/>
  <c r="F2217" i="2"/>
  <c r="F2209" i="2"/>
  <c r="F2197" i="2"/>
  <c r="F2185" i="2"/>
  <c r="F2169" i="2"/>
  <c r="F2086" i="2"/>
  <c r="F2078" i="2"/>
  <c r="F2070" i="2"/>
  <c r="F2066" i="2"/>
  <c r="F2058" i="2"/>
  <c r="F2054" i="2"/>
  <c r="F2046" i="2"/>
  <c r="F2042" i="2"/>
  <c r="F2038" i="2"/>
  <c r="F2030" i="2"/>
  <c r="F2026" i="2"/>
  <c r="F2022" i="2"/>
  <c r="F2018" i="2"/>
  <c r="F1615" i="2"/>
  <c r="F1612" i="2"/>
  <c r="F1610" i="2"/>
  <c r="F1608" i="2"/>
  <c r="F1601" i="2"/>
  <c r="F1600" i="2"/>
  <c r="F1595" i="2"/>
  <c r="F1593" i="2"/>
  <c r="F1578" i="2"/>
  <c r="F1568" i="2"/>
  <c r="F1523" i="2"/>
  <c r="F1532" i="2"/>
  <c r="F1508" i="2"/>
  <c r="F1491" i="2"/>
  <c r="F1486" i="2"/>
  <c r="F1476" i="2"/>
  <c r="F1459" i="2"/>
  <c r="F1449" i="2"/>
  <c r="F1418" i="2"/>
  <c r="F1380" i="2"/>
  <c r="F1363" i="2"/>
  <c r="F1354" i="2"/>
  <c r="F1336" i="2"/>
  <c r="F1308" i="2"/>
  <c r="F1300" i="2"/>
  <c r="F1275" i="2"/>
  <c r="F1264" i="2"/>
  <c r="F1101" i="2"/>
  <c r="F1045" i="2"/>
  <c r="F1041" i="2"/>
  <c r="F1037" i="2"/>
  <c r="F1013" i="2"/>
  <c r="F1005" i="2"/>
  <c r="F927" i="2"/>
  <c r="F913" i="2"/>
  <c r="F906" i="2"/>
  <c r="F883" i="2"/>
  <c r="F856" i="2"/>
  <c r="F827" i="2"/>
  <c r="F808" i="2"/>
  <c r="F675" i="2"/>
  <c r="F672" i="2"/>
  <c r="F632" i="2"/>
  <c r="F581" i="2"/>
  <c r="F572" i="2"/>
  <c r="F570" i="2"/>
  <c r="F563" i="2"/>
  <c r="F546" i="2"/>
  <c r="F534" i="2"/>
  <c r="F530" i="2"/>
  <c r="F582" i="2"/>
  <c r="F469" i="2"/>
  <c r="F465" i="2"/>
  <c r="F461" i="2"/>
  <c r="F429" i="2"/>
  <c r="F425" i="2"/>
  <c r="F410" i="2"/>
  <c r="F365" i="2"/>
  <c r="F370" i="2"/>
  <c r="F253" i="2"/>
  <c r="F207" i="2"/>
  <c r="F503" i="2"/>
  <c r="F2503" i="2"/>
  <c r="F2499" i="2"/>
  <c r="F2483" i="2"/>
  <c r="F2467" i="2"/>
  <c r="F2463" i="2"/>
  <c r="F2447" i="2"/>
  <c r="F2435" i="2"/>
  <c r="F2431" i="2"/>
  <c r="F2415" i="2"/>
  <c r="F2403" i="2"/>
  <c r="F2399" i="2"/>
  <c r="F2383" i="2"/>
  <c r="F2371" i="2"/>
  <c r="F2367" i="2"/>
  <c r="F2351" i="2"/>
  <c r="F2339" i="2"/>
  <c r="F2335" i="2"/>
  <c r="F2319" i="2"/>
  <c r="F2307" i="2"/>
  <c r="F2303" i="2"/>
  <c r="F2287" i="2"/>
  <c r="F208" i="2"/>
  <c r="F213" i="2"/>
  <c r="F209" i="2"/>
  <c r="F2325" i="2"/>
  <c r="F2265" i="2"/>
  <c r="F2221" i="2"/>
  <c r="F2201" i="2"/>
  <c r="F2165" i="2"/>
  <c r="F2124" i="2"/>
  <c r="F2120" i="2"/>
  <c r="F2473" i="2"/>
  <c r="F2453" i="2"/>
  <c r="F2429" i="2"/>
  <c r="F2152" i="2"/>
  <c r="F2114" i="2"/>
  <c r="F2110" i="2"/>
  <c r="F2106" i="2"/>
  <c r="F212" i="2"/>
  <c r="F210" i="2"/>
  <c r="F211" i="2"/>
  <c r="F1590" i="2"/>
  <c r="F1579" i="2"/>
  <c r="F1492" i="2"/>
  <c r="F1479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14" i="2"/>
  <c r="F215" i="2"/>
  <c r="F2006" i="2"/>
  <c r="F2002" i="2"/>
  <c r="F1994" i="2"/>
  <c r="F1990" i="2"/>
  <c r="F1974" i="2"/>
  <c r="F1970" i="2"/>
  <c r="F1962" i="2"/>
  <c r="F1958" i="2"/>
  <c r="F1954" i="2"/>
  <c r="F1934" i="2"/>
  <c r="F1930" i="2"/>
  <c r="F1922" i="2"/>
  <c r="F1918" i="2"/>
  <c r="F1910" i="2"/>
  <c r="F1894" i="2"/>
  <c r="F1890" i="2"/>
  <c r="F1882" i="2"/>
  <c r="F1878" i="2"/>
  <c r="F1862" i="2"/>
  <c r="F1858" i="2"/>
  <c r="F1850" i="2"/>
  <c r="F1842" i="2"/>
  <c r="F1822" i="2"/>
  <c r="F1818" i="2"/>
  <c r="F1810" i="2"/>
  <c r="F1806" i="2"/>
  <c r="F1790" i="2"/>
  <c r="F1786" i="2"/>
  <c r="F1778" i="2"/>
  <c r="F1774" i="2"/>
  <c r="F1754" i="2"/>
  <c r="F1746" i="2"/>
  <c r="F1738" i="2"/>
  <c r="F1734" i="2"/>
  <c r="F1726" i="2"/>
  <c r="F1718" i="2"/>
  <c r="F1714" i="2"/>
  <c r="F1694" i="2"/>
  <c r="F1686" i="2"/>
  <c r="F1678" i="2"/>
  <c r="F1674" i="2"/>
  <c r="F1658" i="2"/>
  <c r="F1654" i="2"/>
  <c r="F1585" i="2"/>
  <c r="F1589" i="2"/>
  <c r="F1570" i="2"/>
  <c r="F1563" i="2"/>
  <c r="F1555" i="2"/>
  <c r="F1538" i="2"/>
  <c r="F1537" i="2"/>
  <c r="F1520" i="2"/>
  <c r="F2461" i="2"/>
  <c r="F2457" i="2"/>
  <c r="F2449" i="2"/>
  <c r="F2445" i="2"/>
  <c r="F2441" i="2"/>
  <c r="F2437" i="2"/>
  <c r="F2433" i="2"/>
  <c r="F2425" i="2"/>
  <c r="F2421" i="2"/>
  <c r="F2417" i="2"/>
  <c r="F2413" i="2"/>
  <c r="F2409" i="2"/>
  <c r="F2401" i="2"/>
  <c r="F2397" i="2"/>
  <c r="F2389" i="2"/>
  <c r="F2385" i="2"/>
  <c r="F2381" i="2"/>
  <c r="F2369" i="2"/>
  <c r="F2365" i="2"/>
  <c r="F2361" i="2"/>
  <c r="F2357" i="2"/>
  <c r="F2353" i="2"/>
  <c r="F2349" i="2"/>
  <c r="F2345" i="2"/>
  <c r="F2341" i="2"/>
  <c r="F2337" i="2"/>
  <c r="F2329" i="2"/>
  <c r="F2321" i="2"/>
  <c r="F2317" i="2"/>
  <c r="F2313" i="2"/>
  <c r="F2309" i="2"/>
  <c r="F2305" i="2"/>
  <c r="F2301" i="2"/>
  <c r="F2297" i="2"/>
  <c r="F2285" i="2"/>
  <c r="F2281" i="2"/>
  <c r="F2277" i="2"/>
  <c r="F2273" i="2"/>
  <c r="F2261" i="2"/>
  <c r="F2257" i="2"/>
  <c r="F2249" i="2"/>
  <c r="F2245" i="2"/>
  <c r="F2241" i="2"/>
  <c r="F2237" i="2"/>
  <c r="F2233" i="2"/>
  <c r="F2229" i="2"/>
  <c r="F2225" i="2"/>
  <c r="F2189" i="2"/>
  <c r="F2181" i="2"/>
  <c r="F2177" i="2"/>
  <c r="F2173" i="2"/>
  <c r="F2161" i="2"/>
  <c r="F2062" i="2"/>
  <c r="F233" i="2"/>
  <c r="F227" i="2"/>
  <c r="F226" i="2"/>
  <c r="F224" i="2"/>
  <c r="F216" i="2"/>
  <c r="F1367" i="2"/>
  <c r="F1324" i="2"/>
  <c r="F235" i="2"/>
  <c r="F2302" i="2"/>
  <c r="F2154" i="2"/>
  <c r="F2087" i="2"/>
  <c r="F2083" i="2"/>
  <c r="F2079" i="2"/>
  <c r="F2071" i="2"/>
  <c r="F2063" i="2"/>
  <c r="F2059" i="2"/>
  <c r="F2027" i="2"/>
  <c r="F2023" i="2"/>
  <c r="F1480" i="2"/>
  <c r="F1475" i="2"/>
  <c r="F2505" i="2"/>
  <c r="F2501" i="2"/>
  <c r="F2493" i="2"/>
  <c r="F2489" i="2"/>
  <c r="F2485" i="2"/>
  <c r="F2481" i="2"/>
  <c r="F2469" i="2"/>
  <c r="F2465" i="2"/>
  <c r="F918" i="2"/>
  <c r="F232" i="2"/>
  <c r="F1106" i="2"/>
  <c r="F1646" i="2"/>
  <c r="F1633" i="2"/>
  <c r="F1619" i="2"/>
  <c r="F236" i="2"/>
  <c r="F234" i="2"/>
  <c r="F230" i="2"/>
  <c r="F225" i="2"/>
  <c r="F222" i="2"/>
  <c r="F221" i="2"/>
  <c r="F2213" i="2"/>
  <c r="F2205" i="2"/>
  <c r="F2193" i="2"/>
  <c r="F2410" i="2"/>
  <c r="F1642" i="2"/>
  <c r="F1616" i="2"/>
  <c r="F1613" i="2"/>
  <c r="F1605" i="2"/>
  <c r="F1602" i="2"/>
  <c r="F223" i="2"/>
  <c r="F219" i="2"/>
  <c r="F2149" i="2"/>
  <c r="F2137" i="2"/>
  <c r="F2133" i="2"/>
  <c r="F2111" i="2"/>
  <c r="F2107" i="2"/>
  <c r="F2099" i="2"/>
  <c r="F2095" i="2"/>
  <c r="F238" i="2"/>
  <c r="F936" i="2"/>
  <c r="F679" i="2"/>
  <c r="F666" i="2"/>
  <c r="F529" i="2"/>
  <c r="F296" i="2"/>
  <c r="F228" i="2"/>
  <c r="F220" i="2"/>
  <c r="F237" i="2"/>
  <c r="F231" i="2"/>
  <c r="F229" i="2"/>
  <c r="F217" i="2"/>
  <c r="F1950" i="2"/>
  <c r="F1834" i="2"/>
  <c r="F1698" i="2"/>
  <c r="F743" i="2"/>
  <c r="F239" i="2"/>
  <c r="F242" i="2"/>
  <c r="F218" i="2"/>
  <c r="F843" i="2"/>
  <c r="F839" i="2"/>
  <c r="F816" i="2"/>
  <c r="F1050" i="2"/>
  <c r="F976" i="2"/>
  <c r="F243" i="2"/>
  <c r="J96" i="11"/>
  <c r="H53" i="11"/>
  <c r="H55" i="11"/>
  <c r="H15" i="11"/>
  <c r="BY15" i="11"/>
  <c r="H7" i="11"/>
  <c r="BT36" i="11"/>
  <c r="H36" i="11" s="1"/>
  <c r="H90" i="11" s="1"/>
  <c r="BV9" i="11"/>
  <c r="D14" i="1" l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E74" i="1"/>
  <c r="M74" i="1" s="1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B18" i="41" l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CT72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T64" i="1" s="1"/>
  <c r="CD335" i="10" s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72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L16" i="5" l="1"/>
  <c r="C23" i="5"/>
  <c r="D23" i="5" s="1"/>
  <c r="E23" i="5" s="1"/>
  <c r="I16" i="5"/>
  <c r="BJ18" i="1"/>
  <c r="BH74" i="1"/>
  <c r="BH78" i="1" s="1"/>
  <c r="CC64" i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E3" i="41" s="1"/>
  <c r="E12" i="41" s="1"/>
  <c r="BO27" i="1"/>
  <c r="BO70" i="1" s="1"/>
  <c r="BO71" i="1" s="1"/>
  <c r="BO72" i="1" s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7" i="10"/>
  <c r="E3" i="10" s="1"/>
  <c r="B3" i="1" s="1"/>
  <c r="K26" i="1"/>
  <c r="CG75" i="1"/>
  <c r="CJ335" i="10"/>
  <c r="CL335" i="10"/>
  <c r="Q56" i="1"/>
  <c r="C30" i="10" s="1"/>
  <c r="E30" i="10" s="1"/>
  <c r="CJ75" i="1"/>
  <c r="CD336" i="10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S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G31" i="1" l="1"/>
  <c r="O31" i="1" s="1"/>
  <c r="F12" i="4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CR72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BV335" i="10" l="1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G18" i="40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CA335" i="10"/>
  <c r="I64" i="1"/>
  <c r="Q64" i="1" s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B71" i="1" l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F10" i="10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9" i="10" l="1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sharedStrings.xml><?xml version="1.0" encoding="utf-8"?>
<sst xmlns="http://schemas.openxmlformats.org/spreadsheetml/2006/main" count="13516" uniqueCount="1241">
  <si>
    <t>DATA</t>
  </si>
  <si>
    <t>PIANO RISPARMI</t>
  </si>
  <si>
    <t>Medio 2020</t>
  </si>
  <si>
    <t>Medio 2021</t>
  </si>
  <si>
    <t>Medio 2022</t>
  </si>
  <si>
    <t>Medio 2023</t>
  </si>
  <si>
    <t>RIMANENZA INIZIALE</t>
  </si>
  <si>
    <t>MEDIA ANNUA CONTO</t>
  </si>
  <si>
    <t>STIPENDIO MENSILE</t>
  </si>
  <si>
    <t>SITUAZIONE CONTO IN BANCA</t>
  </si>
  <si>
    <t>- SPESA AFFITTO</t>
  </si>
  <si>
    <t>- SPESE FISSE CASA</t>
  </si>
  <si>
    <t>- SPESA GARAGE</t>
  </si>
  <si>
    <t>- SPESA ASSICURAZIONE</t>
  </si>
  <si>
    <t>-COMMISSIONI CANONE MENSILE</t>
  </si>
  <si>
    <t>-SPESE TELEPASS</t>
  </si>
  <si>
    <t>SPESA GAS</t>
  </si>
  <si>
    <t>- PRELIEVO CONTANTI</t>
  </si>
  <si>
    <t>- SPESE GENERICHE</t>
  </si>
  <si>
    <t>TOTALE SPESE CONTO</t>
  </si>
  <si>
    <t>+ENTRATE STRAORDINARIE</t>
  </si>
  <si>
    <t>- ADDEBITO CARTA DI CREDITO</t>
  </si>
  <si>
    <t>RIMANENZA FINALE</t>
  </si>
  <si>
    <t>SITUAZIONE CARTA DI CREDITO</t>
  </si>
  <si>
    <t>Medio2024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</si>
  <si>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</si>
  <si>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</si>
  <si>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</si>
  <si>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</si>
  <si>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</si>
  <si>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</si>
  <si>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</si>
  <si>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</si>
  <si>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</si>
  <si>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</si>
  <si>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</si>
  <si>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</si>
  <si>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</si>
  <si>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</si>
  <si>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</si>
  <si>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</si>
  <si>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</si>
  <si>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</si>
  <si>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</si>
  <si>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</si>
  <si>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</si>
  <si>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</si>
  <si>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</si>
  <si>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media calcolata</t>
  </si>
  <si>
    <t>ENTRATE</t>
  </si>
  <si>
    <t>USCITE</t>
  </si>
  <si>
    <t>MARGINE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</si>
  <si>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</si>
  <si>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</si>
  <si>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</si>
  <si>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</si>
  <si>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</si>
  <si>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</si>
  <si>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PRELIEVO CONTO</t>
  </si>
  <si>
    <t>PRELIEVO CARTA</t>
  </si>
  <si>
    <t>INTERESSI</t>
  </si>
  <si>
    <t>TIPOLOGIA</t>
  </si>
  <si>
    <t>MESE</t>
  </si>
  <si>
    <t>ANNO</t>
  </si>
  <si>
    <t>COMPOSTO</t>
  </si>
  <si>
    <t>IMPORTO</t>
  </si>
  <si>
    <t>NOTE</t>
  </si>
  <si>
    <t>CDA LOUNGE BAR</t>
  </si>
  <si>
    <t>SETTEMBRE</t>
  </si>
  <si>
    <t>BAR E RISTORANTI</t>
  </si>
  <si>
    <t>CINEMA CONCERTI SPETTACOLI</t>
  </si>
  <si>
    <t>TAGLIANDO AUTO</t>
  </si>
  <si>
    <t>SPESE MACCHINA</t>
  </si>
  <si>
    <t>MONDO LAVAGGIO</t>
  </si>
  <si>
    <t>SPESE PER LA MACCHINA</t>
  </si>
  <si>
    <t>ACQUISTI ONLINE</t>
  </si>
  <si>
    <t>SPESA CONAD</t>
  </si>
  <si>
    <t>ALIMENTARI</t>
  </si>
  <si>
    <t>SPESA MEGA</t>
  </si>
  <si>
    <t>DIDON STORE</t>
  </si>
  <si>
    <t>AGOSTO</t>
  </si>
  <si>
    <t>SPESE PER LA CASA</t>
  </si>
  <si>
    <t>INSTANBUL KEBAB</t>
  </si>
  <si>
    <t>SPESA LIDL</t>
  </si>
  <si>
    <t>FARMACIA MENON FERESIN</t>
  </si>
  <si>
    <t>MEDICINALI</t>
  </si>
  <si>
    <t>STABILIMENTO TIVOLI</t>
  </si>
  <si>
    <t>LE DUE PALME</t>
  </si>
  <si>
    <t>DUTY FREE</t>
  </si>
  <si>
    <t>Spese Creta</t>
  </si>
  <si>
    <t>SHELL</t>
  </si>
  <si>
    <t>TRASPORTI E PARCHEGGI</t>
  </si>
  <si>
    <t>AGROTIKO</t>
  </si>
  <si>
    <t>REGALI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</si>
  <si>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</si>
  <si>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</si>
  <si>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</si>
  <si>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</si>
  <si>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</si>
  <si>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</si>
  <si>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</si>
  <si>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</si>
  <si>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</si>
  <si>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</si>
  <si>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</si>
  <si>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EL GRECO BAR</t>
  </si>
  <si>
    <t>EVEREST</t>
  </si>
  <si>
    <t>BRICO CAFE'</t>
  </si>
  <si>
    <t>AMAZON</t>
  </si>
  <si>
    <t>ISOLA D'ORO</t>
  </si>
  <si>
    <t>BOOKING</t>
  </si>
  <si>
    <t>HOTEL</t>
  </si>
  <si>
    <t>Hotel Creta</t>
  </si>
  <si>
    <t>MEDICENTER RONCHI</t>
  </si>
  <si>
    <t>VISITE MEDICHE</t>
  </si>
  <si>
    <t>AUTOGRILL</t>
  </si>
  <si>
    <t>STZIMPLA KERT - HELLOPAY</t>
  </si>
  <si>
    <t>FARMACIA LOVISONI</t>
  </si>
  <si>
    <t>BAR SOLARIUM</t>
  </si>
  <si>
    <t>LUGLIO</t>
  </si>
  <si>
    <t>SPESA COOP</t>
  </si>
  <si>
    <t>CDA LOUNGE BAR - BREASY</t>
  </si>
  <si>
    <t>SPESA VISOTTO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</si>
  <si>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</si>
  <si>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</si>
  <si>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</si>
  <si>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</si>
  <si>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</si>
  <si>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</si>
  <si>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NOLEGGIO AUTO</t>
  </si>
  <si>
    <t>Vacanza 2024</t>
  </si>
  <si>
    <t>GIUGNO</t>
  </si>
  <si>
    <t>Pro Loco Aquileia</t>
  </si>
  <si>
    <t>POKE LAND</t>
  </si>
  <si>
    <t>Ca' Vittoria</t>
  </si>
  <si>
    <t>Hotel Matrimonio Dave</t>
  </si>
  <si>
    <t>LJUJO</t>
  </si>
  <si>
    <t>VESTITI</t>
  </si>
  <si>
    <t>UFFICINA</t>
  </si>
  <si>
    <t>USUSHI</t>
  </si>
  <si>
    <t>SHI'S</t>
  </si>
  <si>
    <t>PAYPAL  - MRYOK</t>
  </si>
  <si>
    <t>I LOVE ALICANTE</t>
  </si>
  <si>
    <t>MAGGIO</t>
  </si>
  <si>
    <t>Souvenir Alicante</t>
  </si>
  <si>
    <t>FUEL</t>
  </si>
  <si>
    <t>VIRGIN 77605</t>
  </si>
  <si>
    <t>Souvenir Polonia</t>
  </si>
  <si>
    <t>R100 RELAY</t>
  </si>
  <si>
    <t>GLASS BAR</t>
  </si>
  <si>
    <t>IL PANE QUOTIDIANO</t>
  </si>
  <si>
    <t>MARCHE</t>
  </si>
  <si>
    <t>Souvenir Austria</t>
  </si>
  <si>
    <t>LA CIACOLADA</t>
  </si>
  <si>
    <t>BRICOCENTER</t>
  </si>
  <si>
    <t>BRICO</t>
  </si>
  <si>
    <t>Regalo Stefano</t>
  </si>
  <si>
    <t>TENUTA CA'NOVA</t>
  </si>
  <si>
    <t>OSTERIA PIERI MORTADELE</t>
  </si>
  <si>
    <t>APRILE</t>
  </si>
  <si>
    <t>Hotel Lazise</t>
  </si>
  <si>
    <t>ATHLETES WORLD</t>
  </si>
  <si>
    <t>Regalo francesco</t>
  </si>
  <si>
    <t>Pasquetta 2024</t>
  </si>
  <si>
    <t>SPESA IPERCOOP</t>
  </si>
  <si>
    <t>PAGOPA SPA - Consorzio bonifica</t>
  </si>
  <si>
    <t>TASSE</t>
  </si>
  <si>
    <t>29,97€ di uova di pasqua</t>
  </si>
  <si>
    <t>MARZO</t>
  </si>
  <si>
    <t>BS STALONI</t>
  </si>
  <si>
    <t>PASTICCERIA MOSAICO</t>
  </si>
  <si>
    <t>IKEA VILLESSE</t>
  </si>
  <si>
    <t>SHARE PIZZA</t>
  </si>
  <si>
    <t>REVOLUT</t>
  </si>
  <si>
    <t>ABBONAMENTI ONLINE</t>
  </si>
  <si>
    <t>CINEMA</t>
  </si>
  <si>
    <t>FEBBRAIO</t>
  </si>
  <si>
    <t>DE ROOM</t>
  </si>
  <si>
    <t>AL GRANAIO</t>
  </si>
  <si>
    <t>DAI FIOI</t>
  </si>
  <si>
    <t>AL PONTE</t>
  </si>
  <si>
    <t>VESUVIO</t>
  </si>
  <si>
    <t>SA DI TAPPO</t>
  </si>
  <si>
    <t>GENNAIO</t>
  </si>
  <si>
    <t>BIFFI</t>
  </si>
  <si>
    <t>VIDEOGIOCHI &amp; ELETTRONICA</t>
  </si>
  <si>
    <t>POKE SUN RICE TIARE</t>
  </si>
  <si>
    <t>TIGER STORE</t>
  </si>
  <si>
    <t>DICEMBRE</t>
  </si>
  <si>
    <t>MEDIAWORLD</t>
  </si>
  <si>
    <t>GIUNTI AL PUNTO</t>
  </si>
  <si>
    <t>LIBRERIA</t>
  </si>
  <si>
    <t>FARMACIA VILLANOVA</t>
  </si>
  <si>
    <t>HILFIGER</t>
  </si>
  <si>
    <t>SPESA ALDI</t>
  </si>
  <si>
    <t>compleanno</t>
  </si>
  <si>
    <t>PANIFICIO PASTICCERIA CANDOTTO</t>
  </si>
  <si>
    <t>SPESA ILDI</t>
  </si>
  <si>
    <t>FREETTO</t>
  </si>
  <si>
    <t>ANTICA TRATTORIA A MONTA</t>
  </si>
  <si>
    <t>AI TRE SCALINI</t>
  </si>
  <si>
    <t>JACK AND JONES</t>
  </si>
  <si>
    <t>CALVIN KLEIN</t>
  </si>
  <si>
    <t>RADISSON BLUE RIGA</t>
  </si>
  <si>
    <t>VENPAY IVS</t>
  </si>
  <si>
    <t>ROOTS OF LATVIA SOUVENIR</t>
  </si>
  <si>
    <t>SOUVENIR RIGA</t>
  </si>
  <si>
    <t>NOVEMBRE</t>
  </si>
  <si>
    <t>ROADHOUSE</t>
  </si>
  <si>
    <t>OSTERIA AL FAGIANO</t>
  </si>
  <si>
    <t>GIOVANNI PANETTA (SAN MARTINO)</t>
  </si>
  <si>
    <t>SPORTMED</t>
  </si>
  <si>
    <t>ALBERGO BELVEDERE</t>
  </si>
  <si>
    <t>SATUR</t>
  </si>
  <si>
    <t>PIZZERIA ALL'ANFORA</t>
  </si>
  <si>
    <t>OTTOBRE</t>
  </si>
  <si>
    <t>LA COMBRICCOLA</t>
  </si>
  <si>
    <t>FIORELLA RUBINO</t>
  </si>
  <si>
    <t>ADIDAS</t>
  </si>
  <si>
    <t>EUROSPAR</t>
  </si>
  <si>
    <t>BAR AMERICANO</t>
  </si>
  <si>
    <t>DANA SPORT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</si>
  <si>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</si>
  <si>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</si>
  <si>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</si>
  <si>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</si>
  <si>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</si>
  <si>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</si>
  <si>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VINARIUM</t>
  </si>
  <si>
    <t>GRANO SALIS</t>
  </si>
  <si>
    <t>UNIPOLSAI</t>
  </si>
  <si>
    <t>COSMETICI</t>
  </si>
  <si>
    <t>AUTOSTRADA</t>
  </si>
  <si>
    <t>ERBOLARIO</t>
  </si>
  <si>
    <t>DECATHLON</t>
  </si>
  <si>
    <t>OSTERIA GNAGNE SESE</t>
  </si>
  <si>
    <t>KINDLE</t>
  </si>
  <si>
    <t>PIZZERIA CALYPSO</t>
  </si>
  <si>
    <t>PIZZERIA CONCORDIA</t>
  </si>
  <si>
    <t>WONDERFUL ZAGARELLA</t>
  </si>
  <si>
    <t>FARMACIA</t>
  </si>
  <si>
    <t>ASSOCIAZIONE PRO MAJAN</t>
  </si>
  <si>
    <t>CAMBIO GOMME</t>
  </si>
  <si>
    <t>RISTORANTE TOKIO</t>
  </si>
  <si>
    <t>BM FOOD MILANO</t>
  </si>
  <si>
    <t>DUSCI</t>
  </si>
  <si>
    <t>THE ORIONS PUB</t>
  </si>
  <si>
    <t>ROZNA DOLIN</t>
  </si>
  <si>
    <t>TESCO - BUDAPEST</t>
  </si>
  <si>
    <t>PENNY MARKET - BUDAPEST</t>
  </si>
  <si>
    <t>PARCHEGGIO</t>
  </si>
  <si>
    <t>DARDY</t>
  </si>
  <si>
    <t>MANDRACCHIO SRL</t>
  </si>
  <si>
    <t>PIZZERIA AL PLATANO</t>
  </si>
  <si>
    <t>INTERNAZIONALE (SETAV)</t>
  </si>
  <si>
    <t>MORENITA</t>
  </si>
  <si>
    <t>MOM'ART</t>
  </si>
  <si>
    <t>NOLEGGIO SCI</t>
  </si>
  <si>
    <t>KASANOVA</t>
  </si>
  <si>
    <t>BRUNIERA</t>
  </si>
  <si>
    <t>LA BAITA DEI SAPORI</t>
  </si>
  <si>
    <t>VALBRUNA</t>
  </si>
  <si>
    <t>LOCANDA AQUILEIA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</si>
  <si>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</si>
  <si>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</si>
  <si>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</si>
  <si>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</si>
  <si>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</si>
  <si>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</si>
  <si>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</si>
  <si>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</si>
  <si>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</si>
  <si>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</si>
  <si>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</si>
  <si>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</si>
  <si>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</si>
  <si>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</si>
  <si>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</si>
  <si>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</si>
  <si>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</si>
  <si>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</si>
  <si>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</si>
  <si>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</si>
  <si>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</si>
  <si>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MC DONALD'S</t>
  </si>
  <si>
    <t>TENDA BAR</t>
  </si>
  <si>
    <t>LA GRISE</t>
  </si>
  <si>
    <t>INGRESSO PISCINA GRADO</t>
  </si>
  <si>
    <t>PAPAGAYO</t>
  </si>
  <si>
    <t>RYANAIR</t>
  </si>
  <si>
    <t>ANUBI SRL</t>
  </si>
  <si>
    <t>PIZZERIA ITALIA</t>
  </si>
  <si>
    <t>OFFICINA DEL GUSTO</t>
  </si>
  <si>
    <t>DOMORI</t>
  </si>
  <si>
    <t>MAGLIETTA MINISTRI</t>
  </si>
  <si>
    <t>PAYPAL VALUTAZIONE AUTO</t>
  </si>
  <si>
    <t>TASSA CONSORZIO BONIFICA</t>
  </si>
  <si>
    <t>KERESKEDO</t>
  </si>
  <si>
    <t>LEROY MERLIN</t>
  </si>
  <si>
    <t>Pitturare Porte</t>
  </si>
  <si>
    <t>A FUOCO LENTO</t>
  </si>
  <si>
    <t>FARMACIA FACINI</t>
  </si>
  <si>
    <t>PRENATAL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</si>
  <si>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</si>
  <si>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</si>
  <si>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</si>
  <si>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</si>
  <si>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</si>
  <si>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</si>
  <si>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</si>
  <si>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</si>
  <si>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OTTIMAX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</si>
  <si>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</si>
  <si>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</si>
  <si>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</si>
  <si>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</si>
  <si>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</si>
  <si>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</si>
  <si>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</si>
  <si>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</si>
  <si>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</si>
  <si>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</si>
  <si>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</si>
  <si>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</si>
  <si>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</si>
  <si>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</si>
  <si>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</si>
  <si>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</si>
  <si>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</si>
  <si>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NIKE</t>
  </si>
  <si>
    <t>EOLO</t>
  </si>
  <si>
    <t>BROKER PER LA TELEFONIA</t>
  </si>
  <si>
    <t>CENTRO ELETTRICITA'</t>
  </si>
  <si>
    <t>PLAYSTATION</t>
  </si>
  <si>
    <t>ELECTROSELF</t>
  </si>
  <si>
    <t>PEDAGGIO</t>
  </si>
  <si>
    <t>AMICAFARMACIA</t>
  </si>
  <si>
    <t>PARCHEGGIO GRADO</t>
  </si>
  <si>
    <t>PARCHEGGIO VENEZIA</t>
  </si>
  <si>
    <t>RISTORANTE PIZZERIA</t>
  </si>
  <si>
    <t>UCINORDOVES</t>
  </si>
  <si>
    <t>EASY PARK</t>
  </si>
  <si>
    <t>TERRE DI PALAZZATTO</t>
  </si>
  <si>
    <t>RONCATO</t>
  </si>
  <si>
    <t>CASA PIOCHEUR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</si>
  <si>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</si>
  <si>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</si>
  <si>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</si>
  <si>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</si>
  <si>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</si>
  <si>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</si>
  <si>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</si>
  <si>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</si>
  <si>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</si>
  <si>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</si>
  <si>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</si>
  <si>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</si>
  <si>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</si>
  <si>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</si>
  <si>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GAMESTOP</t>
  </si>
  <si>
    <t>KOMPAS SHOP</t>
  </si>
  <si>
    <t>SPESE SZIGET</t>
  </si>
  <si>
    <t>BIGLIETTI SZIGET</t>
  </si>
  <si>
    <t>SPESE ULTRA</t>
  </si>
  <si>
    <t>BIGLIETTI TRASPORTO</t>
  </si>
  <si>
    <t>DANNO EUROPCAR</t>
  </si>
  <si>
    <t>SECONDA RATA BASKET TERZO</t>
  </si>
  <si>
    <t>SPETTACOLO ELEAZARO</t>
  </si>
  <si>
    <t>COMMISSIONE BONIFICO</t>
  </si>
  <si>
    <t>VOLO ADDIO AL CELIBATO</t>
  </si>
  <si>
    <t>SPESE CONDOMINIALI</t>
  </si>
  <si>
    <t>PAGAMENTO RITENUTE ALLA FONTE</t>
  </si>
  <si>
    <t>CAFC</t>
  </si>
  <si>
    <t>Regali di natale</t>
  </si>
  <si>
    <t>EL.CO DOTTO DONATELLA</t>
  </si>
  <si>
    <t>SPESE AMMINISTRATIVE</t>
  </si>
  <si>
    <t>PRIMA RATA BASKET TERZO</t>
  </si>
  <si>
    <t>GOMME E CERCHI</t>
  </si>
  <si>
    <t>CONTANTI</t>
  </si>
  <si>
    <t>RIFORNIMENTO</t>
  </si>
  <si>
    <t>IMPOSTA DI BOLLO</t>
  </si>
  <si>
    <t>KASANOVA VILLESSE</t>
  </si>
  <si>
    <t>GASOLIO</t>
  </si>
  <si>
    <t>TESCO PRAGA BIRRE</t>
  </si>
  <si>
    <t>ABBONAMENTI ANNUALI</t>
  </si>
  <si>
    <t>- MICROSOFT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</si>
  <si>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</si>
  <si>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</si>
  <si>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</si>
  <si>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</si>
  <si>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</si>
  <si>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</si>
  <si>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</si>
  <si>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- PLAYSTATION / XBOX</t>
  </si>
  <si>
    <t>SPESE MENSILI C.C. (IPOTESI)</t>
  </si>
  <si>
    <t>COSTO AUTO</t>
  </si>
  <si>
    <t>-SPESE FISSE</t>
  </si>
  <si>
    <t>TOTALE</t>
  </si>
  <si>
    <t>Giorno</t>
  </si>
  <si>
    <t>COSTO CASA</t>
  </si>
  <si>
    <t>-PRELIEVI</t>
  </si>
  <si>
    <t>Mercoledì</t>
  </si>
  <si>
    <t>COSTO SOPRAVVIVENZA</t>
  </si>
  <si>
    <t>-RIFORNIMENTI</t>
  </si>
  <si>
    <t>Giovedì</t>
  </si>
  <si>
    <t>COSTO ABBONAMENTI</t>
  </si>
  <si>
    <t>-VARIE (Tra cui Cibo)</t>
  </si>
  <si>
    <t>ABBONAMENTI VIDEO MENSILI</t>
  </si>
  <si>
    <t>Venerdì</t>
  </si>
  <si>
    <t>COSTO SVAGHI (CINEMA&amp;BAR&amp;RISTO)</t>
  </si>
  <si>
    <t>+Entrate varie</t>
  </si>
  <si>
    <t>Sabato</t>
  </si>
  <si>
    <t>COSTO VACANZE</t>
  </si>
  <si>
    <t>E'</t>
  </si>
  <si>
    <t>Domenica</t>
  </si>
  <si>
    <t>COSTO SFIZI</t>
  </si>
  <si>
    <t>SAREBBE STATO:</t>
  </si>
  <si>
    <t>Lunedì</t>
  </si>
  <si>
    <t>PRELIEVI</t>
  </si>
  <si>
    <t>Martedì</t>
  </si>
  <si>
    <t>SPESE COMPLESSIVE MENSILI</t>
  </si>
  <si>
    <t>ACTUAL AVG</t>
  </si>
  <si>
    <t>AZIONE/NOTE</t>
  </si>
  <si>
    <t>CASA</t>
  </si>
  <si>
    <t>Liquidare finanziamenti a medio/lungo termine</t>
  </si>
  <si>
    <t>BOLLETTE GAS ENERGIA</t>
  </si>
  <si>
    <t>AUTO</t>
  </si>
  <si>
    <t>PRELIEVI MENSILI</t>
  </si>
  <si>
    <t>RATA</t>
  </si>
  <si>
    <t>A CREDITO</t>
  </si>
  <si>
    <t>RIFORNIMENTI</t>
  </si>
  <si>
    <t>A DEBITO</t>
  </si>
  <si>
    <t>ASSICURAZIONE</t>
  </si>
  <si>
    <t>COMMISSIONI</t>
  </si>
  <si>
    <t>TELEPASS</t>
  </si>
  <si>
    <t>media</t>
  </si>
  <si>
    <t>SPESE MENSILI CARTA</t>
  </si>
  <si>
    <t>Commissioni in rapporto a stipendio</t>
  </si>
  <si>
    <t>VARIE</t>
  </si>
  <si>
    <t>TOTALE:</t>
  </si>
  <si>
    <t>STIPENDIO</t>
  </si>
  <si>
    <t>DIFFERENZA</t>
  </si>
  <si>
    <t>CUCINA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</si>
  <si>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</si>
  <si>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</si>
  <si>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</si>
  <si>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</si>
  <si>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</si>
  <si>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</si>
  <si>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(Tutto)</t>
  </si>
  <si>
    <t>Somma di IMPORTO</t>
  </si>
  <si>
    <t>Etichette di colonna</t>
  </si>
  <si>
    <t>Etichette di riga</t>
  </si>
  <si>
    <t>Totale complessivo</t>
  </si>
  <si>
    <t>MEDIE MENSILI</t>
  </si>
  <si>
    <t>ENTE</t>
  </si>
  <si>
    <t>SPESE</t>
  </si>
  <si>
    <t>SEPA</t>
  </si>
  <si>
    <t>TOT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</si>
  <si>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</si>
  <si>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</si>
  <si>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</si>
  <si>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</si>
  <si>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</si>
  <si>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</si>
  <si>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</si>
  <si>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</si>
  <si>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</si>
  <si>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N°rate pagate</t>
  </si>
  <si>
    <t>Rimanenti</t>
  </si>
  <si>
    <t>Anni</t>
  </si>
  <si>
    <t>CREDIFRIULI</t>
  </si>
  <si>
    <t>MUTUO</t>
  </si>
  <si>
    <t>ASSICURAZIONE PERSONALE</t>
  </si>
  <si>
    <t>DIVANO</t>
  </si>
  <si>
    <t>AGOS</t>
  </si>
  <si>
    <t>IKEA</t>
  </si>
  <si>
    <t>FINANZIAMENTO MAXI RATA</t>
  </si>
  <si>
    <t>FIAT AUTO</t>
  </si>
  <si>
    <t>FINANZIAMENTO NISSAN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</si>
  <si>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</si>
  <si>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</si>
  <si>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</si>
  <si>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</si>
  <si>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</si>
  <si>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</si>
  <si>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</si>
  <si>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</si>
  <si>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</si>
  <si>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</si>
  <si>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</si>
  <si>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</si>
  <si>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</si>
  <si>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QUANTITA' GAS</t>
  </si>
  <si>
    <t>RILEVATA</t>
  </si>
  <si>
    <t>STORICO ANDAMENTO smc</t>
  </si>
  <si>
    <t>RIPORTATO IN BOLLETTA</t>
  </si>
  <si>
    <t>TOTALE MESE</t>
  </si>
  <si>
    <t>SCARTO</t>
  </si>
  <si>
    <t>tendenza rispetto ad anno precedente</t>
  </si>
  <si>
    <t>MEDIA</t>
  </si>
  <si>
    <t>COSTO MENSILE</t>
  </si>
  <si>
    <t>MEDIA COSTI VARI</t>
  </si>
  <si>
    <t>SPESA GAS IPOTETICA</t>
  </si>
  <si>
    <t>IPOTETICA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</si>
  <si>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</si>
  <si>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</si>
  <si>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</si>
  <si>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</si>
  <si>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</si>
  <si>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</si>
  <si>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ENERGIA ELETTRICA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</si>
  <si>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</si>
  <si>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</si>
  <si>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</si>
  <si>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</si>
  <si>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</si>
  <si>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</si>
  <si>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</si>
  <si>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</si>
  <si>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</si>
  <si>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</si>
  <si>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</si>
  <si>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</si>
  <si>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</si>
  <si>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</si>
  <si>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</si>
  <si>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</si>
  <si>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DELTA 23/24</t>
  </si>
  <si>
    <t>Stima 24/25</t>
  </si>
  <si>
    <t>Costo mensile</t>
  </si>
  <si>
    <t>Spesa Materia Netta</t>
  </si>
  <si>
    <t>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</si>
  <si>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</si>
  <si>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</si>
  <si>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</si>
  <si>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</si>
  <si>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</si>
  <si>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</si>
  <si>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kw/h</t>
  </si>
  <si>
    <t>€/kWh</t>
  </si>
  <si>
    <t>TOTALE MEDIA 2021</t>
  </si>
  <si>
    <t>TOTALE MEDIA 2022</t>
  </si>
  <si>
    <t>TOTALE MEDIA 2023</t>
  </si>
  <si>
    <t>TOTALE MEDIA 2024</t>
  </si>
  <si>
    <t>TOTALE MEDIA 2025</t>
  </si>
  <si>
    <t>Rosso significa ATTIVO</t>
  </si>
  <si>
    <t>ANGELA</t>
  </si>
  <si>
    <t>COINTESTATO</t>
  </si>
  <si>
    <t>BONIFICO</t>
  </si>
  <si>
    <t>COMMISSIONI/TASSE</t>
  </si>
  <si>
    <t>SPESE ACQUISTO CASA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</si>
  <si>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</si>
  <si>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</si>
  <si>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</si>
  <si>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</si>
  <si>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</si>
  <si>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</si>
  <si>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</si>
  <si>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</si>
  <si>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ASSEGNATO</t>
  </si>
  <si>
    <t>COMPOSTO 1</t>
  </si>
  <si>
    <t>ASSICURAZIONE CASA</t>
  </si>
  <si>
    <t>COMMISSIONE CANONE MENSILE</t>
  </si>
  <si>
    <t>BONIFICO LUCA</t>
  </si>
  <si>
    <t>RATA MUTUO ASSICURAZIONE</t>
  </si>
  <si>
    <t>INTERESSI E COMPETENZE</t>
  </si>
  <si>
    <t>RATA DIVANO</t>
  </si>
  <si>
    <t>RATA CUCINA</t>
  </si>
  <si>
    <t>BONIFICO GENERICO</t>
  </si>
  <si>
    <t>PAGAMENTO INTERESSI ESIGIBILI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</si>
  <si>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</si>
  <si>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</si>
  <si>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</si>
  <si>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</si>
  <si>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</si>
  <si>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</si>
  <si>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</si>
  <si>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</si>
  <si>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</si>
  <si>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</si>
  <si>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</si>
  <si>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</si>
  <si>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</si>
  <si>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</si>
  <si>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</si>
  <si>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</si>
  <si>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</si>
  <si>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</si>
  <si>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</si>
  <si>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</si>
  <si>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</si>
  <si>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BONIFICO INIZIALE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</si>
  <si>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</si>
  <si>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</si>
  <si>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</si>
  <si>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</si>
  <si>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</si>
  <si>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</si>
  <si>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</si>
  <si>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</si>
  <si>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</si>
  <si>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</si>
  <si>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</si>
  <si>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</si>
  <si>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</si>
  <si>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</si>
  <si>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</si>
  <si>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</si>
  <si>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</si>
  <si>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</si>
  <si>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</si>
  <si>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</si>
  <si>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</si>
  <si>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</si>
  <si>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</si>
  <si>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</si>
  <si>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</si>
  <si>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</si>
  <si>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</si>
  <si>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</si>
  <si>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</si>
  <si>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</si>
  <si>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</si>
  <si>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</si>
  <si>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</si>
  <si>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</si>
  <si>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</si>
  <si>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</si>
  <si>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</si>
  <si>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</si>
  <si>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</si>
  <si>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</si>
  <si>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</si>
  <si>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</si>
  <si>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</si>
  <si>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</si>
  <si>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</si>
  <si>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TUCSON</t>
  </si>
  <si>
    <t>mese in corso</t>
  </si>
  <si>
    <t>Numero</t>
  </si>
  <si>
    <t>mese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</si>
  <si>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</si>
  <si>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</si>
  <si>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</si>
  <si>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</si>
  <si>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</si>
  <si>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</si>
  <si>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</si>
  <si>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</si>
  <si>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</si>
  <si>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</si>
  <si>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</si>
  <si>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</si>
  <si>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</si>
  <si>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</si>
  <si>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</si>
  <si>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</si>
  <si>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</si>
  <si>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</si>
  <si>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</si>
  <si>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</si>
  <si>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PREZZO LORDO GASOLIO</t>
  </si>
  <si>
    <t>AGEVOLAZIONI STATALI</t>
  </si>
  <si>
    <t>COSTO TRANSAZIONE</t>
  </si>
  <si>
    <t>PREZZO NETTO GASOLIO</t>
  </si>
  <si>
    <t>CAPACITA' QASHQAI</t>
  </si>
  <si>
    <t>DIFF. SLO/ITA</t>
  </si>
  <si>
    <t>TOTALE GASOLIO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</si>
  <si>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</si>
  <si>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</si>
  <si>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</si>
  <si>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</si>
  <si>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</si>
  <si>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</si>
  <si>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</si>
  <si>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</si>
  <si>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QASHQAI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</si>
  <si>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</si>
  <si>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</si>
  <si>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</si>
  <si>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</si>
  <si>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</si>
  <si>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</si>
  <si>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</si>
  <si>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</si>
  <si>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</si>
  <si>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</si>
  <si>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</si>
  <si>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</si>
  <si>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</si>
  <si>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</si>
  <si>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</si>
  <si>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</si>
  <si>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</si>
  <si>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</si>
  <si>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</si>
  <si>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</si>
  <si>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</si>
  <si>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</si>
  <si>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</si>
  <si>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</si>
  <si>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</si>
  <si>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</si>
  <si>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</si>
  <si>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</si>
  <si>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</si>
  <si>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</si>
  <si>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</si>
  <si>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</si>
  <si>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</si>
  <si>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</si>
  <si>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</si>
  <si>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</si>
  <si>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</si>
  <si>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</si>
  <si>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</si>
  <si>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</si>
  <si>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</si>
  <si>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</si>
  <si>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</si>
  <si>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</si>
  <si>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</si>
  <si>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</si>
  <si>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</si>
  <si>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</si>
  <si>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</si>
  <si>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</si>
  <si>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</si>
  <si>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</si>
  <si>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</si>
  <si>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</si>
  <si>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</si>
  <si>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</si>
  <si>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</si>
  <si>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</si>
  <si>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</si>
  <si>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</si>
  <si>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</si>
  <si>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</si>
  <si>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</si>
  <si>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PAGAMENTI ONLINE</t>
  </si>
  <si>
    <t>Multa 160€ Austria</t>
  </si>
  <si>
    <t>FRIULI DOC</t>
  </si>
  <si>
    <t>AUSA SERVIZI</t>
  </si>
  <si>
    <t>MENSILE 2025</t>
  </si>
  <si>
    <t>ANNUALE 2025</t>
  </si>
  <si>
    <t>Prima Rata Basket Terzo</t>
  </si>
  <si>
    <t>SHOW RONDO'</t>
  </si>
  <si>
    <t>Biglietti per Cremonini per michela</t>
  </si>
  <si>
    <t>COMMISSIONE SEPA</t>
  </si>
  <si>
    <t>Regalo Sofia</t>
  </si>
  <si>
    <t>TELLME PIZZA (SHARE)</t>
  </si>
  <si>
    <t>TRINITY</t>
  </si>
  <si>
    <t>RAINBOW</t>
  </si>
  <si>
    <t>Felpe e Cappellini Basket Terzo</t>
  </si>
  <si>
    <t>Biglietti per 30 Second to mars</t>
  </si>
  <si>
    <t>Biglietti per 30 Second to mars (Debby)</t>
  </si>
  <si>
    <t>Hotel Viterbo</t>
  </si>
  <si>
    <t>OSTERIA DEL CONTADINO</t>
  </si>
  <si>
    <t>Vacanza Viterbo</t>
  </si>
  <si>
    <t>nota spese di Novembre</t>
  </si>
  <si>
    <t>Biglietti per Robbie Williams</t>
  </si>
  <si>
    <t>AEROPORTO DI TALLIN</t>
  </si>
  <si>
    <t>RISTORANTE PUGLIESE</t>
  </si>
  <si>
    <t>Regalo compleanno Toso</t>
  </si>
  <si>
    <t>Regalo compleanno Arturo</t>
  </si>
  <si>
    <t>PUBLIC HOUSE</t>
  </si>
  <si>
    <t>PAYPAL</t>
  </si>
  <si>
    <t>URITOM</t>
  </si>
  <si>
    <t>Vacanza Lubiana</t>
  </si>
  <si>
    <t>Compleanno</t>
  </si>
  <si>
    <t>HOTEL &amp; SERVIZI</t>
  </si>
  <si>
    <t>TELEFONO</t>
  </si>
  <si>
    <t>Medio2025</t>
  </si>
  <si>
    <t>Ultra music festival</t>
  </si>
  <si>
    <t>MENSA</t>
  </si>
  <si>
    <t>MACCHINETTA AUTOMATICA</t>
  </si>
  <si>
    <t>MARGINE STRAORDINARIO</t>
  </si>
  <si>
    <t>GUADAGNO MEDIO FISSO</t>
  </si>
  <si>
    <t>GUADAGNO MEDIO VARIABILE</t>
  </si>
  <si>
    <t>MEDIA RISPARMIO/PERDITA COMPLESSIVA</t>
  </si>
  <si>
    <t>SPESE MESE CONNESSIONI</t>
  </si>
  <si>
    <t>BOLLO AUTO TUCSON</t>
  </si>
  <si>
    <t>- RATE MENSILI VARIE</t>
  </si>
  <si>
    <t>MARGINE PERCENTUALE %</t>
  </si>
  <si>
    <t>RATE GENERICHE</t>
  </si>
  <si>
    <t>PIZZERIA DA MARINELLI</t>
  </si>
  <si>
    <t>IL BAULE</t>
  </si>
  <si>
    <t>SPESA SUPERMARK</t>
  </si>
  <si>
    <t>ALLA GHIACCIAIA</t>
  </si>
  <si>
    <t>1 GENNAIO 2025</t>
  </si>
  <si>
    <t>Regalo compleanno DEBBY</t>
  </si>
  <si>
    <t>BANSHI</t>
  </si>
  <si>
    <t>ALLA SPERANZA</t>
  </si>
  <si>
    <t>Totale rata + interessi</t>
  </si>
  <si>
    <t>Importo x Estinzione</t>
  </si>
  <si>
    <t>Importo rimanente</t>
  </si>
  <si>
    <t>DEBITO RIMANENTE</t>
  </si>
  <si>
    <t>Costi SEPA pagati</t>
  </si>
  <si>
    <t>Risparmio (con SEPA)</t>
  </si>
  <si>
    <t>TIPO</t>
  </si>
  <si>
    <t>MACCHINA</t>
  </si>
  <si>
    <t>Dovuto mensile (Rata+SEPA)</t>
  </si>
  <si>
    <t>Importo Totale rate mensili:</t>
  </si>
  <si>
    <t>Importo totale rate CASA</t>
  </si>
  <si>
    <t>Importo totale rate MACCHINA</t>
  </si>
  <si>
    <t>importo totale rate Spese Variabili</t>
  </si>
  <si>
    <t>ALTRE SPESE NON CATALOGATE</t>
  </si>
  <si>
    <t>Differenza su actual</t>
  </si>
  <si>
    <t>RIPORATO IN BOLLETTA smc</t>
  </si>
  <si>
    <t>ORSO BAKERY</t>
  </si>
  <si>
    <t>HOTEL ANDREA TOMASIN</t>
  </si>
  <si>
    <t>Storno</t>
  </si>
  <si>
    <t>Felpa Terzo Classics</t>
  </si>
  <si>
    <t>MEDIA RISPARMIO/PERDITA OPERATIVA</t>
  </si>
  <si>
    <t>Pagamento rata condominio + tari</t>
  </si>
  <si>
    <t>LUMII SUSHI</t>
  </si>
  <si>
    <t>LOCANDA ALLE VIGNE</t>
  </si>
  <si>
    <t>2 FEBBRAIO 2025</t>
  </si>
  <si>
    <t>ENOTECA OASI DEI SANI</t>
  </si>
  <si>
    <t>RISTORANTE VOGRIG</t>
  </si>
  <si>
    <t>CARTA DEL CREDITO COOPERATIVO</t>
  </si>
  <si>
    <t>Bacaro Tour - Savanelli</t>
  </si>
  <si>
    <t>3 MARZO 2025</t>
  </si>
  <si>
    <t>VOLO NAPOLI</t>
  </si>
  <si>
    <t>Stefano Savanelli Sa di tappo</t>
  </si>
  <si>
    <t>SPACCANAPOLI</t>
  </si>
  <si>
    <t>BU.CO</t>
  </si>
  <si>
    <t>Concerto In Flames</t>
  </si>
  <si>
    <t>Errore</t>
  </si>
  <si>
    <t>SPESA DIDON</t>
  </si>
  <si>
    <t>4 APRILE 2025</t>
  </si>
  <si>
    <t>MARIUTA</t>
  </si>
  <si>
    <t>RITTER DE ZAHONY</t>
  </si>
  <si>
    <t>LA SUBIDA OSTERIA</t>
  </si>
  <si>
    <t>DREAME</t>
  </si>
  <si>
    <t>YUMIKO</t>
  </si>
  <si>
    <t>Regalo Francesco</t>
  </si>
  <si>
    <t>Regalo a Michela</t>
  </si>
  <si>
    <t>Regalo a Francesco</t>
  </si>
  <si>
    <t>Pagato con Revolut</t>
  </si>
  <si>
    <t>FARI SOCIETA' AGRICOLA (SPOLERT)</t>
  </si>
  <si>
    <t>DOPPIO MALTO</t>
  </si>
  <si>
    <t>VENTUNO GRAMMI</t>
  </si>
  <si>
    <t>SPESA IGNOTA</t>
  </si>
  <si>
    <t>Differenza sulla CC</t>
  </si>
  <si>
    <t>5 MAGGIO 2025</t>
  </si>
  <si>
    <t>6 GIUGNO 2025</t>
  </si>
  <si>
    <t>CORNER 1896</t>
  </si>
  <si>
    <t>AUTOLETTURA</t>
  </si>
  <si>
    <t>IPOTETICA IN BOLLETTA</t>
  </si>
  <si>
    <t>Magliette Basket Terzo</t>
  </si>
  <si>
    <t>Storno quota carta di credito</t>
  </si>
  <si>
    <t>Felpe e Cappellini Basket Terzo (rimborso)</t>
  </si>
  <si>
    <t>Magliette Basket Terzo (Rimborso)</t>
  </si>
  <si>
    <t>Pro Loco TERZO D'AQUILEIA</t>
  </si>
  <si>
    <t>La Lagunare</t>
  </si>
  <si>
    <t>ROMA AL VOLO</t>
  </si>
  <si>
    <t>BIRRERIA BERNOTTI</t>
  </si>
  <si>
    <t>BOOM EVENTI</t>
  </si>
  <si>
    <t>UNITED EAGLES CIVIDALE</t>
  </si>
  <si>
    <t>STABILIMENTO BORA BORA</t>
  </si>
  <si>
    <t>Viaggio Portogallo 2025</t>
  </si>
  <si>
    <t>TOKIO</t>
  </si>
  <si>
    <t>TESCO - PRAGA</t>
  </si>
  <si>
    <t>ASIA MART PRAHA</t>
  </si>
  <si>
    <t>SPESE INVIO E/C E RID</t>
  </si>
  <si>
    <t>METRO MILANO</t>
  </si>
  <si>
    <t>TENNIS CLUB CERVIGNANO</t>
  </si>
  <si>
    <t>Padel</t>
  </si>
  <si>
    <t>Concerto Linkin Park</t>
  </si>
  <si>
    <t>UNDERPRESSURE TOURING MILANO</t>
  </si>
  <si>
    <t>TUTTI PER UNO SRL</t>
  </si>
  <si>
    <t>Spesa per Papà</t>
  </si>
  <si>
    <t>TARLAO</t>
  </si>
  <si>
    <t>DAL LEP</t>
  </si>
  <si>
    <t>AIR PORTUGAL</t>
  </si>
  <si>
    <t>7 LUGLIO 2025</t>
  </si>
  <si>
    <t>Pagamento rata condominio</t>
  </si>
  <si>
    <t>30STM NOVELLARA</t>
  </si>
  <si>
    <t>Concerto Thirty Second to Mars</t>
  </si>
  <si>
    <t>OMBRELLONE LIGNANO</t>
  </si>
  <si>
    <t>MOVIL LIGNANO</t>
  </si>
  <si>
    <t>COMMISSIONE DI CONVERSIONE</t>
  </si>
  <si>
    <t>Regalo chicco</t>
  </si>
  <si>
    <t>AL TURISTA</t>
  </si>
  <si>
    <t>SZIMPLA KERT</t>
  </si>
  <si>
    <t>TROPIC COCKTAIL BUDAPEST</t>
  </si>
  <si>
    <t>PETROL BS MARIBOR</t>
  </si>
  <si>
    <t>LA DE LE VELE GRADO</t>
  </si>
  <si>
    <t>MELICONI</t>
  </si>
  <si>
    <t>NEW YORKER</t>
  </si>
  <si>
    <t>HAUCK TOBACCO BUDAPEST</t>
  </si>
  <si>
    <t>PIZZERIA SORRISO PALMANOVA</t>
  </si>
  <si>
    <t>BIRRA E PASTA PALMANOVA</t>
  </si>
  <si>
    <t>ATVO SPA MESTRE VENEZIA ITA</t>
  </si>
  <si>
    <t>R048 RUSTICHELLI &amp; MA. VENEZIA ITA</t>
  </si>
  <si>
    <t>IL CAFFE' DELLA STAZIO UDINE ITA</t>
  </si>
  <si>
    <t>UBER</t>
  </si>
  <si>
    <t>MY EMEL</t>
  </si>
  <si>
    <t>SR JOGO,LDA LISBOA PRT</t>
  </si>
  <si>
    <t>HTL PRINCIPE AVILA LISBOA PARKING</t>
  </si>
  <si>
    <t>TIVOLI LAGOS ALGARVE R LAGOS</t>
  </si>
  <si>
    <t>FLOR SAL,LDA FARO PRT</t>
  </si>
  <si>
    <t>RESTAURANTE SIMAO FARO PRT</t>
  </si>
  <si>
    <t>P.A.CEPSA BEJA PRT</t>
  </si>
  <si>
    <t>TICKET BUS UDINE</t>
  </si>
  <si>
    <t>LISBON DUTY FREE LISBOA PRT</t>
  </si>
  <si>
    <t>EUROPCAR</t>
  </si>
  <si>
    <t>REPSOL E1159 LISBOA PRT</t>
  </si>
  <si>
    <t>PIZZA ROMANORUM GRADO</t>
  </si>
  <si>
    <t>8 AGOSTO 2025</t>
  </si>
  <si>
    <t>9 SETTEMBRE 2025</t>
  </si>
  <si>
    <t>VERALAB</t>
  </si>
  <si>
    <t>CHICHIBIO</t>
  </si>
  <si>
    <t>PANIFICIO PASTICCERIA BOSIO</t>
  </si>
  <si>
    <t>PARCHEGGIO MAGRINI</t>
  </si>
  <si>
    <t>NANO LEAF</t>
  </si>
  <si>
    <t>MAMMA KEBAB UDINE</t>
  </si>
  <si>
    <t>Regalo Davide Toso</t>
  </si>
  <si>
    <t>NUOVO FINANZIAMENTO</t>
  </si>
  <si>
    <t>IMPORTO DA CONTO</t>
  </si>
  <si>
    <t>RATA MENSILE</t>
  </si>
  <si>
    <t>NUMERO RATE</t>
  </si>
  <si>
    <t>IMPORTO DOVUTO TOT</t>
  </si>
  <si>
    <t>RISPARMIO COMPLESSIVO NETTO</t>
  </si>
  <si>
    <t>RISPARMIO MENSILE</t>
  </si>
  <si>
    <t>ANNI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</si>
  <si>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</si>
  <si>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</si>
  <si>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</si>
  <si>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</si>
  <si>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</si>
  <si>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</si>
  <si>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</si>
  <si>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</si>
  <si>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</si>
  <si>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</si>
  <si>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</si>
  <si>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</si>
  <si>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</si>
  <si>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</si>
  <si>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</si>
  <si>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</si>
  <si>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</si>
  <si>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</si>
  <si>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</si>
  <si>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</si>
  <si>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</si>
  <si>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</si>
  <si>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</si>
  <si>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</si>
  <si>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</si>
  <si>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</si>
  <si>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</si>
  <si>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</si>
  <si>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</si>
  <si>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</si>
  <si>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</si>
  <si>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</si>
  <si>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</si>
  <si>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</si>
  <si>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</si>
  <si>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</si>
  <si>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</si>
  <si>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</si>
  <si>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</si>
  <si>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</si>
  <si>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</si>
  <si>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</si>
  <si>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</si>
  <si>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</si>
  <si>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</si>
  <si>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</si>
  <si>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</si>
  <si>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</si>
  <si>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</si>
  <si>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</si>
  <si>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PRO LOCO REANA DEL ROJITA</t>
  </si>
  <si>
    <t>Friuli Doc 2025</t>
  </si>
  <si>
    <t>BIRRIFICIO FOGLIE D'ER FORNI</t>
  </si>
  <si>
    <t>ASSOCIAZIONE C SI</t>
  </si>
  <si>
    <t>BAR ALL'ALPINO</t>
  </si>
  <si>
    <t>Viaggio Valencia 2025</t>
  </si>
  <si>
    <t>TRAMITE</t>
  </si>
  <si>
    <t>1/2</t>
  </si>
  <si>
    <t>2/2</t>
  </si>
  <si>
    <t>2/3</t>
  </si>
  <si>
    <t>3/3</t>
  </si>
  <si>
    <t>Francesco Napoli</t>
  </si>
  <si>
    <t>Deejay Time</t>
  </si>
  <si>
    <t>Fabio Zorat</t>
  </si>
  <si>
    <t>1/3</t>
  </si>
  <si>
    <t>JUST HEAT</t>
  </si>
  <si>
    <t>LIME</t>
  </si>
  <si>
    <t>MRYOK</t>
  </si>
  <si>
    <t>ALIEXPRESS</t>
  </si>
  <si>
    <t>TICKETONE</t>
  </si>
  <si>
    <t>SPREADSHIRT</t>
  </si>
  <si>
    <t>Russiz Superiore</t>
  </si>
  <si>
    <t>VOLOTEA</t>
  </si>
  <si>
    <t>PROFUMO</t>
  </si>
  <si>
    <t>Luca Toso</t>
  </si>
  <si>
    <t>Arance Siciliane</t>
  </si>
  <si>
    <t>Emanuele Civello</t>
  </si>
  <si>
    <t>Glenda Furlan</t>
  </si>
  <si>
    <t>Marcella</t>
  </si>
  <si>
    <t>ELETTRONEW</t>
  </si>
  <si>
    <t>FANTAGAZZETTA</t>
  </si>
  <si>
    <t>Regalo Farfa 2024</t>
  </si>
  <si>
    <t>Regalo Sorgi 2025</t>
  </si>
  <si>
    <t>Viaggio Napoli 2025</t>
  </si>
  <si>
    <t>Concerto In Flames 2025</t>
  </si>
  <si>
    <t>Regalo Stefania 2025</t>
  </si>
  <si>
    <t>Regalo Tom 2025</t>
  </si>
  <si>
    <t>AR-STORESHOP</t>
  </si>
  <si>
    <t>MICROSOFT</t>
  </si>
  <si>
    <t>FASHION BRAND</t>
  </si>
  <si>
    <t>ALIPAY</t>
  </si>
  <si>
    <t>AEROPORTO ORIO AL SERIO</t>
  </si>
  <si>
    <t>BASKET TERZO</t>
  </si>
  <si>
    <t>Francesco Savanelli</t>
  </si>
  <si>
    <t>Stefano Savanelli</t>
  </si>
  <si>
    <t>MULTA AUTO</t>
  </si>
  <si>
    <t>NETFLIX</t>
  </si>
  <si>
    <t>Rimborso</t>
  </si>
  <si>
    <t>1/5</t>
  </si>
  <si>
    <t>Moulinex  Matrimonio Cugina Angela</t>
  </si>
  <si>
    <t>NEST</t>
  </si>
  <si>
    <t>DJ BOX Regalo compleanno Davide</t>
  </si>
  <si>
    <t>FRIENT</t>
  </si>
  <si>
    <t>TABLET</t>
  </si>
  <si>
    <t>TAPO TELECAMERE</t>
  </si>
  <si>
    <t>Moulinex Matrimonio Cugina Angela</t>
  </si>
  <si>
    <t>VERALAB Regalo Stefania 2025</t>
  </si>
  <si>
    <t>VANS</t>
  </si>
  <si>
    <t>REGALO DAVIDE 2024</t>
  </si>
  <si>
    <t>XBOX Controller</t>
  </si>
  <si>
    <t>Regalo Davide 2024</t>
  </si>
  <si>
    <t>Reso Magliette BOSS</t>
  </si>
  <si>
    <t>Magliette BOSS</t>
  </si>
  <si>
    <t>RIMBORSO</t>
  </si>
  <si>
    <t>4/5</t>
  </si>
  <si>
    <t>3/5</t>
  </si>
  <si>
    <t>5/5</t>
  </si>
  <si>
    <t>2/5</t>
  </si>
  <si>
    <t xml:space="preserve">Venezia </t>
  </si>
  <si>
    <t>Trieste</t>
  </si>
  <si>
    <t>Dubai</t>
  </si>
  <si>
    <t>AELIA DUTY FREE</t>
  </si>
  <si>
    <t>Padova</t>
  </si>
  <si>
    <t>Vignetta</t>
  </si>
  <si>
    <t>Commissione</t>
  </si>
  <si>
    <t>PARCHEGGIO AEROPORTO ORIO AL SERIO</t>
  </si>
  <si>
    <t>Commissione Vignetta</t>
  </si>
  <si>
    <t>GOOGLE</t>
  </si>
  <si>
    <t>GRADO GIT</t>
  </si>
  <si>
    <t>Ombrellone</t>
  </si>
  <si>
    <t>FOOTBALL MANAGER</t>
  </si>
  <si>
    <t>PIZZERIA AL GELSO</t>
  </si>
  <si>
    <t>10 OTTOBRE 2025</t>
  </si>
  <si>
    <t>Tari 2025</t>
  </si>
  <si>
    <t>TARI</t>
  </si>
  <si>
    <t>Tari 2024</t>
  </si>
  <si>
    <t>Tari 2023</t>
  </si>
  <si>
    <t>Tari 2022</t>
  </si>
  <si>
    <t>CIUDAD DE LAS ARTES Y VALENCIA</t>
  </si>
  <si>
    <t>EL INFANTE VALENCIA</t>
  </si>
  <si>
    <t>VALENBISI HORNO DE ALCE</t>
  </si>
  <si>
    <t xml:space="preserve">APT TRIESTE </t>
  </si>
  <si>
    <t>MERCADO CENTRAL  VALENCIA</t>
  </si>
  <si>
    <t>OF VALENCIA VALENCIA</t>
  </si>
  <si>
    <t>PINTADO A MANO</t>
  </si>
  <si>
    <t>LAS VIANDAS DE LERMA</t>
  </si>
  <si>
    <t>STARBUCKS RUZAFA</t>
  </si>
  <si>
    <t>FGV VALENCIA ESTACIONE</t>
  </si>
  <si>
    <t>% sullo stipendio</t>
  </si>
  <si>
    <t>Rimborso Savanelli Sa di Tappo</t>
  </si>
  <si>
    <t>RUSSIZ SUPERIORE</t>
  </si>
  <si>
    <t>COFIDIS</t>
  </si>
  <si>
    <t>Samsung Galaxy Watch 2025</t>
  </si>
  <si>
    <t>Regalo Davide 2025</t>
  </si>
  <si>
    <t>Regalo mamma</t>
  </si>
  <si>
    <t>MAZZUCCATO GUID</t>
  </si>
  <si>
    <t>AQUISTI ONLINE</t>
  </si>
  <si>
    <t>GALAXY WATCH</t>
  </si>
  <si>
    <t>consolidamento</t>
  </si>
  <si>
    <t>ASSOCIAZIONE CULTURALE TERZO D'AQUILITA</t>
  </si>
  <si>
    <t>RISTORANTE PIZZERIA CAPELLO</t>
  </si>
  <si>
    <t>Osteopata Gressani</t>
  </si>
  <si>
    <t>Viaggio di lavoro Praga 2025</t>
  </si>
  <si>
    <t>Extra Budget</t>
  </si>
  <si>
    <t>PARCHEGGIO OSPEDALE UDINE</t>
  </si>
  <si>
    <t>IPOTESI 2026</t>
  </si>
  <si>
    <t>SPESE VARIE SU CONTO</t>
  </si>
  <si>
    <t>PRELIEVO CONTANTI</t>
  </si>
  <si>
    <t>RATE MENSILI</t>
  </si>
  <si>
    <t>SPESE GENERICHE</t>
  </si>
  <si>
    <t>DELTA 24/25</t>
  </si>
  <si>
    <t>MEDIA GAS 2026</t>
  </si>
  <si>
    <t>MEDIA ENERGIA 2026</t>
  </si>
  <si>
    <t>Stima 25/26</t>
  </si>
  <si>
    <t>smc</t>
  </si>
  <si>
    <t>€/smc</t>
  </si>
  <si>
    <t>TOTALE MEDIA 2026</t>
  </si>
  <si>
    <t>Entrate straordinarie derivanti da Premio e da Tredicesima</t>
  </si>
  <si>
    <t>ENTRATE EXTRA</t>
  </si>
  <si>
    <t>TOTALE ENTRATE EXTRA</t>
  </si>
  <si>
    <t>TOTALE STIPENDIO</t>
  </si>
  <si>
    <t>+DETRAZIONI IRPEF</t>
  </si>
  <si>
    <t>-SPESA GAS</t>
  </si>
  <si>
    <t>-SPESA LUCE</t>
  </si>
  <si>
    <t>TREDICESIMA + PREMIO (MBO)</t>
  </si>
  <si>
    <t>11 NOVEMBRE 2025</t>
  </si>
  <si>
    <t>TRATTORIA ALLA STELLA</t>
  </si>
  <si>
    <t>CIO'CHE C'ERA</t>
  </si>
  <si>
    <t>MEET &amp; GREET UDINE</t>
  </si>
  <si>
    <t>L'AUTOGRILL PIZZERIA</t>
  </si>
  <si>
    <t>Tesseramenti Basket 2025-2026</t>
  </si>
  <si>
    <t>ABC CHIOSCO</t>
  </si>
  <si>
    <t>MOTO CLUB CERVIGNANO</t>
  </si>
  <si>
    <t>J TEAM ASD</t>
  </si>
  <si>
    <t>AL CAVALLINO</t>
  </si>
  <si>
    <t>San Martino 2025</t>
  </si>
  <si>
    <t>12 DICEMBRE 2025</t>
  </si>
  <si>
    <t>Consolidamento conto</t>
  </si>
  <si>
    <t>PARCHEGGIO AEROPORTO RONCHI</t>
  </si>
  <si>
    <t>Viaggio Siviglia 2025</t>
  </si>
  <si>
    <t>PIZZERIA CHICHIBIO</t>
  </si>
  <si>
    <t>ZARA</t>
  </si>
  <si>
    <t>1 GENNAIO 2026</t>
  </si>
  <si>
    <t>Regali natale 2024</t>
  </si>
  <si>
    <t>Regali natale 2023</t>
  </si>
  <si>
    <t>Regali Natale 2025</t>
  </si>
  <si>
    <t>TRASPORTO/VENDITA ENERGIA</t>
  </si>
  <si>
    <t>Prelievo</t>
  </si>
  <si>
    <t>PRELIEVO</t>
  </si>
  <si>
    <t>Compleanno 2025</t>
  </si>
  <si>
    <t>GRUPO TEIKA</t>
  </si>
  <si>
    <t>TRENES</t>
  </si>
  <si>
    <t>TUSSAM EM SIVIGLIA</t>
  </si>
  <si>
    <t>FLAMENCO</t>
  </si>
  <si>
    <t>AGUSTIN CERVEZAS E TAPAS SIVIGLIA</t>
  </si>
  <si>
    <t>LA SACRISTIA DE MATEOS SIVIGLIA</t>
  </si>
  <si>
    <t>ORANGE IN THE SKY SIVIGLIA</t>
  </si>
  <si>
    <t>PICANTON</t>
  </si>
  <si>
    <t>PANIFICIO PASTICCERIA CANDOTTI</t>
  </si>
  <si>
    <t>Viaggio Siviglia 2025 Regali Natale 2025</t>
  </si>
  <si>
    <t>BILIARDO PRADAMANO</t>
  </si>
  <si>
    <t>MENSILE 2026</t>
  </si>
  <si>
    <t>ANNUALE 2026</t>
  </si>
  <si>
    <t>DOPPIO MALTO (ZETTLE)</t>
  </si>
  <si>
    <t>Regali Natale 2025 - Papà</t>
  </si>
  <si>
    <t>PROSCIUTTIFICIO ALBERTI</t>
  </si>
  <si>
    <t>PIZZERIA DA MARIO</t>
  </si>
  <si>
    <t>Capodanno 2025</t>
  </si>
  <si>
    <t>BABY &amp; BOYS</t>
  </si>
  <si>
    <t>BOTTEGA VERDE</t>
  </si>
  <si>
    <t>Viaggio Viterbo 2026</t>
  </si>
  <si>
    <t>LOCANDA DEI GIUSTI</t>
  </si>
  <si>
    <t>TRATTORIA DEL CIMINO</t>
  </si>
  <si>
    <t>MUSEI VATICANI</t>
  </si>
  <si>
    <t>10 OTTOBRE 2020</t>
  </si>
  <si>
    <t>2 FEBBRAIO 2026</t>
  </si>
  <si>
    <t>Anni Rimanenti</t>
  </si>
  <si>
    <t>Abbonamento XBOX</t>
  </si>
  <si>
    <t>Anticipo Multa Paolo</t>
  </si>
  <si>
    <t>(più elementi)</t>
  </si>
  <si>
    <t>TOLLERANZA</t>
  </si>
  <si>
    <t>DA EDY REMANZACCO</t>
  </si>
  <si>
    <t>POKE TIARE</t>
  </si>
  <si>
    <t>STORNO QUOTA ASSOCIATIVA</t>
  </si>
  <si>
    <t>QUOTA ASSOCIATIVA CARTA DI CREDITO</t>
  </si>
  <si>
    <t>Monitor LG 32"</t>
  </si>
  <si>
    <t>MACCHINETTA ILLIRIA</t>
  </si>
  <si>
    <t>FRUMENTO UDINE</t>
  </si>
  <si>
    <t>LG MONITOR 32"</t>
  </si>
  <si>
    <t>Totale</t>
  </si>
  <si>
    <t>Pagamento CAFC Papà e Mamma</t>
  </si>
  <si>
    <t>TAGLIATO COL COLTELLO</t>
  </si>
  <si>
    <t>GUSTA' AL LEPRE</t>
  </si>
  <si>
    <t>Router Mercusys</t>
  </si>
  <si>
    <t>SAMSUNG FLIP 7</t>
  </si>
  <si>
    <t>LOFT23</t>
  </si>
  <si>
    <t>AL PODERE</t>
  </si>
  <si>
    <t>BAMBULAB</t>
  </si>
  <si>
    <t>AI MINI</t>
  </si>
  <si>
    <t>Stampante 3D A1 mini</t>
  </si>
  <si>
    <t>Pagamento Regalo Sandra</t>
  </si>
  <si>
    <t>Errore Stampante 3D A1 mini</t>
  </si>
  <si>
    <t>Pagato con Paypal</t>
  </si>
  <si>
    <t>ROUTER MERCUSYS</t>
  </si>
  <si>
    <t>3 MARZO 2026</t>
  </si>
  <si>
    <t>5 MAGGIO 2026</t>
  </si>
  <si>
    <t>Rimborso BASKET TERZO</t>
  </si>
  <si>
    <t>TOMMY HILFIGHER</t>
  </si>
  <si>
    <t>MINISFORUM MINI PC</t>
  </si>
  <si>
    <t>UFFICIO CAMERALE</t>
  </si>
  <si>
    <t>Report KFL</t>
  </si>
  <si>
    <t>RIEPILOGO SPESE BANCOMAT PER MESE/ANNO</t>
  </si>
  <si>
    <t>TOTALE ANNO</t>
  </si>
  <si>
    <t>Ricarica Andrea Moretti</t>
  </si>
  <si>
    <t>Estinzione AGOS</t>
  </si>
  <si>
    <t>Bollo Auto</t>
  </si>
  <si>
    <t>Quota nozze Eros</t>
  </si>
  <si>
    <t>DALLA SILVESTRA - CLIMA</t>
  </si>
  <si>
    <t>SPESE IPERCOOP</t>
  </si>
  <si>
    <t>COMMISSIONI SEPA</t>
  </si>
  <si>
    <t>RATA COMPUTER PAPA'</t>
  </si>
  <si>
    <t>RIEPILOGO SPESE CC PER MESE/ANNO</t>
  </si>
  <si>
    <t>RIEPILOGO SALDO LUCA - CONTO COINTESTATO</t>
  </si>
  <si>
    <t>CARTA CREDITO</t>
  </si>
  <si>
    <t>CONTO BANCA</t>
  </si>
  <si>
    <t>DIFF. ANNO PREC.</t>
  </si>
  <si>
    <t>VAR. %</t>
  </si>
  <si>
    <t>-</t>
  </si>
  <si>
    <t>RIEPILOGO ANNUALE PRELIEVI</t>
  </si>
  <si>
    <t>RIEPILOGO ABBONAMENTI MENSILI</t>
  </si>
  <si>
    <t>TOTALE COMPLESSIVO MENSILE</t>
  </si>
  <si>
    <t>- TELEFONIA</t>
  </si>
  <si>
    <t>CATEGORIA SPESE</t>
  </si>
  <si>
    <t>% RISPARMIO/GUADAGNO</t>
  </si>
  <si>
    <t>VALUTAZIONE RIENTRO PRESTITI</t>
  </si>
  <si>
    <t>Valutazione fatta il 14 Gennaio 2025</t>
  </si>
  <si>
    <t>SITUAZIONE ATTUALE</t>
  </si>
  <si>
    <t>Importo da saldare</t>
  </si>
  <si>
    <t>Risparmio netto</t>
  </si>
  <si>
    <t>IMPORTI</t>
  </si>
  <si>
    <t>METÀ IMPORTO</t>
  </si>
  <si>
    <t>OPZIONI NUOVO FINANZIAMENTO - SOLO TUCSON</t>
  </si>
  <si>
    <t>OPZIONE 1</t>
  </si>
  <si>
    <t>OPZIONE 2</t>
  </si>
  <si>
    <t>OPZIONE 3</t>
  </si>
  <si>
    <t>RITORNO INVESTIMENTO (mesi)</t>
  </si>
  <si>
    <t>RITORNO INVESTIMENTO (anni)</t>
  </si>
  <si>
    <t>OPZIONI NUOVO FINANZIAMENTO - TUCSON + QASHQAI</t>
  </si>
  <si>
    <t>LOCANDA OROLOGIO</t>
  </si>
  <si>
    <t>Tari 2026</t>
  </si>
  <si>
    <t>SALDO CONTO</t>
  </si>
  <si>
    <t>- SPESE FISSE 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</si>
</sst>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sz val="11"/>
      <color theme="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59" fillId="0" borderId="0" xfId="0" applyFont="1"/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60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59" fillId="0" borderId="0" xfId="0" applyNumberFormat="1" applyFont="1"/>
    <xf numFmtId="0" fontId="59" fillId="0" borderId="0" xfId="0" applyFont="1" applyAlignment="1">
      <alignment horizontal="lef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167" fontId="59" fillId="0" borderId="0" xfId="0" applyNumberFormat="1" applyFont="1" applyAlignment="1">
      <alignment vertical="center"/>
    </xf>
    <xf numFmtId="167" fontId="59" fillId="0" borderId="0" xfId="0" applyNumberFormat="1" applyFont="1" applyAlignment="1">
      <alignment horizontal="right" vertical="center"/>
    </xf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1" fillId="19" borderId="92" xfId="1" applyFont="1" applyFill="1" applyBorder="1"/>
    <xf numFmtId="165" fontId="61" fillId="6" borderId="92" xfId="1" applyFont="1" applyFill="1" applyBorder="1"/>
    <xf numFmtId="165" fontId="61" fillId="6" borderId="93" xfId="1" applyFont="1" applyFill="1" applyBorder="1"/>
    <xf numFmtId="165" fontId="61" fillId="6" borderId="0" xfId="1" applyFont="1" applyFill="1" applyBorder="1"/>
    <xf numFmtId="165" fontId="61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2" fillId="6" borderId="0" xfId="1" applyFont="1" applyFill="1" applyBorder="1"/>
    <xf numFmtId="181" fontId="0" fillId="0" borderId="0" xfId="0" applyNumberFormat="1"/>
    <xf numFmtId="0" fontId="65" fillId="20" borderId="0" xfId="0" applyFont="1" applyFill="1" applyAlignment="1">
      <alignment horizontal="center"/>
    </xf>
    <xf numFmtId="181" fontId="63" fillId="0" borderId="0" xfId="0" applyNumberFormat="1" applyFont="1"/>
    <xf numFmtId="0" fontId="63" fillId="0" borderId="0" xfId="0" applyFont="1"/>
    <xf numFmtId="0" fontId="65" fillId="20" borderId="0" xfId="0" applyFont="1" applyFill="1"/>
    <xf numFmtId="181" fontId="63" fillId="21" borderId="0" xfId="0" applyNumberFormat="1" applyFont="1" applyFill="1"/>
    <xf numFmtId="0" fontId="64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3" fillId="22" borderId="0" xfId="0" applyNumberFormat="1" applyFont="1" applyFill="1"/>
    <xf numFmtId="182" fontId="63" fillId="23" borderId="0" xfId="0" applyNumberFormat="1" applyFont="1" applyFill="1"/>
    <xf numFmtId="0" fontId="64" fillId="0" borderId="0" xfId="0" applyFont="1"/>
    <xf numFmtId="0" fontId="63" fillId="24" borderId="0" xfId="0" applyFont="1" applyFill="1"/>
    <xf numFmtId="182" fontId="63" fillId="24" borderId="0" xfId="0" applyNumberFormat="1" applyFont="1" applyFill="1"/>
    <xf numFmtId="0" fontId="0" fillId="0" borderId="0" xfId="0" applyAlignment="1">
      <alignment horizontal="center"/>
    </xf>
    <xf numFmtId="0" fontId="66" fillId="0" borderId="0" xfId="0" pivotButton="1" applyFont="1"/>
    <xf numFmtId="0" fontId="66" fillId="0" borderId="0" xfId="0" applyFont="1"/>
    <xf numFmtId="0" fontId="66" fillId="0" borderId="0" xfId="0" applyFont="1" applyAlignment="1">
      <alignment horizontal="left"/>
    </xf>
    <xf numFmtId="167" fontId="66" fillId="0" borderId="0" xfId="0" applyNumberFormat="1" applyFont="1"/>
    <xf numFmtId="167" fontId="66" fillId="0" borderId="0" xfId="0" applyNumberFormat="1" applyFont="1" applyAlignment="1">
      <alignment vertical="center"/>
    </xf>
    <xf numFmtId="0" fontId="66" fillId="0" borderId="0" xfId="0" applyFont="1" applyAlignment="1">
      <alignment horizontal="left" vertical="center"/>
    </xf>
    <xf numFmtId="167" fontId="66" fillId="0" borderId="0" xfId="0" applyNumberFormat="1" applyFont="1" applyAlignment="1">
      <alignment horizontal="right" vertical="center"/>
    </xf>
    <xf numFmtId="0" fontId="66" fillId="2" borderId="0" xfId="0" applyFont="1" applyFill="1" applyAlignment="1">
      <alignment horizontal="left" vertical="center"/>
    </xf>
    <xf numFmtId="0" fontId="66" fillId="10" borderId="0" xfId="0" applyFont="1" applyFill="1" applyAlignment="1">
      <alignment horizontal="left" vertical="center"/>
    </xf>
    <xf numFmtId="0" fontId="66" fillId="16" borderId="0" xfId="0" applyFont="1" applyFill="1" applyAlignment="1">
      <alignment horizontal="left" vertical="center"/>
    </xf>
    <xf numFmtId="0" fontId="66" fillId="9" borderId="0" xfId="0" applyFont="1" applyFill="1" applyAlignment="1">
      <alignment horizontal="left" vertical="center"/>
    </xf>
    <xf numFmtId="0" fontId="66" fillId="12" borderId="0" xfId="0" applyFont="1" applyFill="1" applyAlignment="1">
      <alignment horizontal="left" vertical="center"/>
    </xf>
    <xf numFmtId="0" fontId="66" fillId="11" borderId="0" xfId="0" applyFont="1" applyFill="1" applyAlignment="1">
      <alignment horizontal="left" vertical="center"/>
    </xf>
    <xf numFmtId="0" fontId="66" fillId="8" borderId="0" xfId="0" applyFont="1" applyFill="1" applyAlignment="1">
      <alignment horizontal="left" vertical="center"/>
    </xf>
    <xf numFmtId="0" fontId="66" fillId="13" borderId="0" xfId="0" applyFont="1" applyFill="1" applyAlignment="1">
      <alignment horizontal="left" vertical="center"/>
    </xf>
    <xf numFmtId="0" fontId="66" fillId="0" borderId="0" xfId="0" pivotButton="1" applyFont="1" applyAlignment="1">
      <alignment vertical="center"/>
    </xf>
    <xf numFmtId="0" fontId="66" fillId="0" borderId="0" xfId="0" pivotButton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9" fontId="66" fillId="0" borderId="0" xfId="0" applyNumberFormat="1" applyFont="1" applyAlignment="1">
      <alignment horizontal="center" vertical="center"/>
    </xf>
    <xf numFmtId="169" fontId="66" fillId="0" borderId="0" xfId="0" applyNumberFormat="1" applyFont="1" applyAlignment="1">
      <alignment horizontal="right" vertical="center"/>
    </xf>
    <xf numFmtId="0" fontId="66" fillId="0" borderId="0" xfId="0" applyFont="1" applyAlignment="1">
      <alignment horizontal="left" indent="1"/>
    </xf>
    <xf numFmtId="0" fontId="65" fillId="20" borderId="3" xfId="0" applyFont="1" applyFill="1" applyBorder="1"/>
    <xf numFmtId="182" fontId="0" fillId="24" borderId="4" xfId="0" applyNumberFormat="1" applyFill="1" applyBorder="1"/>
    <xf numFmtId="0" fontId="67" fillId="20" borderId="1" xfId="0" applyFont="1" applyFill="1" applyBorder="1"/>
    <xf numFmtId="0" fontId="63" fillId="24" borderId="5" xfId="0" applyFont="1" applyFill="1" applyBorder="1"/>
    <xf numFmtId="0" fontId="67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7" fillId="25" borderId="1" xfId="0" applyFont="1" applyFill="1" applyBorder="1"/>
    <xf numFmtId="0" fontId="65" fillId="25" borderId="3" xfId="0" applyFont="1" applyFill="1" applyBorder="1"/>
    <xf numFmtId="0" fontId="63" fillId="26" borderId="5" xfId="0" applyFont="1" applyFill="1" applyBorder="1"/>
    <xf numFmtId="0" fontId="67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5" fillId="20" borderId="0" xfId="1" applyNumberFormat="1" applyFont="1" applyFill="1" applyBorder="1" applyAlignment="1">
      <alignment horizontal="center"/>
    </xf>
    <xf numFmtId="165" fontId="65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5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3" fillId="24" borderId="11" xfId="0" applyFont="1" applyFill="1" applyBorder="1" applyAlignment="1">
      <alignment horizontal="center"/>
    </xf>
    <xf numFmtId="182" fontId="63" fillId="24" borderId="11" xfId="0" applyNumberFormat="1" applyFont="1" applyFill="1" applyBorder="1" applyAlignment="1">
      <alignment horizontal="center"/>
    </xf>
    <xf numFmtId="168" fontId="63" fillId="24" borderId="11" xfId="0" applyNumberFormat="1" applyFont="1" applyFill="1" applyBorder="1" applyAlignment="1">
      <alignment horizontal="center"/>
    </xf>
    <xf numFmtId="0" fontId="65" fillId="20" borderId="0" xfId="0" applyFont="1" applyFill="1" applyAlignment="1">
      <alignment horizontal="left"/>
    </xf>
    <xf numFmtId="0" fontId="63" fillId="24" borderId="0" xfId="0" applyFont="1" applyFill="1" applyAlignment="1">
      <alignment horizontal="left"/>
    </xf>
    <xf numFmtId="182" fontId="63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168" fontId="68" fillId="0" borderId="0" xfId="0" applyNumberFormat="1" applyFont="1"/>
    <xf numFmtId="182" fontId="69" fillId="0" borderId="0" xfId="0" applyNumberFormat="1" applyFont="1" applyAlignment="1">
      <alignment horizontal="center"/>
    </xf>
    <xf numFmtId="182" fontId="70" fillId="24" borderId="0" xfId="0" applyNumberFormat="1" applyFont="1" applyFill="1" applyAlignment="1">
      <alignment horizontal="center"/>
    </xf>
    <xf numFmtId="183" fontId="69" fillId="0" borderId="0" xfId="0" applyNumberFormat="1" applyFont="1" applyAlignment="1">
      <alignment horizontal="center"/>
    </xf>
    <xf numFmtId="0" fontId="71" fillId="0" borderId="0" xfId="0" applyFont="1"/>
    <xf numFmtId="0" fontId="63" fillId="0" borderId="0" xfId="0" applyFont="1" applyAlignment="1">
      <alignment horizontal="center"/>
    </xf>
    <xf numFmtId="0" fontId="66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2" fillId="6" borderId="0" xfId="1" applyFont="1" applyFill="1" applyBorder="1"/>
    <xf numFmtId="165" fontId="72" fillId="6" borderId="92" xfId="1" applyFont="1" applyFill="1" applyBorder="1"/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5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5" fillId="20" borderId="0" xfId="0" applyFont="1" applyFill="1"/>
    <xf numFmtId="0" fontId="63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31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bottom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rgb="FFCCCC00"/>
        </patternFill>
      </fill>
    </dxf>
    <dxf>
      <alignment vertical="center"/>
    </dxf>
    <dxf>
      <alignment horizontal="left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numFmt numFmtId="167" formatCode="#,##0.00\ &quot;€&quot;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230">
      <pivotArea dataOnly="0" labelOnly="1" outline="0" fieldPosition="0">
        <references count="1">
          <reference field="2" count="0"/>
        </references>
      </pivotArea>
    </format>
    <format dxfId="229">
      <pivotArea field="5" type="button" dataOnly="0" labelOnly="1" outline="0" axis="axisCol" fieldPosition="0"/>
    </format>
    <format dxfId="228">
      <pivotArea dataOnly="0" labelOnly="1" outline="0" fieldPosition="0">
        <references count="1">
          <reference field="2" count="0"/>
        </references>
      </pivotArea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type="origin" dataOnly="0" labelOnly="1" outline="0" fieldPosition="0"/>
    </format>
    <format dxfId="224">
      <pivotArea field="5" type="button" dataOnly="0" labelOnly="1" outline="0" axis="axisCol" fieldPosition="0"/>
    </format>
    <format dxfId="223">
      <pivotArea type="topRight" dataOnly="0" labelOnly="1" outline="0" fieldPosition="0"/>
    </format>
    <format dxfId="222">
      <pivotArea field="7" type="button" dataOnly="0" labelOnly="1" outline="0" axis="axisRow" fieldPosition="0"/>
    </format>
    <format dxfId="221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220">
      <pivotArea dataOnly="0" labelOnly="1" grandRow="1" outline="0" fieldPosition="0"/>
    </format>
    <format dxfId="219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217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216">
      <pivotArea grandRow="1" outline="0" collapsedLevelsAreSubtotals="1" fieldPosition="0"/>
    </format>
    <format dxfId="215">
      <pivotArea outline="0" collapsedLevelsAreSubtotals="1" fieldPosition="0"/>
    </format>
    <format dxfId="21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2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7" type="button" dataOnly="0" labelOnly="1" outline="0" axis="axisRow" fieldPosition="0"/>
    </format>
    <format dxfId="207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1">
          <reference field="2" count="0"/>
        </references>
      </pivotArea>
    </format>
    <format dxfId="204">
      <pivotArea dataOnly="0" labelOnly="1" grandCol="1" outline="0" fieldPosition="0"/>
    </format>
    <format dxfId="203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202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201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200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99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98">
      <pivotArea outline="0" fieldPosition="0">
        <references count="1">
          <reference field="4294967294" count="1">
            <x v="0"/>
          </reference>
        </references>
      </pivotArea>
    </format>
    <format dxfId="197">
      <pivotArea dataOnly="0" labelOnly="1" fieldPosition="0">
        <references count="1">
          <reference field="7" count="1">
            <x v="12"/>
          </reference>
        </references>
      </pivotArea>
    </format>
    <format dxfId="196">
      <pivotArea dataOnly="0" labelOnly="1" fieldPosition="0">
        <references count="1">
          <reference field="7" count="1">
            <x v="12"/>
          </reference>
        </references>
      </pivotArea>
    </format>
    <format dxfId="195">
      <pivotArea dataOnly="0" labelOnly="1" fieldPosition="0">
        <references count="1">
          <reference field="7" count="1">
            <x v="12"/>
          </reference>
        </references>
      </pivotArea>
    </format>
    <format dxfId="194">
      <pivotArea dataOnly="0" labelOnly="1" fieldPosition="0">
        <references count="1">
          <reference field="7" count="1">
            <x v="13"/>
          </reference>
        </references>
      </pivotArea>
    </format>
    <format dxfId="193">
      <pivotArea dataOnly="0" labelOnly="1" fieldPosition="0">
        <references count="1">
          <reference field="7" count="1">
            <x v="21"/>
          </reference>
        </references>
      </pivotArea>
    </format>
    <format dxfId="192">
      <pivotArea dataOnly="0" labelOnly="1" fieldPosition="0">
        <references count="1">
          <reference field="7" count="1">
            <x v="0"/>
          </reference>
        </references>
      </pivotArea>
    </format>
    <format dxfId="191">
      <pivotArea dataOnly="0" labelOnly="1" fieldPosition="0">
        <references count="1">
          <reference field="7" count="1">
            <x v="13"/>
          </reference>
        </references>
      </pivotArea>
    </format>
    <format dxfId="190">
      <pivotArea dataOnly="0" labelOnly="1" fieldPosition="0">
        <references count="1">
          <reference field="7" count="1">
            <x v="2"/>
          </reference>
        </references>
      </pivotArea>
    </format>
    <format dxfId="189">
      <pivotArea dataOnly="0" labelOnly="1" fieldPosition="0">
        <references count="1">
          <reference field="7" count="1">
            <x v="9"/>
          </reference>
        </references>
      </pivotArea>
    </format>
    <format dxfId="188">
      <pivotArea dataOnly="0" labelOnly="1" fieldPosition="0">
        <references count="1">
          <reference field="7" count="1">
            <x v="3"/>
          </reference>
        </references>
      </pivotArea>
    </format>
    <format dxfId="187">
      <pivotArea dataOnly="0" labelOnly="1" fieldPosition="0">
        <references count="1">
          <reference field="7" count="1">
            <x v="17"/>
          </reference>
        </references>
      </pivotArea>
    </format>
    <format dxfId="186">
      <pivotArea dataOnly="0" labelOnly="1" fieldPosition="0">
        <references count="1">
          <reference field="7" count="1">
            <x v="22"/>
          </reference>
        </references>
      </pivotArea>
    </format>
    <format dxfId="185">
      <pivotArea dataOnly="0" labelOnly="1" fieldPosition="0">
        <references count="1">
          <reference field="7" count="1">
            <x v="5"/>
          </reference>
        </references>
      </pivotArea>
    </format>
    <format dxfId="184">
      <pivotArea dataOnly="0" labelOnly="1" fieldPosition="0">
        <references count="1">
          <reference field="7" count="1">
            <x v="23"/>
          </reference>
        </references>
      </pivotArea>
    </format>
    <format dxfId="183">
      <pivotArea dataOnly="0" labelOnly="1" fieldPosition="0">
        <references count="1">
          <reference field="7" count="1">
            <x v="24"/>
          </reference>
        </references>
      </pivotArea>
    </format>
    <format dxfId="182">
      <pivotArea dataOnly="0" labelOnly="1" fieldPosition="0">
        <references count="1">
          <reference field="7" count="1">
            <x v="14"/>
          </reference>
        </references>
      </pivotArea>
    </format>
    <format dxfId="181">
      <pivotArea dataOnly="0" labelOnly="1" fieldPosition="0">
        <references count="1">
          <reference field="7" count="1">
            <x v="11"/>
          </reference>
        </references>
      </pivotArea>
    </format>
    <format dxfId="180">
      <pivotArea dataOnly="0" labelOnly="1" fieldPosition="0">
        <references count="1">
          <reference field="7" count="1">
            <x v="4"/>
          </reference>
        </references>
      </pivotArea>
    </format>
    <format dxfId="179">
      <pivotArea dataOnly="0" labelOnly="1" fieldPosition="0">
        <references count="1">
          <reference field="7" count="1">
            <x v="10"/>
          </reference>
        </references>
      </pivotArea>
    </format>
    <format dxfId="178">
      <pivotArea dataOnly="0" labelOnly="1" fieldPosition="0">
        <references count="1">
          <reference field="7" count="1">
            <x v="16"/>
          </reference>
        </references>
      </pivotArea>
    </format>
    <format dxfId="177">
      <pivotArea dataOnly="0" labelOnly="1" fieldPosition="0">
        <references count="1">
          <reference field="7" count="1">
            <x v="8"/>
          </reference>
        </references>
      </pivotArea>
    </format>
    <format dxfId="176">
      <pivotArea dataOnly="0" labelOnly="1" fieldPosition="0">
        <references count="1">
          <reference field="7" count="1">
            <x v="15"/>
          </reference>
        </references>
      </pivotArea>
    </format>
    <format dxfId="175">
      <pivotArea dataOnly="0" labelOnly="1" fieldPosition="0">
        <references count="1">
          <reference field="7" count="1">
            <x v="1"/>
          </reference>
        </references>
      </pivotArea>
    </format>
    <format dxfId="174">
      <pivotArea dataOnly="0" labelOnly="1" fieldPosition="0">
        <references count="1">
          <reference field="7" count="1">
            <x v="19"/>
          </reference>
        </references>
      </pivotArea>
    </format>
    <format dxfId="173">
      <pivotArea dataOnly="0" labelOnly="1" fieldPosition="0">
        <references count="1">
          <reference field="7" count="1">
            <x v="6"/>
          </reference>
        </references>
      </pivotArea>
    </format>
    <format dxfId="172">
      <pivotArea dataOnly="0" labelOnly="1" fieldPosition="0">
        <references count="1">
          <reference field="7" count="1">
            <x v="3"/>
          </reference>
        </references>
      </pivotArea>
    </format>
    <format dxfId="171">
      <pivotArea grandRow="1" outline="0" collapsedLevelsAreSubtotals="1" fieldPosition="0"/>
    </format>
    <format dxfId="170">
      <pivotArea type="origin" dataOnly="0" labelOnly="1" outline="0" fieldPosition="0"/>
    </format>
    <format dxfId="169">
      <pivotArea field="7" type="button" dataOnly="0" labelOnly="1" outline="0" axis="axisRow" fieldPosition="0"/>
    </format>
    <format dxfId="168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16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166">
      <pivotArea dataOnly="0" labelOnly="1" fieldPosition="0">
        <references count="1">
          <reference field="7" count="1">
            <x v="0"/>
          </reference>
        </references>
      </pivotArea>
    </format>
    <format dxfId="165">
      <pivotArea dataOnly="0" labelOnly="1" fieldPosition="0">
        <references count="1">
          <reference field="7" count="1">
            <x v="1"/>
          </reference>
        </references>
      </pivotArea>
    </format>
    <format dxfId="164">
      <pivotArea dataOnly="0" labelOnly="1" fieldPosition="0">
        <references count="1">
          <reference field="7" count="1">
            <x v="2"/>
          </reference>
        </references>
      </pivotArea>
    </format>
    <format dxfId="163">
      <pivotArea dataOnly="0" labelOnly="1" fieldPosition="0">
        <references count="1">
          <reference field="7" count="1">
            <x v="3"/>
          </reference>
        </references>
      </pivotArea>
    </format>
    <format dxfId="162">
      <pivotArea dataOnly="0" labelOnly="1" fieldPosition="0">
        <references count="1">
          <reference field="7" count="1">
            <x v="4"/>
          </reference>
        </references>
      </pivotArea>
    </format>
    <format dxfId="161">
      <pivotArea dataOnly="0" labelOnly="1" fieldPosition="0">
        <references count="1">
          <reference field="7" count="1">
            <x v="5"/>
          </reference>
        </references>
      </pivotArea>
    </format>
    <format dxfId="160">
      <pivotArea dataOnly="0" labelOnly="1" fieldPosition="0">
        <references count="1">
          <reference field="7" count="1">
            <x v="6"/>
          </reference>
        </references>
      </pivotArea>
    </format>
    <format dxfId="159">
      <pivotArea dataOnly="0" labelOnly="1" fieldPosition="0">
        <references count="1">
          <reference field="7" count="1">
            <x v="7"/>
          </reference>
        </references>
      </pivotArea>
    </format>
    <format dxfId="158">
      <pivotArea dataOnly="0" labelOnly="1" fieldPosition="0">
        <references count="1">
          <reference field="7" count="1">
            <x v="8"/>
          </reference>
        </references>
      </pivotArea>
    </format>
    <format dxfId="157">
      <pivotArea dataOnly="0" labelOnly="1" fieldPosition="0">
        <references count="1">
          <reference field="7" count="1">
            <x v="9"/>
          </reference>
        </references>
      </pivotArea>
    </format>
    <format dxfId="156">
      <pivotArea dataOnly="0" labelOnly="1" fieldPosition="0">
        <references count="1">
          <reference field="7" count="1">
            <x v="10"/>
          </reference>
        </references>
      </pivotArea>
    </format>
    <format dxfId="155">
      <pivotArea dataOnly="0" labelOnly="1" fieldPosition="0">
        <references count="1">
          <reference field="7" count="1">
            <x v="11"/>
          </reference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type="origin" dataOnly="0" labelOnly="1" outline="0" fieldPosition="0"/>
    </format>
    <format dxfId="151">
      <pivotArea field="2" type="button" dataOnly="0" labelOnly="1" outline="0" axis="axisCol" fieldPosition="0"/>
    </format>
    <format dxfId="150">
      <pivotArea type="topRight" dataOnly="0" labelOnly="1" outline="0" fieldPosition="0"/>
    </format>
    <format dxfId="149">
      <pivotArea field="7" type="button" dataOnly="0" labelOnly="1" outline="0" axis="axisRow" fieldPosition="0"/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grandRow="1" outline="0" fieldPosition="0"/>
    </format>
    <format dxfId="146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145">
      <pivotArea dataOnly="0" labelOnly="1" grandCol="1" outline="0" fieldPosition="0"/>
    </format>
    <format dxfId="144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143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2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0" type="button" dataOnly="0" labelOnly="1" outline="0" axis="axisRow" fieldPosition="0"/>
    </format>
    <format dxfId="136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5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4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3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2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1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0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29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28">
      <pivotArea dataOnly="0" labelOnly="1" grandRow="1" outline="0" fieldPosition="0"/>
    </format>
    <format dxfId="127">
      <pivotArea dataOnly="0" labelOnly="1" fieldPosition="0">
        <references count="1">
          <reference field="2" count="0"/>
        </references>
      </pivotArea>
    </format>
    <format dxfId="12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25">
      <pivotArea outline="0" collapsedLevelsAreSubtotals="1" fieldPosition="0"/>
    </format>
    <format dxfId="124">
      <pivotArea field="6" type="button" dataOnly="0" labelOnly="1" outline="0" axis="axisCol" fieldPosition="0"/>
    </format>
    <format dxfId="123">
      <pivotArea type="topRight" dataOnly="0" labelOnly="1" outline="0" fieldPosition="0"/>
    </format>
    <format dxfId="122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1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20">
      <pivotArea dataOnly="0" labelOnly="1" grandCol="1" outline="0" fieldPosition="0"/>
    </format>
    <format dxfId="119">
      <pivotArea outline="0" collapsedLevelsAreSubtotals="1" fieldPosition="0"/>
    </format>
    <format dxfId="118">
      <pivotArea field="6" type="button" dataOnly="0" labelOnly="1" outline="0" axis="axisCol" fieldPosition="0"/>
    </format>
    <format dxfId="117">
      <pivotArea type="topRight" dataOnly="0" labelOnly="1" outline="0" fieldPosition="0"/>
    </format>
    <format dxfId="116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5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4">
      <pivotArea dataOnly="0" labelOnly="1" grandCol="1" outline="0" fieldPosition="0"/>
    </format>
    <format dxfId="113">
      <pivotArea grandCol="1" outline="0" collapsedLevelsAreSubtotals="1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6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1" type="button" dataOnly="0" labelOnly="1" outline="0" axis="axisRow" fieldPosition="0"/>
    </format>
    <format dxfId="106">
      <pivotArea dataOnly="0" labelOnly="1" fieldPosition="0">
        <references count="1">
          <reference field="1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0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2">
      <pivotArea dataOnly="0" labelOnly="1" fieldPosition="0">
        <references count="1">
          <reference field="6" count="1">
            <x v="51"/>
          </reference>
        </references>
      </pivotArea>
    </format>
    <format dxfId="101">
      <pivotArea dataOnly="0" labelOnly="1" grandCol="1" outline="0" fieldPosition="0"/>
    </format>
    <format dxfId="10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S13" sqref="CS13"/>
    </sheetView>
  </sheetViews>
  <sheetFormatPr defaultColWidth="9.140625" defaultRowHeight="15" outlineLevelCol="3" x14ac:dyDescent="0.25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7" customWidth="1" collapsed="1"/>
    <col min="11" max="17" width="22.42578125" style="9" hidden="1" customWidth="1" outlineLevel="1"/>
    <col min="18" max="18" width="1.85546875" style="1097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6" width="14.28515625" style="9" customWidth="1"/>
    <col min="107" max="146" width="14.28515625" style="9" customWidth="1" outlineLevel="1"/>
    <col min="147" max="202" width="13.7109375" style="9" customWidth="1" outlineLevel="1"/>
    <col min="203" max="16384" width="9.140625" style="9"/>
  </cols>
  <sheetData>
    <row r="1" spans="1:202" ht="35.25" customHeight="1" x14ac:dyDescent="0.35">
      <c r="B1" s="924" t="s">
        <v>1</v>
      </c>
      <c r="G1" s="10"/>
      <c r="H1" s="10"/>
      <c r="I1" s="10"/>
      <c r="J1" s="1094"/>
      <c r="K1" s="10"/>
      <c r="L1" s="10"/>
      <c r="M1" s="10"/>
      <c r="N1" s="10"/>
      <c r="O1" s="10"/>
      <c r="P1" s="10"/>
      <c r="Q1" s="10"/>
      <c r="R1" s="1094"/>
      <c r="U1" s="11">
        <f>MONTH(B2)</f>
        <v>4</v>
      </c>
      <c r="AJ1" s="12"/>
    </row>
    <row r="2" spans="1:202" ht="35.25" customHeight="1" x14ac:dyDescent="0.25">
      <c r="B2" s="923">
        <v>46113</v>
      </c>
      <c r="G2" s="13"/>
      <c r="H2" s="13"/>
      <c r="I2" s="13"/>
      <c r="J2" s="1095"/>
      <c r="K2" s="13"/>
      <c r="L2" s="13"/>
      <c r="M2" s="13"/>
      <c r="N2" s="13"/>
      <c r="O2" s="13"/>
      <c r="P2" s="13"/>
      <c r="Q2" s="13"/>
      <c r="R2" s="1095"/>
      <c r="U2" s="11"/>
      <c r="AH2" s="12"/>
      <c r="AJ2" s="12"/>
      <c r="CH2" s="643"/>
    </row>
    <row r="3" spans="1:202" ht="21" x14ac:dyDescent="0.35">
      <c r="B3" s="921" t="str">
        <f>CONCATENATE("Spesa Carta ",Valutazioni!E3," €")</f>
        <v>Spesa Carta 1298,088 €</v>
      </c>
      <c r="C3" s="636"/>
      <c r="D3" s="635"/>
      <c r="E3" s="636"/>
      <c r="F3" s="688"/>
      <c r="G3" s="13"/>
      <c r="H3" s="13"/>
      <c r="I3" s="13"/>
      <c r="J3" s="1095"/>
      <c r="K3" s="13"/>
      <c r="L3" s="13"/>
      <c r="M3" s="13"/>
      <c r="N3" s="13"/>
      <c r="O3" s="13"/>
      <c r="P3" s="13"/>
      <c r="Q3" s="13"/>
      <c r="R3" s="1095"/>
      <c r="U3" s="11"/>
      <c r="AH3" s="12"/>
      <c r="AJ3" s="12"/>
      <c r="CH3" s="643"/>
      <c r="CJ3" s="643"/>
    </row>
    <row r="4" spans="1:202" ht="21" x14ac:dyDescent="0.35">
      <c r="B4" s="921" t="str">
        <f>CONCATENATE("Budget Rimanente ",Valutazioni!I3," €")</f>
        <v>Budget Rimanente 1,91 €</v>
      </c>
      <c r="C4" s="636"/>
      <c r="D4" s="635"/>
      <c r="E4" s="636"/>
      <c r="F4" s="688"/>
      <c r="G4" s="13"/>
      <c r="H4" s="13"/>
      <c r="I4" s="13"/>
      <c r="J4" s="1095"/>
      <c r="K4" s="13"/>
      <c r="L4" s="13"/>
      <c r="M4" s="13"/>
      <c r="N4" s="13"/>
      <c r="O4" s="13"/>
      <c r="P4" s="13"/>
      <c r="Q4" s="13"/>
      <c r="R4" s="1095"/>
      <c r="U4" s="11"/>
      <c r="AH4" s="12"/>
      <c r="AJ4" s="12"/>
    </row>
    <row r="5" spans="1:202" ht="21" x14ac:dyDescent="0.35">
      <c r="B5" s="922" t="str">
        <f>CONCATENATE(CONCATENATE("Margine mensile ",YEAR(B2))," ",ROUND(AVERAGEIF(CN71:CQ71,"&gt;0"),1)," €")</f>
        <v>Margine mensile 2026 491,8 €</v>
      </c>
      <c r="C5" s="688"/>
      <c r="D5" s="635"/>
      <c r="E5" s="636"/>
      <c r="F5" s="688"/>
      <c r="G5" s="13"/>
      <c r="H5" s="13"/>
      <c r="I5" s="13"/>
      <c r="J5" s="1096"/>
      <c r="K5" s="13"/>
      <c r="L5" s="13"/>
      <c r="M5" s="13"/>
      <c r="N5" s="13"/>
      <c r="O5" s="13"/>
      <c r="P5" s="13"/>
      <c r="Q5" s="13"/>
      <c r="R5" s="1095"/>
      <c r="U5" s="11"/>
      <c r="AH5" s="12"/>
      <c r="AJ5" s="12"/>
      <c r="CE5" s="40"/>
      <c r="CF5" s="40"/>
    </row>
    <row r="6" spans="1:202" ht="21" x14ac:dyDescent="0.35">
      <c r="B6" s="735"/>
      <c r="C6" s="688"/>
      <c r="D6" s="635"/>
      <c r="E6" s="636"/>
      <c r="F6" s="688"/>
      <c r="G6" s="13"/>
      <c r="H6" s="13"/>
      <c r="I6" s="13"/>
      <c r="J6" s="1096"/>
      <c r="K6" s="13"/>
      <c r="L6" s="13"/>
      <c r="M6" s="13"/>
      <c r="N6" s="13"/>
      <c r="O6" s="13"/>
      <c r="P6" s="13"/>
      <c r="Q6" s="13"/>
      <c r="R6" s="1128"/>
      <c r="U6" s="11"/>
      <c r="AH6" s="12"/>
      <c r="AJ6" s="12"/>
      <c r="CE6" s="40"/>
      <c r="CF6" s="40"/>
    </row>
    <row r="7" spans="1:202" hidden="1" x14ac:dyDescent="0.25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6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1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 x14ac:dyDescent="0.25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6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0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 x14ac:dyDescent="0.25">
      <c r="C9" s="16">
        <v>2020</v>
      </c>
      <c r="D9" s="16">
        <v>2021</v>
      </c>
      <c r="E9" s="16">
        <v>2022</v>
      </c>
      <c r="F9" s="16">
        <v>2023</v>
      </c>
      <c r="G9" s="1042">
        <v>2024</v>
      </c>
      <c r="H9" s="1042">
        <v>2025</v>
      </c>
      <c r="I9" s="1042">
        <v>2026</v>
      </c>
      <c r="J9" s="1096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28"/>
      <c r="S9" s="1037">
        <v>43739</v>
      </c>
      <c r="T9" s="1037">
        <v>43770</v>
      </c>
      <c r="U9" s="1038">
        <v>43800</v>
      </c>
      <c r="V9" s="1037">
        <v>43831</v>
      </c>
      <c r="W9" s="1037">
        <v>43862</v>
      </c>
      <c r="X9" s="1037">
        <v>43891</v>
      </c>
      <c r="Y9" s="1037">
        <v>43922</v>
      </c>
      <c r="Z9" s="1037">
        <v>43952</v>
      </c>
      <c r="AA9" s="1037">
        <v>43983</v>
      </c>
      <c r="AB9" s="1037">
        <v>44013</v>
      </c>
      <c r="AC9" s="1037">
        <v>44044</v>
      </c>
      <c r="AD9" s="1037">
        <v>44075</v>
      </c>
      <c r="AE9" s="1037">
        <v>44105</v>
      </c>
      <c r="AF9" s="1037">
        <v>44136</v>
      </c>
      <c r="AG9" s="1038">
        <v>44166</v>
      </c>
      <c r="AH9" s="1037">
        <v>44197</v>
      </c>
      <c r="AI9" s="1037">
        <v>44228</v>
      </c>
      <c r="AJ9" s="1037">
        <v>44256</v>
      </c>
      <c r="AK9" s="1037">
        <v>44287</v>
      </c>
      <c r="AL9" s="1037">
        <v>44317</v>
      </c>
      <c r="AM9" s="1037">
        <v>44348</v>
      </c>
      <c r="AN9" s="1037">
        <v>44378</v>
      </c>
      <c r="AO9" s="1037">
        <v>44409</v>
      </c>
      <c r="AP9" s="1037">
        <v>44440</v>
      </c>
      <c r="AQ9" s="1037">
        <v>44470</v>
      </c>
      <c r="AR9" s="1037">
        <v>44501</v>
      </c>
      <c r="AS9" s="1039">
        <v>44531</v>
      </c>
      <c r="AT9" s="1040">
        <v>44562</v>
      </c>
      <c r="AU9" s="1037">
        <v>44593</v>
      </c>
      <c r="AV9" s="1037">
        <v>44621</v>
      </c>
      <c r="AW9" s="1037">
        <v>44652</v>
      </c>
      <c r="AX9" s="1037">
        <v>44682</v>
      </c>
      <c r="AY9" s="1037">
        <v>44713</v>
      </c>
      <c r="AZ9" s="1037">
        <v>44743</v>
      </c>
      <c r="BA9" s="1037">
        <v>44774</v>
      </c>
      <c r="BB9" s="1037">
        <v>44805</v>
      </c>
      <c r="BC9" s="1037">
        <v>44835</v>
      </c>
      <c r="BD9" s="1037">
        <v>44866</v>
      </c>
      <c r="BE9" s="1037">
        <v>44896</v>
      </c>
      <c r="BF9" s="1040">
        <v>44927</v>
      </c>
      <c r="BG9" s="1037">
        <v>44958</v>
      </c>
      <c r="BH9" s="1037">
        <v>44986</v>
      </c>
      <c r="BI9" s="1037">
        <v>45017</v>
      </c>
      <c r="BJ9" s="1037">
        <v>45047</v>
      </c>
      <c r="BK9" s="1037">
        <v>45078</v>
      </c>
      <c r="BL9" s="1037">
        <v>45108</v>
      </c>
      <c r="BM9" s="1037">
        <v>45139</v>
      </c>
      <c r="BN9" s="1037">
        <v>45170</v>
      </c>
      <c r="BO9" s="1037">
        <v>45200</v>
      </c>
      <c r="BP9" s="1037">
        <v>45231</v>
      </c>
      <c r="BQ9" s="1037">
        <v>45261</v>
      </c>
      <c r="BR9" s="1041">
        <v>45292</v>
      </c>
      <c r="BS9" s="1037">
        <v>45323</v>
      </c>
      <c r="BT9" s="1037">
        <v>45352</v>
      </c>
      <c r="BU9" s="1037">
        <v>45383</v>
      </c>
      <c r="BV9" s="1037">
        <v>45413</v>
      </c>
      <c r="BW9" s="1037">
        <v>45444</v>
      </c>
      <c r="BX9" s="1037">
        <v>45474</v>
      </c>
      <c r="BY9" s="1037">
        <v>45505</v>
      </c>
      <c r="BZ9" s="1037">
        <v>45536</v>
      </c>
      <c r="CA9" s="1037">
        <v>45566</v>
      </c>
      <c r="CB9" s="1037">
        <v>45597</v>
      </c>
      <c r="CC9" s="1037">
        <v>45627</v>
      </c>
      <c r="CD9" s="1041">
        <v>45658</v>
      </c>
      <c r="CE9" s="1037">
        <v>45689</v>
      </c>
      <c r="CF9" s="1037">
        <v>45717</v>
      </c>
      <c r="CG9" s="1037">
        <v>45748</v>
      </c>
      <c r="CH9" s="1037">
        <v>45778</v>
      </c>
      <c r="CI9" s="1037">
        <v>45809</v>
      </c>
      <c r="CJ9" s="1037">
        <v>45839</v>
      </c>
      <c r="CK9" s="1037">
        <v>45870</v>
      </c>
      <c r="CL9" s="1037">
        <v>45901</v>
      </c>
      <c r="CM9" s="1037">
        <v>45931</v>
      </c>
      <c r="CN9" s="1037">
        <v>45962</v>
      </c>
      <c r="CO9" s="1037">
        <v>45992</v>
      </c>
      <c r="CP9" s="1041">
        <v>46023</v>
      </c>
      <c r="CQ9" s="1037">
        <v>46054</v>
      </c>
      <c r="CR9" s="1037">
        <v>46082</v>
      </c>
      <c r="CS9" s="1037">
        <v>46113</v>
      </c>
      <c r="CT9" s="1037">
        <v>46143</v>
      </c>
      <c r="CU9" s="1037">
        <v>46174</v>
      </c>
      <c r="CV9" s="1037">
        <v>46204</v>
      </c>
      <c r="CW9" s="1037">
        <v>46235</v>
      </c>
      <c r="CX9" s="1037">
        <v>46266</v>
      </c>
      <c r="CY9" s="1037">
        <v>46296</v>
      </c>
      <c r="CZ9" s="1037">
        <v>46327</v>
      </c>
      <c r="DA9" s="1037">
        <v>46357</v>
      </c>
      <c r="DB9" s="1041">
        <v>46388</v>
      </c>
      <c r="DC9" s="1037">
        <v>46419</v>
      </c>
      <c r="DD9" s="1037">
        <v>46447</v>
      </c>
      <c r="DE9" s="1037">
        <v>46478</v>
      </c>
      <c r="DF9" s="1037">
        <v>46508</v>
      </c>
      <c r="DG9" s="1037">
        <v>46539</v>
      </c>
      <c r="DH9" s="1037">
        <v>46569</v>
      </c>
      <c r="DI9" s="1037">
        <v>46600</v>
      </c>
      <c r="DJ9" s="1037">
        <v>46631</v>
      </c>
      <c r="DK9" s="1037">
        <v>46661</v>
      </c>
      <c r="DL9" s="1037">
        <v>46692</v>
      </c>
      <c r="DM9" s="1037">
        <v>46722</v>
      </c>
      <c r="DN9" s="1041">
        <v>46753</v>
      </c>
      <c r="DO9" s="1037">
        <v>46784</v>
      </c>
      <c r="DP9" s="1037">
        <v>46813</v>
      </c>
      <c r="DQ9" s="1037">
        <v>46844</v>
      </c>
      <c r="DR9" s="1037">
        <v>46874</v>
      </c>
      <c r="DS9" s="1037">
        <v>46905</v>
      </c>
      <c r="DT9" s="1037">
        <v>46935</v>
      </c>
      <c r="DU9" s="1037">
        <v>46966</v>
      </c>
      <c r="DV9" s="1037">
        <v>46997</v>
      </c>
      <c r="DW9" s="1037">
        <v>47027</v>
      </c>
      <c r="DX9" s="1037">
        <v>47058</v>
      </c>
      <c r="DY9" s="1037">
        <v>47088</v>
      </c>
      <c r="DZ9" s="1041">
        <v>47119</v>
      </c>
      <c r="EA9" s="1037">
        <v>47150</v>
      </c>
      <c r="EB9" s="1037">
        <v>47178</v>
      </c>
      <c r="EC9" s="1037">
        <v>47209</v>
      </c>
      <c r="ED9" s="1037">
        <v>47239</v>
      </c>
      <c r="EE9" s="1037">
        <v>47270</v>
      </c>
      <c r="EF9" s="1037">
        <v>47300</v>
      </c>
      <c r="EG9" s="1037">
        <v>47331</v>
      </c>
      <c r="EH9" s="1037">
        <v>47362</v>
      </c>
      <c r="EI9" s="1037">
        <v>47392</v>
      </c>
      <c r="EJ9" s="1037">
        <v>47423</v>
      </c>
      <c r="EK9" s="1037">
        <v>47453</v>
      </c>
      <c r="EL9" s="1041">
        <v>47484</v>
      </c>
      <c r="EM9" s="1037">
        <v>47515</v>
      </c>
      <c r="EN9" s="1037">
        <v>47543</v>
      </c>
      <c r="EO9" s="1037">
        <v>47574</v>
      </c>
      <c r="EP9" s="1037">
        <v>47604</v>
      </c>
      <c r="EQ9" s="1037">
        <v>47635</v>
      </c>
      <c r="ER9" s="1037">
        <v>47665</v>
      </c>
      <c r="ES9" s="1037">
        <v>47696</v>
      </c>
      <c r="ET9" s="1037">
        <v>47727</v>
      </c>
      <c r="EU9" s="1037">
        <v>47757</v>
      </c>
      <c r="EV9" s="1037">
        <v>47788</v>
      </c>
      <c r="EW9" s="1037">
        <v>47818</v>
      </c>
      <c r="EX9" s="1041">
        <v>47849</v>
      </c>
      <c r="EY9" s="1037">
        <v>47880</v>
      </c>
      <c r="EZ9" s="1037">
        <v>47908</v>
      </c>
      <c r="FA9" s="1037">
        <v>47939</v>
      </c>
      <c r="FB9" s="1037">
        <v>47969</v>
      </c>
      <c r="FC9" s="1037">
        <v>48000</v>
      </c>
      <c r="FD9" s="1037">
        <v>48030</v>
      </c>
      <c r="FE9" s="1037">
        <v>48061</v>
      </c>
      <c r="FF9" s="1037">
        <v>48092</v>
      </c>
      <c r="FG9" s="1037">
        <v>48122</v>
      </c>
      <c r="FH9" s="1037">
        <v>48153</v>
      </c>
      <c r="FI9" s="1037">
        <v>48183</v>
      </c>
      <c r="FJ9" s="1041">
        <v>48214</v>
      </c>
      <c r="FK9" s="1037">
        <v>48245</v>
      </c>
      <c r="FL9" s="1037">
        <v>48274</v>
      </c>
      <c r="FM9" s="1037">
        <v>48305</v>
      </c>
      <c r="FN9" s="1037">
        <v>48335</v>
      </c>
      <c r="FO9" s="1037">
        <v>48366</v>
      </c>
      <c r="FP9" s="1037">
        <v>48396</v>
      </c>
      <c r="FQ9" s="1037">
        <v>48427</v>
      </c>
      <c r="FR9" s="1037">
        <v>48458</v>
      </c>
      <c r="FS9" s="1037">
        <v>48488</v>
      </c>
      <c r="FT9" s="1037">
        <v>48519</v>
      </c>
      <c r="FU9" s="1037">
        <v>48549</v>
      </c>
      <c r="FV9" s="1041">
        <v>48580</v>
      </c>
      <c r="FW9" s="1037">
        <v>48611</v>
      </c>
      <c r="FX9" s="1037">
        <v>48639</v>
      </c>
      <c r="FY9" s="1037">
        <v>48670</v>
      </c>
      <c r="FZ9" s="1037">
        <v>48700</v>
      </c>
      <c r="GA9" s="1037">
        <v>48731</v>
      </c>
      <c r="GB9" s="1037">
        <v>48761</v>
      </c>
      <c r="GC9" s="1037">
        <v>48792</v>
      </c>
      <c r="GD9" s="1037">
        <v>48823</v>
      </c>
      <c r="GE9" s="1037">
        <v>48853</v>
      </c>
      <c r="GF9" s="1037">
        <v>48884</v>
      </c>
      <c r="GG9" s="1037">
        <v>48914</v>
      </c>
      <c r="GH9" s="1041">
        <v>48945</v>
      </c>
      <c r="GI9" s="1037">
        <v>48976</v>
      </c>
      <c r="GJ9" s="1037">
        <v>49004</v>
      </c>
      <c r="GK9" s="1037">
        <v>49035</v>
      </c>
      <c r="GL9" s="1037">
        <v>49065</v>
      </c>
      <c r="GM9" s="1037">
        <v>49096</v>
      </c>
      <c r="GN9" s="1037">
        <v>49126</v>
      </c>
      <c r="GO9" s="1037">
        <v>49157</v>
      </c>
      <c r="GP9" s="1037">
        <v>49188</v>
      </c>
      <c r="GQ9" s="1037">
        <v>49218</v>
      </c>
      <c r="GR9" s="1037">
        <v>49249</v>
      </c>
      <c r="GS9" s="1037">
        <v>49279</v>
      </c>
      <c r="GT9" s="1041">
        <v>49310</v>
      </c>
    </row>
    <row r="10" spans="1:202" s="640" customFormat="1" ht="28.5" customHeight="1" x14ac:dyDescent="0.25">
      <c r="A10" s="1036"/>
      <c r="B10" s="1123" t="s">
        <v>6</v>
      </c>
      <c r="C10" s="1124">
        <f>U32</f>
        <v>11552.48</v>
      </c>
      <c r="D10" s="1124">
        <f t="shared" ref="D10:I10" si="11">C35</f>
        <v>2224.5099999999966</v>
      </c>
      <c r="E10" s="1124">
        <f t="shared" si="11"/>
        <v>4838.6099999999969</v>
      </c>
      <c r="F10" s="1124">
        <f t="shared" si="11"/>
        <v>3883.4299999999994</v>
      </c>
      <c r="G10" s="1124">
        <f t="shared" si="11"/>
        <v>3214.4500000000003</v>
      </c>
      <c r="H10" s="1124">
        <f t="shared" si="11"/>
        <v>8487.159999999998</v>
      </c>
      <c r="I10" s="1125">
        <f t="shared" si="11"/>
        <v>11614.741999999995</v>
      </c>
      <c r="J10" s="1126"/>
      <c r="K10" s="1422" t="s">
        <v>7</v>
      </c>
      <c r="L10" s="1423"/>
      <c r="M10" s="1423"/>
      <c r="N10" s="1423"/>
      <c r="O10" s="1423"/>
      <c r="P10" s="1423"/>
      <c r="Q10" s="1423"/>
      <c r="R10" s="1127"/>
      <c r="S10" s="1142">
        <v>7395.16</v>
      </c>
      <c r="T10" s="1143">
        <f>S32</f>
        <v>7851.23</v>
      </c>
      <c r="U10" s="1144">
        <f>T32</f>
        <v>8195.7999999999993</v>
      </c>
      <c r="V10" s="1142">
        <f>U32</f>
        <v>11552.48</v>
      </c>
      <c r="W10" s="1143">
        <f t="shared" ref="W10" si="12">V32</f>
        <v>11541.369999999999</v>
      </c>
      <c r="X10" s="1143">
        <f t="shared" ref="X10:BD10" si="13">W32</f>
        <v>11543.579999999998</v>
      </c>
      <c r="Y10" s="1143">
        <f t="shared" si="13"/>
        <v>11517.649999999998</v>
      </c>
      <c r="Z10" s="1143">
        <f t="shared" si="13"/>
        <v>11874.519999999997</v>
      </c>
      <c r="AA10" s="1143">
        <f t="shared" si="13"/>
        <v>12417.519999999997</v>
      </c>
      <c r="AB10" s="1143">
        <f t="shared" si="13"/>
        <v>12636.559999999998</v>
      </c>
      <c r="AC10" s="1143">
        <f t="shared" si="13"/>
        <v>13224.529999999997</v>
      </c>
      <c r="AD10" s="1143">
        <f t="shared" si="13"/>
        <v>13228.389999999998</v>
      </c>
      <c r="AE10" s="1143">
        <f t="shared" si="13"/>
        <v>12707.639999999998</v>
      </c>
      <c r="AF10" s="1143">
        <f t="shared" si="13"/>
        <v>12629.769999999997</v>
      </c>
      <c r="AG10" s="1144">
        <f t="shared" si="13"/>
        <v>1559.4499999999971</v>
      </c>
      <c r="AH10" s="1142">
        <f t="shared" si="13"/>
        <v>2224.5099999999966</v>
      </c>
      <c r="AI10" s="1143">
        <f t="shared" si="13"/>
        <v>1843.8699999999963</v>
      </c>
      <c r="AJ10" s="1143">
        <f t="shared" si="13"/>
        <v>3684.5199999999959</v>
      </c>
      <c r="AK10" s="1143">
        <f t="shared" si="13"/>
        <v>882.47999999999683</v>
      </c>
      <c r="AL10" s="1143">
        <f t="shared" si="13"/>
        <v>1203.769999999997</v>
      </c>
      <c r="AM10" s="1143">
        <f t="shared" si="13"/>
        <v>1394.4199999999967</v>
      </c>
      <c r="AN10" s="1143">
        <f t="shared" si="13"/>
        <v>1366.5399999999963</v>
      </c>
      <c r="AO10" s="1143">
        <f t="shared" si="13"/>
        <v>5941.1799999999957</v>
      </c>
      <c r="AP10" s="1143">
        <f t="shared" si="13"/>
        <v>4125.6699999999964</v>
      </c>
      <c r="AQ10" s="1143">
        <f t="shared" si="13"/>
        <v>3502.8099999999968</v>
      </c>
      <c r="AR10" s="1143">
        <f t="shared" si="13"/>
        <v>3155.3399999999965</v>
      </c>
      <c r="AS10" s="1144">
        <f t="shared" si="13"/>
        <v>3050.5299999999966</v>
      </c>
      <c r="AT10" s="1142">
        <f t="shared" si="13"/>
        <v>4838.6099999999969</v>
      </c>
      <c r="AU10" s="1143">
        <f t="shared" si="13"/>
        <v>17167.149999999998</v>
      </c>
      <c r="AV10" s="1143">
        <f t="shared" si="13"/>
        <v>2534.41</v>
      </c>
      <c r="AW10" s="1143">
        <f t="shared" si="13"/>
        <v>3121.67</v>
      </c>
      <c r="AX10" s="1143">
        <f t="shared" si="13"/>
        <v>20882.830000000002</v>
      </c>
      <c r="AY10" s="1143">
        <f t="shared" si="13"/>
        <v>20604.54</v>
      </c>
      <c r="AZ10" s="1143">
        <f t="shared" si="13"/>
        <v>20634.57</v>
      </c>
      <c r="BA10" s="1143">
        <f t="shared" si="13"/>
        <v>20065.32</v>
      </c>
      <c r="BB10" s="1143">
        <f t="shared" si="13"/>
        <v>20213.27</v>
      </c>
      <c r="BC10" s="1143">
        <f t="shared" si="13"/>
        <v>1128.0699999999997</v>
      </c>
      <c r="BD10" s="1143">
        <f t="shared" si="13"/>
        <v>1094.2699999999995</v>
      </c>
      <c r="BE10" s="1144">
        <f>BD32</f>
        <v>1161.3299999999995</v>
      </c>
      <c r="BF10" s="1142">
        <f t="shared" ref="BF10" si="14">BE32</f>
        <v>3883.4299999999994</v>
      </c>
      <c r="BG10" s="1143">
        <f t="shared" ref="BG10" si="15">BF32</f>
        <v>3226.3999999999996</v>
      </c>
      <c r="BH10" s="1143">
        <f t="shared" ref="BH10" si="16">BG32</f>
        <v>3271.6299999999997</v>
      </c>
      <c r="BI10" s="1143">
        <f t="shared" ref="BI10" si="17">BH32</f>
        <v>3117.9299999999989</v>
      </c>
      <c r="BJ10" s="1143">
        <f t="shared" ref="BJ10" si="18">BI32</f>
        <v>3071.7999999999984</v>
      </c>
      <c r="BK10" s="1143">
        <f t="shared" ref="BK10" si="19">BJ32</f>
        <v>2873.8999999999987</v>
      </c>
      <c r="BL10" s="1143">
        <f>BK32</f>
        <v>2571.9299999999985</v>
      </c>
      <c r="BM10" s="1143">
        <f t="shared" ref="BM10" si="20">BL32</f>
        <v>2751.3699999999985</v>
      </c>
      <c r="BN10" s="1143">
        <f t="shared" ref="BN10" si="21">BM32</f>
        <v>2194.3199999999993</v>
      </c>
      <c r="BO10" s="1143">
        <f t="shared" ref="BO10" si="22">BN32</f>
        <v>1700.2799999999997</v>
      </c>
      <c r="BP10" s="1143">
        <f t="shared" ref="BP10" si="23">BO32</f>
        <v>1654.12</v>
      </c>
      <c r="BQ10" s="1144">
        <f t="shared" ref="BQ10" si="24">BP32</f>
        <v>1489.0699999999997</v>
      </c>
      <c r="BR10" s="1142">
        <f t="shared" ref="BR10" si="25">BQ32</f>
        <v>3214.4500000000003</v>
      </c>
      <c r="BS10" s="1143">
        <f t="shared" ref="BS10" si="26">BR32</f>
        <v>2849.4200000000005</v>
      </c>
      <c r="BT10" s="1143">
        <f t="shared" ref="BT10" si="27">BS32</f>
        <v>2754.95</v>
      </c>
      <c r="BU10" s="1143">
        <f t="shared" ref="BU10" si="28">BT32</f>
        <v>5906.15</v>
      </c>
      <c r="BV10" s="1143">
        <f t="shared" ref="BV10" si="29">BU32</f>
        <v>5970.15</v>
      </c>
      <c r="BW10" s="1143">
        <f t="shared" ref="BW10" si="30">BV32</f>
        <v>5908.9</v>
      </c>
      <c r="BX10" s="1143">
        <f t="shared" ref="BX10" si="31">BW32</f>
        <v>5520.5599999999995</v>
      </c>
      <c r="BY10" s="1143">
        <f t="shared" ref="BY10" si="32">BX32</f>
        <v>5590.37</v>
      </c>
      <c r="BZ10" s="1143">
        <f t="shared" ref="BZ10" si="33">BY32</f>
        <v>5403.21</v>
      </c>
      <c r="CA10" s="1143">
        <f t="shared" ref="CA10" si="34">BZ32</f>
        <v>5004.3500000000004</v>
      </c>
      <c r="CB10" s="1143">
        <f t="shared" ref="CB10" si="35">CA32</f>
        <v>8062.55</v>
      </c>
      <c r="CC10" s="1144">
        <f t="shared" ref="CC10" si="36">CB32</f>
        <v>6638.329999999999</v>
      </c>
      <c r="CD10" s="1142">
        <f t="shared" ref="CD10" si="37">CC32</f>
        <v>8487.159999999998</v>
      </c>
      <c r="CE10" s="1143">
        <f t="shared" ref="CE10" si="38">CD32</f>
        <v>8547.0499999999975</v>
      </c>
      <c r="CF10" s="1143">
        <f t="shared" ref="CF10" si="39">CE32</f>
        <v>8673.3199999999979</v>
      </c>
      <c r="CG10" s="1143">
        <f t="shared" ref="CG10" si="40">CF32</f>
        <v>11338.679999999997</v>
      </c>
      <c r="CH10" s="1143">
        <f t="shared" ref="CH10" si="41">CG32</f>
        <v>11272.169999999996</v>
      </c>
      <c r="CI10" s="1143">
        <f t="shared" ref="CI10" si="42">CH32</f>
        <v>11159.409999999996</v>
      </c>
      <c r="CJ10" s="1143">
        <f t="shared" ref="CJ10" si="43">CI32</f>
        <v>11206.049999999996</v>
      </c>
      <c r="CK10" s="1143">
        <f t="shared" ref="CK10" si="44">CJ32</f>
        <v>11116.089999999995</v>
      </c>
      <c r="CL10" s="1143">
        <f t="shared" ref="CL10" si="45">CK32</f>
        <v>10905.101999999995</v>
      </c>
      <c r="CM10" s="1143">
        <f t="shared" ref="CM10" si="46">CL32</f>
        <v>10226.301999999994</v>
      </c>
      <c r="CN10" s="1143">
        <f t="shared" ref="CN10" si="47">CM32</f>
        <v>10230.011999999995</v>
      </c>
      <c r="CO10" s="1144">
        <f t="shared" ref="CO10" si="48">CN32</f>
        <v>10230.741999999995</v>
      </c>
      <c r="CP10" s="1142">
        <f t="shared" ref="CP10" si="49">CO32</f>
        <v>11614.741999999995</v>
      </c>
      <c r="CQ10" s="1143">
        <f t="shared" ref="CQ10" si="50">CP32</f>
        <v>11338.621999999994</v>
      </c>
      <c r="CR10" s="1143">
        <f t="shared" ref="CR10" si="51">CQ32</f>
        <v>11429.191999999994</v>
      </c>
      <c r="CS10" s="1143">
        <f t="shared" ref="CS10" si="52">CR32</f>
        <v>11259.723999999995</v>
      </c>
      <c r="CT10" s="1143">
        <f t="shared" ref="CT10" si="53">CS32</f>
        <v>13913.504718132554</v>
      </c>
      <c r="CU10" s="1143">
        <f t="shared" ref="CU10" si="54">CT32</f>
        <v>13913.804718132553</v>
      </c>
      <c r="CV10" s="1143">
        <f t="shared" ref="CV10" si="55">CU32</f>
        <v>13681.211114843583</v>
      </c>
      <c r="CW10" s="1143">
        <f t="shared" ref="CW10" si="56">CV32</f>
        <v>13914.111114843583</v>
      </c>
      <c r="CX10" s="1143">
        <f t="shared" ref="CX10" si="57">CW32</f>
        <v>14514.305200448369</v>
      </c>
      <c r="CY10" s="1143">
        <f t="shared" ref="CY10" si="58">CX32</f>
        <v>14747.205200448368</v>
      </c>
      <c r="CZ10" s="1143">
        <f t="shared" ref="CZ10" si="59">CY32</f>
        <v>14764.268993118549</v>
      </c>
      <c r="DA10" s="1144">
        <f t="shared" ref="DA10" si="60">CZ32</f>
        <v>14997.168993118548</v>
      </c>
      <c r="DB10" s="1142">
        <f t="shared" ref="DB10" si="61">DA32</f>
        <v>17473.742791564055</v>
      </c>
      <c r="DC10" s="1143">
        <f t="shared" ref="DC10" si="62">DB32</f>
        <v>17706.642791564056</v>
      </c>
      <c r="DD10" s="1143">
        <f t="shared" ref="DD10" si="63">DC32</f>
        <v>17560.832791564055</v>
      </c>
      <c r="DE10" s="1143">
        <f t="shared" ref="DE10" si="64">DD32</f>
        <v>17793.732791564056</v>
      </c>
      <c r="DF10" s="1143">
        <f t="shared" ref="DF10" si="65">DE32</f>
        <v>17670.902791564054</v>
      </c>
      <c r="DG10" s="1143">
        <f t="shared" ref="DG10" si="66">DF32</f>
        <v>17903.802791564056</v>
      </c>
      <c r="DH10" s="1143">
        <f t="shared" ref="DH10" si="67">DG32</f>
        <v>17915.012791564055</v>
      </c>
      <c r="DI10" s="1143">
        <f t="shared" ref="DI10" si="68">DH32</f>
        <v>18147.912791564057</v>
      </c>
      <c r="DJ10" s="1143">
        <f t="shared" ref="DJ10" si="69">DI32</f>
        <v>18184.532791564056</v>
      </c>
      <c r="DK10" s="1143">
        <f t="shared" ref="DK10" si="70">DJ32</f>
        <v>18417.432791564057</v>
      </c>
      <c r="DL10" s="1143">
        <f t="shared" ref="DL10" si="71">DK32</f>
        <v>18450.33175301029</v>
      </c>
      <c r="DM10" s="1144">
        <f t="shared" ref="DM10" si="72">DL32</f>
        <v>18683.231753010292</v>
      </c>
      <c r="DN10" s="1142">
        <f t="shared" ref="DN10" si="73">DM32</f>
        <v>21179.284741614887</v>
      </c>
      <c r="DO10" s="1143">
        <f t="shared" ref="DO10" si="74">DN32</f>
        <v>21412.184741614888</v>
      </c>
      <c r="DP10" s="1143">
        <f t="shared" ref="DP10" si="75">DO32</f>
        <v>21266.374741614887</v>
      </c>
      <c r="DQ10" s="1143">
        <f t="shared" ref="DQ10" si="76">DP32</f>
        <v>21499.274741614889</v>
      </c>
      <c r="DR10" s="1143">
        <f t="shared" ref="DR10" si="77">DQ32</f>
        <v>21376.444741614891</v>
      </c>
      <c r="DS10" s="1143">
        <f t="shared" ref="DS10" si="78">DR32</f>
        <v>21609.344741614892</v>
      </c>
      <c r="DT10" s="1143">
        <f t="shared" ref="DT10" si="79">DS32</f>
        <v>21620.554741614891</v>
      </c>
      <c r="DU10" s="1143">
        <f t="shared" ref="DU10" si="80">DT32</f>
        <v>21853.454741614893</v>
      </c>
      <c r="DV10" s="1143">
        <f t="shared" ref="DV10" si="81">DU32</f>
        <v>21973.074741614892</v>
      </c>
      <c r="DW10" s="1143">
        <f t="shared" ref="DW10" si="82">DV32</f>
        <v>22288.974741614893</v>
      </c>
      <c r="DX10" s="1143">
        <f t="shared" ref="DX10" si="83">DW32</f>
        <v>22404.873703061126</v>
      </c>
      <c r="DY10" s="1144">
        <f t="shared" ref="DY10" si="84">DX32</f>
        <v>22720.773703061128</v>
      </c>
      <c r="DZ10" s="1142">
        <f t="shared" ref="DZ10" si="85">DY32</f>
        <v>25299.826691665723</v>
      </c>
      <c r="EA10" s="1143">
        <f t="shared" ref="EA10" si="86">DZ32</f>
        <v>25615.726691665725</v>
      </c>
      <c r="EB10" s="1143">
        <f t="shared" ref="EB10" si="87">EA32</f>
        <v>25552.916691665723</v>
      </c>
      <c r="EC10" s="1143">
        <f t="shared" ref="EC10" si="88">EB32</f>
        <v>25868.816691665725</v>
      </c>
      <c r="ED10" s="1143">
        <f t="shared" ref="ED10" si="89">EC32</f>
        <v>25828.986691665727</v>
      </c>
      <c r="EE10" s="1143">
        <f t="shared" ref="EE10" si="90">ED32</f>
        <v>26144.886691665728</v>
      </c>
      <c r="EF10" s="1143">
        <f t="shared" ref="EF10" si="91">EE32</f>
        <v>26239.096691665727</v>
      </c>
      <c r="EG10" s="1143">
        <f t="shared" ref="EG10" si="92">EF32</f>
        <v>26554.996691665729</v>
      </c>
      <c r="EH10" s="1143">
        <f t="shared" ref="EH10" si="93">EG32</f>
        <v>26674.616691665728</v>
      </c>
      <c r="EI10" s="1143">
        <f t="shared" ref="EI10" si="94">EH32</f>
        <v>26990.516691665729</v>
      </c>
      <c r="EJ10" s="1143">
        <f t="shared" ref="EJ10" si="95">EI32</f>
        <v>27106.415653111962</v>
      </c>
      <c r="EK10" s="1144">
        <f t="shared" ref="EK10" si="96">EJ32</f>
        <v>27422.315653111964</v>
      </c>
      <c r="EL10" s="1142">
        <f t="shared" ref="EL10" si="97">EK32</f>
        <v>30001.368641716559</v>
      </c>
      <c r="EM10" s="1143">
        <f t="shared" ref="EM10" si="98">EL32</f>
        <v>30317.268641716561</v>
      </c>
      <c r="EN10" s="1143">
        <f t="shared" ref="EN10" si="99">EM32</f>
        <v>30254.458641716559</v>
      </c>
      <c r="EO10" s="1143">
        <f t="shared" ref="EO10" si="100">EN32</f>
        <v>30570.358641716561</v>
      </c>
      <c r="EP10" s="1143">
        <f t="shared" ref="EP10" si="101">EO32</f>
        <v>30530.528641716563</v>
      </c>
      <c r="EQ10" s="1143">
        <f t="shared" ref="EQ10" si="102">EP32</f>
        <v>30846.428641716564</v>
      </c>
      <c r="ER10" s="1143">
        <f t="shared" ref="ER10" si="103">EQ32</f>
        <v>30940.638641716563</v>
      </c>
      <c r="ES10" s="1143">
        <f t="shared" ref="ES10" si="104">ER32</f>
        <v>31256.538641716565</v>
      </c>
      <c r="ET10" s="1143">
        <f t="shared" ref="ET10" si="105">ES32</f>
        <v>31376.158641716564</v>
      </c>
      <c r="EU10" s="1143">
        <f t="shared" ref="EU10" si="106">ET32</f>
        <v>31692.058641716569</v>
      </c>
      <c r="EV10" s="1143">
        <f t="shared" ref="EV10" si="107">EU32</f>
        <v>31807.957603162802</v>
      </c>
      <c r="EW10" s="1144">
        <f t="shared" ref="EW10" si="108">EV32</f>
        <v>32123.857603162804</v>
      </c>
      <c r="EX10" s="1142">
        <f t="shared" ref="EX10" si="109">EW32</f>
        <v>34702.910591767395</v>
      </c>
      <c r="EY10" s="1143">
        <f t="shared" ref="EY10" si="110">EX32</f>
        <v>35018.810591767397</v>
      </c>
      <c r="EZ10" s="1143">
        <f t="shared" ref="EZ10" si="111">EY32</f>
        <v>34956.000591767399</v>
      </c>
      <c r="FA10" s="1143">
        <f t="shared" ref="FA10" si="112">EZ32</f>
        <v>35271.9005917674</v>
      </c>
      <c r="FB10" s="1143">
        <f t="shared" ref="FB10" si="113">FA32</f>
        <v>35232.070591767399</v>
      </c>
      <c r="FC10" s="1143">
        <f t="shared" ref="FC10" si="114">FB32</f>
        <v>35547.9705917674</v>
      </c>
      <c r="FD10" s="1143">
        <f t="shared" ref="FD10" si="115">FC32</f>
        <v>35642.180591767399</v>
      </c>
      <c r="FE10" s="1143">
        <f t="shared" ref="FE10" si="116">FD32</f>
        <v>35958.080591767401</v>
      </c>
      <c r="FF10" s="1143">
        <f t="shared" ref="FF10" si="117">FE32</f>
        <v>36077.700591767403</v>
      </c>
      <c r="FG10" s="1143">
        <f t="shared" ref="FG10" si="118">FF32</f>
        <v>36393.600591767405</v>
      </c>
      <c r="FH10" s="1143">
        <f t="shared" ref="FH10" si="119">FG32</f>
        <v>36509.499553213638</v>
      </c>
      <c r="FI10" s="1144">
        <f t="shared" ref="FI10" si="120">FH32</f>
        <v>36825.39955321364</v>
      </c>
      <c r="FJ10" s="1142">
        <f t="shared" ref="FJ10" si="121">FI32</f>
        <v>39404.452541818231</v>
      </c>
      <c r="FK10" s="1143">
        <f t="shared" ref="FK10" si="122">FJ32</f>
        <v>39720.352541818233</v>
      </c>
      <c r="FL10" s="1143">
        <f t="shared" ref="FL10" si="123">FK32</f>
        <v>39657.542541818235</v>
      </c>
      <c r="FM10" s="1143">
        <f t="shared" ref="FM10" si="124">FL32</f>
        <v>39973.442541818236</v>
      </c>
      <c r="FN10" s="1143">
        <f t="shared" ref="FN10" si="125">FM32</f>
        <v>39933.612541818235</v>
      </c>
      <c r="FO10" s="1143">
        <f t="shared" ref="FO10" si="126">FN32</f>
        <v>40249.512541818236</v>
      </c>
      <c r="FP10" s="1143">
        <f t="shared" ref="FP10" si="127">FO32</f>
        <v>40343.722541818235</v>
      </c>
      <c r="FQ10" s="1143">
        <f t="shared" ref="FQ10" si="128">FP32</f>
        <v>40659.622541818237</v>
      </c>
      <c r="FR10" s="1143">
        <f t="shared" ref="FR10" si="129">FQ32</f>
        <v>40779.242541818239</v>
      </c>
      <c r="FS10" s="1143">
        <f t="shared" ref="FS10" si="130">FR32</f>
        <v>41095.142541818241</v>
      </c>
      <c r="FT10" s="1143">
        <f t="shared" ref="FT10" si="131">FS32</f>
        <v>41211.041503264474</v>
      </c>
      <c r="FU10" s="1144">
        <f t="shared" ref="FU10" si="132">FT32</f>
        <v>41526.941503264476</v>
      </c>
      <c r="FV10" s="1142">
        <f t="shared" ref="FV10" si="133">FU32</f>
        <v>44294.244491869067</v>
      </c>
      <c r="FW10" s="1143">
        <f t="shared" ref="FW10" si="134">FV32</f>
        <v>44798.394491869069</v>
      </c>
      <c r="FX10" s="1143">
        <f t="shared" ref="FX10" si="135">FW32</f>
        <v>44923.834491869071</v>
      </c>
      <c r="FY10" s="1143">
        <f t="shared" ref="FY10" si="136">FX32</f>
        <v>45427.984491869072</v>
      </c>
      <c r="FZ10" s="1143">
        <f t="shared" ref="FZ10" si="137">FY32</f>
        <v>45576.404491869071</v>
      </c>
      <c r="GA10" s="1143">
        <f t="shared" ref="GA10" si="138">FZ32</f>
        <v>46080.554491869072</v>
      </c>
      <c r="GB10" s="1143">
        <f t="shared" ref="GB10" si="139">GA32</f>
        <v>46363.014491869071</v>
      </c>
      <c r="GC10" s="1143">
        <f t="shared" ref="GC10" si="140">GB32</f>
        <v>46867.164491869073</v>
      </c>
      <c r="GD10" s="1143">
        <f t="shared" ref="GD10" si="141">GC32</f>
        <v>47175.034491869075</v>
      </c>
      <c r="GE10" s="1143">
        <f t="shared" ref="GE10" si="142">GD32</f>
        <v>47679.184491869077</v>
      </c>
      <c r="GF10" s="1143">
        <f t="shared" ref="GF10" si="143">GE32</f>
        <v>47983.33345331531</v>
      </c>
      <c r="GG10" s="1144">
        <f t="shared" ref="GG10" si="144">GF32</f>
        <v>48487.483453315312</v>
      </c>
      <c r="GH10" s="1142">
        <f t="shared" ref="GH10" si="145">GG32</f>
        <v>51254.786441919903</v>
      </c>
      <c r="GI10" s="1143">
        <f t="shared" ref="GI10" si="146">GH32</f>
        <v>51758.936441919905</v>
      </c>
      <c r="GJ10" s="1143">
        <f t="shared" ref="GJ10" si="147">GI32</f>
        <v>51884.376441919907</v>
      </c>
      <c r="GK10" s="1143">
        <f t="shared" ref="GK10" si="148">GJ32</f>
        <v>52388.526441919908</v>
      </c>
      <c r="GL10" s="1143">
        <f t="shared" ref="GL10" si="149">GK32</f>
        <v>52536.946441919907</v>
      </c>
      <c r="GM10" s="1143">
        <f t="shared" ref="GM10" si="150">GL32</f>
        <v>53041.096441919908</v>
      </c>
      <c r="GN10" s="1143">
        <f t="shared" ref="GN10" si="151">GM32</f>
        <v>53323.556441919907</v>
      </c>
      <c r="GO10" s="1143">
        <f t="shared" ref="GO10" si="152">GN32</f>
        <v>53827.706441919909</v>
      </c>
      <c r="GP10" s="1143">
        <f t="shared" ref="GP10" si="153">GO32</f>
        <v>54135.576441919911</v>
      </c>
      <c r="GQ10" s="1143">
        <f t="shared" ref="GQ10" si="154">GP32</f>
        <v>54639.726441919913</v>
      </c>
      <c r="GR10" s="1143">
        <f t="shared" ref="GR10" si="155">GQ32</f>
        <v>54943.875403366146</v>
      </c>
      <c r="GS10" s="1144">
        <f t="shared" ref="GS10" si="156">GR32</f>
        <v>55448.025403366148</v>
      </c>
      <c r="GT10" s="1142">
        <f t="shared" ref="GT10" si="157">GS32</f>
        <v>58215.328391970739</v>
      </c>
    </row>
    <row r="11" spans="1:202" s="1111" customFormat="1" ht="15.75" customHeight="1" x14ac:dyDescent="0.25">
      <c r="A11" s="1103"/>
      <c r="B11" s="1104" t="s">
        <v>8</v>
      </c>
      <c r="C11" s="1105">
        <f>SUM(V11:AG11)</f>
        <v>26686</v>
      </c>
      <c r="D11" s="1106">
        <f>SUM(AH11:AS11)</f>
        <v>26628</v>
      </c>
      <c r="E11" s="1105">
        <f>SUM(AT11:BE11)</f>
        <v>27484</v>
      </c>
      <c r="F11" s="1106">
        <f>SUM(BF11:BQ11)</f>
        <v>27474</v>
      </c>
      <c r="G11" s="1105">
        <f>SUM(BR11:CC11)</f>
        <v>30103</v>
      </c>
      <c r="H11" s="1106">
        <f>SUM(CD11:CO11)</f>
        <v>30235</v>
      </c>
      <c r="I11" s="1107">
        <f>SUM(CP11:DA11)</f>
        <v>29929</v>
      </c>
      <c r="J11" s="396"/>
      <c r="K11" s="1105">
        <f t="shared" ref="K11:Q12" si="158">C11/12</f>
        <v>2223.8333333333335</v>
      </c>
      <c r="L11" s="1108">
        <f t="shared" si="158"/>
        <v>2219</v>
      </c>
      <c r="M11" s="1106">
        <f t="shared" si="158"/>
        <v>2290.3333333333335</v>
      </c>
      <c r="N11" s="1109">
        <f t="shared" si="158"/>
        <v>2289.5</v>
      </c>
      <c r="O11" s="1106">
        <f t="shared" si="158"/>
        <v>2508.5833333333335</v>
      </c>
      <c r="P11" s="1106">
        <f t="shared" si="158"/>
        <v>2519.5833333333335</v>
      </c>
      <c r="Q11" s="1106">
        <f t="shared" si="158"/>
        <v>2494.0833333333335</v>
      </c>
      <c r="R11" s="1110"/>
      <c r="S11" s="1108">
        <v>2158</v>
      </c>
      <c r="T11" s="1105">
        <v>2222</v>
      </c>
      <c r="U11" s="1109">
        <f>2271</f>
        <v>2271</v>
      </c>
      <c r="V11" s="1108">
        <v>2741</v>
      </c>
      <c r="W11" s="1105">
        <v>2166</v>
      </c>
      <c r="X11" s="1105">
        <v>2175</v>
      </c>
      <c r="Y11" s="1105">
        <v>2158</v>
      </c>
      <c r="Z11" s="1105">
        <v>2157</v>
      </c>
      <c r="AA11" s="1105">
        <v>2158</v>
      </c>
      <c r="AB11" s="1105">
        <v>2156</v>
      </c>
      <c r="AC11" s="1105">
        <v>2169</v>
      </c>
      <c r="AD11" s="1105">
        <v>2098</v>
      </c>
      <c r="AE11" s="1105">
        <v>2167</v>
      </c>
      <c r="AF11" s="1105">
        <v>2168</v>
      </c>
      <c r="AG11" s="1109">
        <f>2373</f>
        <v>2373</v>
      </c>
      <c r="AH11" s="1108">
        <v>1827</v>
      </c>
      <c r="AI11" s="1105">
        <v>2177</v>
      </c>
      <c r="AJ11" s="1105">
        <v>2165</v>
      </c>
      <c r="AK11" s="1105">
        <v>2170</v>
      </c>
      <c r="AL11" s="1105">
        <v>2227</v>
      </c>
      <c r="AM11" s="1105">
        <v>2168</v>
      </c>
      <c r="AN11" s="1105">
        <v>2167</v>
      </c>
      <c r="AO11" s="1105">
        <f>2167+539</f>
        <v>2706</v>
      </c>
      <c r="AP11" s="1105">
        <f>2379</f>
        <v>2379</v>
      </c>
      <c r="AQ11" s="1105">
        <v>2164</v>
      </c>
      <c r="AR11" s="1105">
        <v>2166</v>
      </c>
      <c r="AS11" s="1109">
        <f>2312</f>
        <v>2312</v>
      </c>
      <c r="AT11" s="1108">
        <f>2308</f>
        <v>2308</v>
      </c>
      <c r="AU11" s="1105">
        <v>2249</v>
      </c>
      <c r="AV11" s="1105">
        <v>2238</v>
      </c>
      <c r="AW11" s="1105">
        <v>2250</v>
      </c>
      <c r="AX11" s="1105">
        <v>2243</v>
      </c>
      <c r="AY11" s="1105">
        <v>2314</v>
      </c>
      <c r="AZ11" s="1105">
        <v>2242</v>
      </c>
      <c r="BA11" s="1105">
        <v>2244</v>
      </c>
      <c r="BB11" s="1105">
        <f>2519</f>
        <v>2519</v>
      </c>
      <c r="BC11" s="1105">
        <v>2238</v>
      </c>
      <c r="BD11" s="1105">
        <f>2248</f>
        <v>2248</v>
      </c>
      <c r="BE11" s="1109">
        <f>2391</f>
        <v>2391</v>
      </c>
      <c r="BF11" s="1108">
        <v>2078</v>
      </c>
      <c r="BG11" s="1105">
        <f>2294</f>
        <v>2294</v>
      </c>
      <c r="BH11" s="1105">
        <v>2245</v>
      </c>
      <c r="BI11" s="1105">
        <v>2251</v>
      </c>
      <c r="BJ11" s="1105">
        <v>2250</v>
      </c>
      <c r="BK11" s="1105">
        <v>2251</v>
      </c>
      <c r="BL11" s="1105">
        <v>2326</v>
      </c>
      <c r="BM11" s="1105">
        <v>2327</v>
      </c>
      <c r="BN11" s="1105">
        <v>2325</v>
      </c>
      <c r="BO11" s="1105">
        <f t="shared" ref="BO11" si="159">BN11</f>
        <v>2325</v>
      </c>
      <c r="BP11" s="1105">
        <v>2327</v>
      </c>
      <c r="BQ11" s="1109">
        <f>2475</f>
        <v>2475</v>
      </c>
      <c r="BR11" s="1108">
        <v>3111</v>
      </c>
      <c r="BS11" s="1105">
        <f>2425</f>
        <v>2425</v>
      </c>
      <c r="BT11" s="1105">
        <v>2373</v>
      </c>
      <c r="BU11" s="1105">
        <v>2373</v>
      </c>
      <c r="BV11" s="1105">
        <f t="shared" ref="BV11" si="160">BU11</f>
        <v>2373</v>
      </c>
      <c r="BW11" s="1105">
        <f>2385</f>
        <v>2385</v>
      </c>
      <c r="BX11" s="1105">
        <v>2541</v>
      </c>
      <c r="BY11" s="1105">
        <f>2394</f>
        <v>2394</v>
      </c>
      <c r="BZ11" s="1105">
        <v>2389</v>
      </c>
      <c r="CA11" s="1105">
        <v>2538</v>
      </c>
      <c r="CB11" s="1105">
        <v>2429</v>
      </c>
      <c r="CC11" s="1109">
        <f>2772</f>
        <v>2772</v>
      </c>
      <c r="CD11" s="1108">
        <v>3117</v>
      </c>
      <c r="CE11" s="1105">
        <v>2538</v>
      </c>
      <c r="CF11" s="1105">
        <f>CB11</f>
        <v>2429</v>
      </c>
      <c r="CG11" s="1105">
        <v>2506</v>
      </c>
      <c r="CH11" s="1105">
        <v>2506</v>
      </c>
      <c r="CI11" s="1105">
        <v>2411</v>
      </c>
      <c r="CJ11" s="1105">
        <v>2430</v>
      </c>
      <c r="CK11" s="1105">
        <v>2367</v>
      </c>
      <c r="CL11" s="1105">
        <v>2430</v>
      </c>
      <c r="CM11" s="1105">
        <v>2430</v>
      </c>
      <c r="CN11" s="1105">
        <v>2461</v>
      </c>
      <c r="CO11" s="1109">
        <v>2610</v>
      </c>
      <c r="CP11" s="1108">
        <v>3012</v>
      </c>
      <c r="CQ11" s="1105">
        <v>2497</v>
      </c>
      <c r="CR11" s="1105">
        <v>2486</v>
      </c>
      <c r="CS11" s="1105">
        <f t="shared" ref="CS11" si="161">CR11</f>
        <v>2486</v>
      </c>
      <c r="CT11" s="1105">
        <f>2431</f>
        <v>2431</v>
      </c>
      <c r="CU11" s="1105">
        <f t="shared" ref="CU11" si="162">CT11</f>
        <v>2431</v>
      </c>
      <c r="CV11" s="1105">
        <f t="shared" ref="CV11" si="163">CU11</f>
        <v>2431</v>
      </c>
      <c r="CW11" s="1105">
        <f t="shared" ref="CW11" si="164">CV11</f>
        <v>2431</v>
      </c>
      <c r="CX11" s="1105">
        <f t="shared" ref="CX11" si="165">CW11</f>
        <v>2431</v>
      </c>
      <c r="CY11" s="1105">
        <f t="shared" ref="CY11" si="166">CX11</f>
        <v>2431</v>
      </c>
      <c r="CZ11" s="1105">
        <f t="shared" ref="CZ11" si="167">CY11</f>
        <v>2431</v>
      </c>
      <c r="DA11" s="1109">
        <f>CZ11</f>
        <v>2431</v>
      </c>
      <c r="DB11" s="1108">
        <f>CZ11</f>
        <v>2431</v>
      </c>
      <c r="DC11" s="1105">
        <f t="shared" ref="DC11" si="168">DB11</f>
        <v>2431</v>
      </c>
      <c r="DD11" s="1105">
        <f t="shared" ref="DD11" si="169">DC11</f>
        <v>2431</v>
      </c>
      <c r="DE11" s="1105">
        <f t="shared" ref="DE11" si="170">DD11</f>
        <v>2431</v>
      </c>
      <c r="DF11" s="1105">
        <f t="shared" ref="DF11" si="171">DE11</f>
        <v>2431</v>
      </c>
      <c r="DG11" s="1105">
        <f t="shared" ref="DG11" si="172">DF11</f>
        <v>2431</v>
      </c>
      <c r="DH11" s="1105">
        <f t="shared" ref="DH11" si="173">DG11</f>
        <v>2431</v>
      </c>
      <c r="DI11" s="1105">
        <f t="shared" ref="DI11" si="174">DH11</f>
        <v>2431</v>
      </c>
      <c r="DJ11" s="1105">
        <f t="shared" ref="DJ11" si="175">DI11</f>
        <v>2431</v>
      </c>
      <c r="DK11" s="1105">
        <f t="shared" ref="DK11" si="176">DJ11</f>
        <v>2431</v>
      </c>
      <c r="DL11" s="1105">
        <f t="shared" ref="DL11" si="177">DK11</f>
        <v>2431</v>
      </c>
      <c r="DM11" s="1109">
        <f>DL11</f>
        <v>2431</v>
      </c>
      <c r="DN11" s="1108">
        <f>DL11</f>
        <v>2431</v>
      </c>
      <c r="DO11" s="1105">
        <f t="shared" ref="DO11" si="178">DN11</f>
        <v>2431</v>
      </c>
      <c r="DP11" s="1105">
        <f t="shared" ref="DP11" si="179">DO11</f>
        <v>2431</v>
      </c>
      <c r="DQ11" s="1105">
        <f t="shared" ref="DQ11" si="180">DP11</f>
        <v>2431</v>
      </c>
      <c r="DR11" s="1105">
        <f t="shared" ref="DR11" si="181">DQ11</f>
        <v>2431</v>
      </c>
      <c r="DS11" s="1105">
        <f t="shared" ref="DS11" si="182">DR11</f>
        <v>2431</v>
      </c>
      <c r="DT11" s="1105">
        <f t="shared" ref="DT11" si="183">DS11</f>
        <v>2431</v>
      </c>
      <c r="DU11" s="1105">
        <f t="shared" ref="DU11" si="184">DT11</f>
        <v>2431</v>
      </c>
      <c r="DV11" s="1105">
        <f t="shared" ref="DV11" si="185">DU11</f>
        <v>2431</v>
      </c>
      <c r="DW11" s="1105">
        <f t="shared" ref="DW11" si="186">DV11</f>
        <v>2431</v>
      </c>
      <c r="DX11" s="1105">
        <f t="shared" ref="DX11" si="187">DW11</f>
        <v>2431</v>
      </c>
      <c r="DY11" s="1109">
        <f>DX11</f>
        <v>2431</v>
      </c>
      <c r="DZ11" s="1108">
        <f>DX11</f>
        <v>2431</v>
      </c>
      <c r="EA11" s="1105">
        <f t="shared" ref="EA11" si="188">DZ11</f>
        <v>2431</v>
      </c>
      <c r="EB11" s="1105">
        <f t="shared" ref="EB11" si="189">EA11</f>
        <v>2431</v>
      </c>
      <c r="EC11" s="1105">
        <f t="shared" ref="EC11" si="190">EB11</f>
        <v>2431</v>
      </c>
      <c r="ED11" s="1105">
        <f t="shared" ref="ED11" si="191">EC11</f>
        <v>2431</v>
      </c>
      <c r="EE11" s="1105">
        <f t="shared" ref="EE11" si="192">ED11</f>
        <v>2431</v>
      </c>
      <c r="EF11" s="1105">
        <f t="shared" ref="EF11" si="193">EE11</f>
        <v>2431</v>
      </c>
      <c r="EG11" s="1105">
        <f t="shared" ref="EG11" si="194">EF11</f>
        <v>2431</v>
      </c>
      <c r="EH11" s="1105">
        <f t="shared" ref="EH11" si="195">EG11</f>
        <v>2431</v>
      </c>
      <c r="EI11" s="1105">
        <f t="shared" ref="EI11" si="196">EH11</f>
        <v>2431</v>
      </c>
      <c r="EJ11" s="1105">
        <f t="shared" ref="EJ11" si="197">EI11</f>
        <v>2431</v>
      </c>
      <c r="EK11" s="1109">
        <f>EJ11</f>
        <v>2431</v>
      </c>
      <c r="EL11" s="1108">
        <f>EJ11</f>
        <v>2431</v>
      </c>
      <c r="EM11" s="1105">
        <f t="shared" ref="EM11" si="198">EL11</f>
        <v>2431</v>
      </c>
      <c r="EN11" s="1105">
        <f t="shared" ref="EN11" si="199">EM11</f>
        <v>2431</v>
      </c>
      <c r="EO11" s="1105">
        <f t="shared" ref="EO11" si="200">EN11</f>
        <v>2431</v>
      </c>
      <c r="EP11" s="1105">
        <f t="shared" ref="EP11" si="201">EO11</f>
        <v>2431</v>
      </c>
      <c r="EQ11" s="1105">
        <f t="shared" ref="EQ11" si="202">EP11</f>
        <v>2431</v>
      </c>
      <c r="ER11" s="1105">
        <f t="shared" ref="ER11" si="203">EQ11</f>
        <v>2431</v>
      </c>
      <c r="ES11" s="1105">
        <f t="shared" ref="ES11" si="204">ER11</f>
        <v>2431</v>
      </c>
      <c r="ET11" s="1105">
        <f t="shared" ref="ET11" si="205">ES11</f>
        <v>2431</v>
      </c>
      <c r="EU11" s="1105">
        <f t="shared" ref="EU11" si="206">ET11</f>
        <v>2431</v>
      </c>
      <c r="EV11" s="1105">
        <f t="shared" ref="EV11" si="207">EU11</f>
        <v>2431</v>
      </c>
      <c r="EW11" s="1109">
        <f t="shared" ref="EW11" si="208">EV11</f>
        <v>2431</v>
      </c>
      <c r="EX11" s="1105">
        <f t="shared" ref="EX11" si="209">EW11</f>
        <v>2431</v>
      </c>
      <c r="EY11" s="1105">
        <f t="shared" ref="EY11" si="210">EX11</f>
        <v>2431</v>
      </c>
      <c r="EZ11" s="1105">
        <f t="shared" ref="EZ11" si="211">EY11</f>
        <v>2431</v>
      </c>
      <c r="FA11" s="1105">
        <f t="shared" ref="FA11" si="212">EZ11</f>
        <v>2431</v>
      </c>
      <c r="FB11" s="1105">
        <f t="shared" ref="FB11" si="213">FA11</f>
        <v>2431</v>
      </c>
      <c r="FC11" s="1105">
        <f t="shared" ref="FC11" si="214">FB11</f>
        <v>2431</v>
      </c>
      <c r="FD11" s="1105">
        <f t="shared" ref="FD11" si="215">FC11</f>
        <v>2431</v>
      </c>
      <c r="FE11" s="1105">
        <f t="shared" ref="FE11" si="216">FD11</f>
        <v>2431</v>
      </c>
      <c r="FF11" s="1105">
        <f t="shared" ref="FF11" si="217">FE11</f>
        <v>2431</v>
      </c>
      <c r="FG11" s="1105">
        <f t="shared" ref="FG11" si="218">FF11</f>
        <v>2431</v>
      </c>
      <c r="FH11" s="1105">
        <f t="shared" ref="FH11" si="219">FG11</f>
        <v>2431</v>
      </c>
      <c r="FI11" s="1109">
        <f t="shared" ref="FI11" si="220">FH11</f>
        <v>2431</v>
      </c>
      <c r="FJ11" s="1105">
        <f t="shared" ref="FJ11" si="221">FI11</f>
        <v>2431</v>
      </c>
      <c r="FK11" s="1105">
        <f t="shared" ref="FK11" si="222">FJ11</f>
        <v>2431</v>
      </c>
      <c r="FL11" s="1105">
        <f t="shared" ref="FL11" si="223">FK11</f>
        <v>2431</v>
      </c>
      <c r="FM11" s="1105">
        <f t="shared" ref="FM11" si="224">FL11</f>
        <v>2431</v>
      </c>
      <c r="FN11" s="1105">
        <f t="shared" ref="FN11" si="225">FM11</f>
        <v>2431</v>
      </c>
      <c r="FO11" s="1105">
        <f t="shared" ref="FO11" si="226">FN11</f>
        <v>2431</v>
      </c>
      <c r="FP11" s="1105">
        <f t="shared" ref="FP11" si="227">FO11</f>
        <v>2431</v>
      </c>
      <c r="FQ11" s="1105">
        <f t="shared" ref="FQ11" si="228">FP11</f>
        <v>2431</v>
      </c>
      <c r="FR11" s="1105">
        <f t="shared" ref="FR11" si="229">FQ11</f>
        <v>2431</v>
      </c>
      <c r="FS11" s="1105">
        <f t="shared" ref="FS11" si="230">FR11</f>
        <v>2431</v>
      </c>
      <c r="FT11" s="1105">
        <f t="shared" ref="FT11" si="231">FS11</f>
        <v>2431</v>
      </c>
      <c r="FU11" s="1109">
        <f t="shared" ref="FU11" si="232">FT11</f>
        <v>2431</v>
      </c>
      <c r="FV11" s="1105">
        <f t="shared" ref="FV11" si="233">FU11</f>
        <v>2431</v>
      </c>
      <c r="FW11" s="1105">
        <f t="shared" ref="FW11" si="234">FV11</f>
        <v>2431</v>
      </c>
      <c r="FX11" s="1105">
        <f t="shared" ref="FX11" si="235">FW11</f>
        <v>2431</v>
      </c>
      <c r="FY11" s="1105">
        <f t="shared" ref="FY11" si="236">FX11</f>
        <v>2431</v>
      </c>
      <c r="FZ11" s="1105">
        <f t="shared" ref="FZ11" si="237">FY11</f>
        <v>2431</v>
      </c>
      <c r="GA11" s="1105">
        <f t="shared" ref="GA11" si="238">FZ11</f>
        <v>2431</v>
      </c>
      <c r="GB11" s="1105">
        <f t="shared" ref="GB11" si="239">GA11</f>
        <v>2431</v>
      </c>
      <c r="GC11" s="1105">
        <f t="shared" ref="GC11" si="240">GB11</f>
        <v>2431</v>
      </c>
      <c r="GD11" s="1105">
        <f t="shared" ref="GD11" si="241">GC11</f>
        <v>2431</v>
      </c>
      <c r="GE11" s="1105">
        <f t="shared" ref="GE11" si="242">GD11</f>
        <v>2431</v>
      </c>
      <c r="GF11" s="1105">
        <f t="shared" ref="GF11" si="243">GE11</f>
        <v>2431</v>
      </c>
      <c r="GG11" s="1109">
        <f t="shared" ref="GG11" si="244">GF11</f>
        <v>2431</v>
      </c>
      <c r="GH11" s="1105">
        <f t="shared" ref="GH11" si="245">GG11</f>
        <v>2431</v>
      </c>
      <c r="GI11" s="1105">
        <f t="shared" ref="GI11" si="246">GH11</f>
        <v>2431</v>
      </c>
      <c r="GJ11" s="1105">
        <f t="shared" ref="GJ11" si="247">GI11</f>
        <v>2431</v>
      </c>
      <c r="GK11" s="1105">
        <f t="shared" ref="GK11" si="248">GJ11</f>
        <v>2431</v>
      </c>
      <c r="GL11" s="1105">
        <f t="shared" ref="GL11" si="249">GK11</f>
        <v>2431</v>
      </c>
      <c r="GM11" s="1105">
        <f t="shared" ref="GM11" si="250">GL11</f>
        <v>2431</v>
      </c>
      <c r="GN11" s="1105">
        <f t="shared" ref="GN11" si="251">GM11</f>
        <v>2431</v>
      </c>
      <c r="GO11" s="1105">
        <f t="shared" ref="GO11" si="252">GN11</f>
        <v>2431</v>
      </c>
      <c r="GP11" s="1105">
        <f t="shared" ref="GP11" si="253">GO11</f>
        <v>2431</v>
      </c>
      <c r="GQ11" s="1105">
        <f t="shared" ref="GQ11" si="254">GP11</f>
        <v>2431</v>
      </c>
      <c r="GR11" s="1105">
        <f t="shared" ref="GR11" si="255">GQ11</f>
        <v>2431</v>
      </c>
      <c r="GS11" s="1109">
        <f t="shared" ref="GS11" si="256">GR11</f>
        <v>2431</v>
      </c>
      <c r="GT11" s="1105">
        <f t="shared" ref="GT11" si="257">GS11</f>
        <v>2431</v>
      </c>
    </row>
    <row r="12" spans="1:202" s="1093" customFormat="1" x14ac:dyDescent="0.25">
      <c r="A12" s="1086"/>
      <c r="B12" s="1087" t="s">
        <v>1113</v>
      </c>
      <c r="C12" s="1088">
        <f>SUM(V12:AG12)</f>
        <v>5791</v>
      </c>
      <c r="D12" s="1089">
        <f>SUM(AH12:AS12)</f>
        <v>3290</v>
      </c>
      <c r="E12" s="1088">
        <f>SUM(AT12:BE12)</f>
        <v>3871</v>
      </c>
      <c r="F12" s="1089">
        <f>SUM(BF12:BQ12)</f>
        <v>2332</v>
      </c>
      <c r="G12" s="1088">
        <f>SUM(BR12:CC12)</f>
        <v>6240</v>
      </c>
      <c r="H12" s="1089">
        <f>SUM(CD12:CO12)</f>
        <v>5937</v>
      </c>
      <c r="I12" s="1090">
        <f>SUM(CP12:DA12)</f>
        <v>5430</v>
      </c>
      <c r="J12" s="328"/>
      <c r="K12" s="1088">
        <f t="shared" si="158"/>
        <v>482.58333333333331</v>
      </c>
      <c r="L12" s="1092">
        <f t="shared" si="158"/>
        <v>274.16666666666669</v>
      </c>
      <c r="M12" s="1089">
        <f t="shared" si="158"/>
        <v>322.58333333333331</v>
      </c>
      <c r="N12" s="1091">
        <f t="shared" si="158"/>
        <v>194.33333333333334</v>
      </c>
      <c r="O12" s="1089">
        <f t="shared" si="158"/>
        <v>520</v>
      </c>
      <c r="P12" s="1089">
        <f>IFERROR(SUM(CD12:CO12)/12,0)</f>
        <v>494.75</v>
      </c>
      <c r="Q12" s="1089">
        <f>IFERROR(SUM(CP12:DA12)/12,0)</f>
        <v>452.5</v>
      </c>
      <c r="R12" s="363"/>
      <c r="S12" s="1092"/>
      <c r="T12" s="1088"/>
      <c r="U12" s="1091">
        <v>3525</v>
      </c>
      <c r="V12" s="1092"/>
      <c r="W12" s="1088"/>
      <c r="X12" s="1088"/>
      <c r="Y12" s="1088"/>
      <c r="Z12" s="1088"/>
      <c r="AA12" s="1088"/>
      <c r="AB12" s="1088"/>
      <c r="AC12" s="1088"/>
      <c r="AD12" s="1088"/>
      <c r="AE12" s="1088"/>
      <c r="AF12" s="1088"/>
      <c r="AG12" s="1091">
        <f>2500+3291</f>
        <v>5791</v>
      </c>
      <c r="AH12" s="1092"/>
      <c r="AI12" s="1088"/>
      <c r="AJ12" s="1088"/>
      <c r="AK12" s="1088"/>
      <c r="AL12" s="1088"/>
      <c r="AM12" s="1088"/>
      <c r="AN12" s="1088"/>
      <c r="AO12" s="1088"/>
      <c r="AP12" s="1088"/>
      <c r="AQ12" s="1088"/>
      <c r="AR12" s="1088"/>
      <c r="AS12" s="1091">
        <v>3290</v>
      </c>
      <c r="AT12" s="1092"/>
      <c r="AU12" s="1088"/>
      <c r="AV12" s="1088"/>
      <c r="AW12" s="1088"/>
      <c r="AX12" s="1088"/>
      <c r="AY12" s="1088"/>
      <c r="AZ12" s="1088"/>
      <c r="BA12" s="1088"/>
      <c r="BB12" s="1088"/>
      <c r="BC12" s="1088"/>
      <c r="BD12" s="1088"/>
      <c r="BE12" s="1091">
        <v>3871</v>
      </c>
      <c r="BF12" s="1092"/>
      <c r="BG12" s="1088"/>
      <c r="BH12" s="1088"/>
      <c r="BI12" s="1088"/>
      <c r="BJ12" s="1088"/>
      <c r="BK12" s="1088"/>
      <c r="BL12" s="1088"/>
      <c r="BM12" s="1088"/>
      <c r="BN12" s="1088"/>
      <c r="BO12" s="1088"/>
      <c r="BP12" s="1088"/>
      <c r="BQ12" s="1091">
        <v>2332</v>
      </c>
      <c r="BR12" s="1092"/>
      <c r="BS12" s="1088"/>
      <c r="BT12" s="1088">
        <v>3613</v>
      </c>
      <c r="BU12" s="1088"/>
      <c r="BV12" s="1088"/>
      <c r="BW12" s="1088"/>
      <c r="BX12" s="1088"/>
      <c r="BY12" s="1088"/>
      <c r="BZ12" s="1088"/>
      <c r="CA12" s="1088"/>
      <c r="CB12" s="1088"/>
      <c r="CC12" s="1091">
        <v>2627</v>
      </c>
      <c r="CD12" s="1092"/>
      <c r="CE12" s="1088"/>
      <c r="CF12" s="1088">
        <v>3313</v>
      </c>
      <c r="CG12" s="1088"/>
      <c r="CH12" s="1088"/>
      <c r="CI12" s="1088"/>
      <c r="CJ12" s="1088"/>
      <c r="CK12" s="1088"/>
      <c r="CL12" s="1088"/>
      <c r="CM12" s="1088"/>
      <c r="CN12" s="1088"/>
      <c r="CO12" s="1091">
        <v>2624</v>
      </c>
      <c r="CP12" s="1092"/>
      <c r="CQ12" s="1088"/>
      <c r="CR12" s="1333"/>
      <c r="CS12" s="1420">
        <v>3000</v>
      </c>
      <c r="CT12" s="1088"/>
      <c r="CU12" s="1088"/>
      <c r="CV12" s="1088"/>
      <c r="CW12" s="1088"/>
      <c r="CX12" s="1088"/>
      <c r="CY12" s="1088"/>
      <c r="CZ12" s="1088"/>
      <c r="DA12" s="1334">
        <v>2430</v>
      </c>
      <c r="DB12" s="1092"/>
      <c r="DC12" s="1088"/>
      <c r="DD12" s="1088"/>
      <c r="DE12" s="1088"/>
      <c r="DF12" s="1088"/>
      <c r="DG12" s="1088"/>
      <c r="DH12" s="1088"/>
      <c r="DI12" s="1088"/>
      <c r="DJ12" s="1088"/>
      <c r="DK12" s="1088"/>
      <c r="DL12" s="1088"/>
      <c r="DM12" s="1091">
        <v>2430</v>
      </c>
      <c r="DN12" s="1092"/>
      <c r="DO12" s="1088"/>
      <c r="DP12" s="1088"/>
      <c r="DQ12" s="1088"/>
      <c r="DR12" s="1088"/>
      <c r="DS12" s="1088"/>
      <c r="DT12" s="1088"/>
      <c r="DU12" s="1088"/>
      <c r="DV12" s="1088"/>
      <c r="DW12" s="1088"/>
      <c r="DX12" s="1088"/>
      <c r="DY12" s="1091">
        <v>2430</v>
      </c>
      <c r="DZ12" s="1092"/>
      <c r="EA12" s="1088"/>
      <c r="EB12" s="1088"/>
      <c r="EC12" s="1088"/>
      <c r="ED12" s="1088"/>
      <c r="EE12" s="1088"/>
      <c r="EF12" s="1088"/>
      <c r="EG12" s="1088"/>
      <c r="EH12" s="1088"/>
      <c r="EI12" s="1088"/>
      <c r="EJ12" s="1088"/>
      <c r="EK12" s="1091">
        <v>2430</v>
      </c>
      <c r="EL12" s="1092"/>
      <c r="EM12" s="1088"/>
      <c r="EN12" s="1088"/>
      <c r="EO12" s="1088"/>
      <c r="EP12" s="1088"/>
      <c r="EQ12" s="1088"/>
      <c r="ER12" s="1088"/>
      <c r="ES12" s="1088"/>
      <c r="ET12" s="1088"/>
      <c r="EU12" s="1088"/>
      <c r="EV12" s="1088"/>
      <c r="EW12" s="1091">
        <v>2430</v>
      </c>
      <c r="EX12" s="1088"/>
      <c r="EY12" s="1088"/>
      <c r="EZ12" s="1088"/>
      <c r="FA12" s="1088"/>
      <c r="FB12" s="1088"/>
      <c r="FC12" s="1088"/>
      <c r="FD12" s="1088"/>
      <c r="FE12" s="1088"/>
      <c r="FF12" s="1088"/>
      <c r="FG12" s="1088"/>
      <c r="FH12" s="1088"/>
      <c r="FI12" s="1091">
        <v>2430</v>
      </c>
      <c r="FJ12" s="1088"/>
      <c r="FK12" s="1088"/>
      <c r="FL12" s="1088"/>
      <c r="FM12" s="1088"/>
      <c r="FN12" s="1088"/>
      <c r="FO12" s="1088"/>
      <c r="FP12" s="1088"/>
      <c r="FQ12" s="1088"/>
      <c r="FR12" s="1088"/>
      <c r="FS12" s="1088"/>
      <c r="FT12" s="1088"/>
      <c r="FU12" s="1091">
        <v>2430</v>
      </c>
      <c r="FV12" s="1088"/>
      <c r="FW12" s="1088"/>
      <c r="FX12" s="1088"/>
      <c r="FY12" s="1088"/>
      <c r="FZ12" s="1088"/>
      <c r="GA12" s="1088"/>
      <c r="GB12" s="1088"/>
      <c r="GC12" s="1088"/>
      <c r="GD12" s="1088"/>
      <c r="GE12" s="1088"/>
      <c r="GF12" s="1088"/>
      <c r="GG12" s="1091">
        <v>2430</v>
      </c>
      <c r="GH12" s="1088"/>
      <c r="GI12" s="1088"/>
      <c r="GJ12" s="1088"/>
      <c r="GK12" s="1088"/>
      <c r="GL12" s="1088"/>
      <c r="GM12" s="1088"/>
      <c r="GN12" s="1088"/>
      <c r="GO12" s="1088"/>
      <c r="GP12" s="1088"/>
      <c r="GQ12" s="1088"/>
      <c r="GR12" s="1088"/>
      <c r="GS12" s="1091">
        <v>2430</v>
      </c>
      <c r="GT12" s="1088"/>
    </row>
    <row r="13" spans="1:202" x14ac:dyDescent="0.25">
      <c r="A13" s="19"/>
      <c r="B13" s="325" t="s">
        <v>1109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9">
        <f t="shared" si="258"/>
        <v>36343</v>
      </c>
      <c r="H13" s="318">
        <f t="shared" si="258"/>
        <v>36172</v>
      </c>
      <c r="I13" s="728">
        <f t="shared" si="258"/>
        <v>35359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2946.5833333333335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 x14ac:dyDescent="0.25">
      <c r="A14" s="19"/>
      <c r="B14" s="436" t="s">
        <v>9</v>
      </c>
      <c r="C14" s="1318"/>
      <c r="D14" s="1319">
        <f t="shared" ref="D14:I14" si="267">(D11-C11)/C11</f>
        <v>-2.1734242674061304E-3</v>
      </c>
      <c r="E14" s="1319">
        <f t="shared" si="267"/>
        <v>3.2146612588252965E-2</v>
      </c>
      <c r="F14" s="1319">
        <f t="shared" si="267"/>
        <v>-3.6384805705137535E-4</v>
      </c>
      <c r="G14" s="1316">
        <f t="shared" si="267"/>
        <v>9.5690470990754894E-2</v>
      </c>
      <c r="H14" s="1317">
        <f t="shared" si="267"/>
        <v>4.3849450220908217E-3</v>
      </c>
      <c r="I14" s="1049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13745.723999999995</v>
      </c>
      <c r="CT14" s="238">
        <f t="shared" si="270"/>
        <v>16344.504718132554</v>
      </c>
      <c r="CU14" s="238">
        <f t="shared" si="270"/>
        <v>16344.804718132553</v>
      </c>
      <c r="CV14" s="238">
        <f t="shared" si="270"/>
        <v>16112.211114843583</v>
      </c>
      <c r="CW14" s="238">
        <f t="shared" si="270"/>
        <v>16345.111114843583</v>
      </c>
      <c r="CX14" s="238">
        <f t="shared" si="270"/>
        <v>16945.305200448369</v>
      </c>
      <c r="CY14" s="238">
        <f t="shared" si="270"/>
        <v>17178.20520044837</v>
      </c>
      <c r="CZ14" s="238">
        <f t="shared" si="270"/>
        <v>17195.268993118549</v>
      </c>
      <c r="DA14" s="560">
        <f t="shared" si="270"/>
        <v>17428.168993118546</v>
      </c>
      <c r="DB14" s="432">
        <f t="shared" si="270"/>
        <v>19904.742791564055</v>
      </c>
      <c r="DC14" s="238">
        <f t="shared" si="270"/>
        <v>20137.642791564056</v>
      </c>
      <c r="DD14" s="238">
        <f t="shared" si="270"/>
        <v>19991.832791564055</v>
      </c>
      <c r="DE14" s="238">
        <f t="shared" si="270"/>
        <v>20224.732791564056</v>
      </c>
      <c r="DF14" s="238">
        <f t="shared" si="270"/>
        <v>20101.902791564054</v>
      </c>
      <c r="DG14" s="238">
        <f t="shared" si="270"/>
        <v>20334.802791564056</v>
      </c>
      <c r="DH14" s="238">
        <f t="shared" si="270"/>
        <v>20346.012791564055</v>
      </c>
      <c r="DI14" s="238">
        <f t="shared" si="270"/>
        <v>20578.912791564057</v>
      </c>
      <c r="DJ14" s="238">
        <f t="shared" si="270"/>
        <v>20615.532791564056</v>
      </c>
      <c r="DK14" s="238">
        <f t="shared" ref="DK14:EP14" si="271">DK10+DK11</f>
        <v>20848.432791564057</v>
      </c>
      <c r="DL14" s="238">
        <f t="shared" si="271"/>
        <v>20881.33175301029</v>
      </c>
      <c r="DM14" s="560">
        <f t="shared" si="271"/>
        <v>21114.231753010292</v>
      </c>
      <c r="DN14" s="432">
        <f t="shared" si="271"/>
        <v>23610.284741614887</v>
      </c>
      <c r="DO14" s="238">
        <f t="shared" si="271"/>
        <v>23843.184741614888</v>
      </c>
      <c r="DP14" s="238">
        <f t="shared" si="271"/>
        <v>23697.374741614887</v>
      </c>
      <c r="DQ14" s="238">
        <f t="shared" si="271"/>
        <v>23930.274741614889</v>
      </c>
      <c r="DR14" s="238">
        <f t="shared" si="271"/>
        <v>23807.444741614891</v>
      </c>
      <c r="DS14" s="238">
        <f t="shared" si="271"/>
        <v>24040.344741614892</v>
      </c>
      <c r="DT14" s="238">
        <f t="shared" si="271"/>
        <v>24051.554741614891</v>
      </c>
      <c r="DU14" s="238">
        <f t="shared" si="271"/>
        <v>24284.454741614893</v>
      </c>
      <c r="DV14" s="238">
        <f t="shared" si="271"/>
        <v>24404.074741614892</v>
      </c>
      <c r="DW14" s="238">
        <f t="shared" si="271"/>
        <v>24719.974741614893</v>
      </c>
      <c r="DX14" s="238">
        <f t="shared" si="271"/>
        <v>24835.873703061126</v>
      </c>
      <c r="DY14" s="560">
        <f t="shared" si="271"/>
        <v>25151.773703061128</v>
      </c>
      <c r="DZ14" s="432">
        <f t="shared" si="271"/>
        <v>27730.826691665723</v>
      </c>
      <c r="EA14" s="238">
        <f t="shared" si="271"/>
        <v>28046.726691665725</v>
      </c>
      <c r="EB14" s="238">
        <f t="shared" si="271"/>
        <v>27983.916691665723</v>
      </c>
      <c r="EC14" s="238">
        <f t="shared" si="271"/>
        <v>28299.816691665725</v>
      </c>
      <c r="ED14" s="238">
        <f t="shared" si="271"/>
        <v>28259.986691665727</v>
      </c>
      <c r="EE14" s="238">
        <f t="shared" si="271"/>
        <v>28575.886691665728</v>
      </c>
      <c r="EF14" s="238">
        <f t="shared" si="271"/>
        <v>28670.096691665727</v>
      </c>
      <c r="EG14" s="238">
        <f t="shared" si="271"/>
        <v>28985.996691665729</v>
      </c>
      <c r="EH14" s="238">
        <f t="shared" si="271"/>
        <v>29105.616691665728</v>
      </c>
      <c r="EI14" s="238">
        <f t="shared" si="271"/>
        <v>29421.516691665729</v>
      </c>
      <c r="EJ14" s="238">
        <f t="shared" si="271"/>
        <v>29537.415653111962</v>
      </c>
      <c r="EK14" s="560">
        <f t="shared" si="271"/>
        <v>29853.315653111964</v>
      </c>
      <c r="EL14" s="432">
        <f t="shared" si="271"/>
        <v>32432.368641716559</v>
      </c>
      <c r="EM14" s="238">
        <f t="shared" si="271"/>
        <v>32748.268641716561</v>
      </c>
      <c r="EN14" s="238">
        <f t="shared" si="271"/>
        <v>32685.458641716559</v>
      </c>
      <c r="EO14" s="238">
        <f t="shared" si="271"/>
        <v>33001.358641716564</v>
      </c>
      <c r="EP14" s="238">
        <f t="shared" si="271"/>
        <v>32961.528641716563</v>
      </c>
      <c r="EQ14" s="238">
        <f t="shared" ref="EQ14:FV14" si="272">EQ10+EQ11</f>
        <v>33277.428641716564</v>
      </c>
      <c r="ER14" s="238">
        <f t="shared" si="272"/>
        <v>33371.638641716563</v>
      </c>
      <c r="ES14" s="238">
        <f t="shared" si="272"/>
        <v>33687.538641716565</v>
      </c>
      <c r="ET14" s="238">
        <f t="shared" si="272"/>
        <v>33807.158641716567</v>
      </c>
      <c r="EU14" s="238">
        <f t="shared" si="272"/>
        <v>34123.058641716569</v>
      </c>
      <c r="EV14" s="238">
        <f t="shared" si="272"/>
        <v>34238.957603162802</v>
      </c>
      <c r="EW14" s="560">
        <f t="shared" si="272"/>
        <v>34554.857603162804</v>
      </c>
      <c r="EX14" s="238">
        <f t="shared" si="272"/>
        <v>37133.910591767395</v>
      </c>
      <c r="EY14" s="238">
        <f t="shared" si="272"/>
        <v>37449.810591767397</v>
      </c>
      <c r="EZ14" s="238">
        <f t="shared" si="272"/>
        <v>37387.000591767399</v>
      </c>
      <c r="FA14" s="238">
        <f t="shared" si="272"/>
        <v>37702.9005917674</v>
      </c>
      <c r="FB14" s="238">
        <f t="shared" si="272"/>
        <v>37663.070591767399</v>
      </c>
      <c r="FC14" s="238">
        <f t="shared" si="272"/>
        <v>37978.9705917674</v>
      </c>
      <c r="FD14" s="238">
        <f t="shared" si="272"/>
        <v>38073.180591767399</v>
      </c>
      <c r="FE14" s="238">
        <f t="shared" si="272"/>
        <v>38389.080591767401</v>
      </c>
      <c r="FF14" s="238">
        <f t="shared" si="272"/>
        <v>38508.700591767403</v>
      </c>
      <c r="FG14" s="238">
        <f t="shared" si="272"/>
        <v>38824.600591767405</v>
      </c>
      <c r="FH14" s="238">
        <f t="shared" si="272"/>
        <v>38940.499553213638</v>
      </c>
      <c r="FI14" s="560">
        <f t="shared" si="272"/>
        <v>39256.39955321364</v>
      </c>
      <c r="FJ14" s="238">
        <f t="shared" si="272"/>
        <v>41835.452541818231</v>
      </c>
      <c r="FK14" s="238">
        <f t="shared" si="272"/>
        <v>42151.352541818233</v>
      </c>
      <c r="FL14" s="238">
        <f t="shared" si="272"/>
        <v>42088.542541818235</v>
      </c>
      <c r="FM14" s="238">
        <f t="shared" si="272"/>
        <v>42404.442541818236</v>
      </c>
      <c r="FN14" s="238">
        <f t="shared" si="272"/>
        <v>42364.612541818235</v>
      </c>
      <c r="FO14" s="238">
        <f t="shared" si="272"/>
        <v>42680.512541818236</v>
      </c>
      <c r="FP14" s="238">
        <f t="shared" si="272"/>
        <v>42774.722541818235</v>
      </c>
      <c r="FQ14" s="238">
        <f t="shared" si="272"/>
        <v>43090.622541818237</v>
      </c>
      <c r="FR14" s="238">
        <f t="shared" si="272"/>
        <v>43210.242541818239</v>
      </c>
      <c r="FS14" s="238">
        <f t="shared" si="272"/>
        <v>43526.142541818241</v>
      </c>
      <c r="FT14" s="238">
        <f t="shared" si="272"/>
        <v>43642.041503264474</v>
      </c>
      <c r="FU14" s="560">
        <f t="shared" si="272"/>
        <v>43957.941503264476</v>
      </c>
      <c r="FV14" s="238">
        <f t="shared" si="272"/>
        <v>46725.244491869067</v>
      </c>
      <c r="FW14" s="238">
        <f t="shared" ref="FW14:GT14" si="273">FW10+FW11</f>
        <v>47229.394491869069</v>
      </c>
      <c r="FX14" s="238">
        <f t="shared" si="273"/>
        <v>47354.834491869071</v>
      </c>
      <c r="FY14" s="238">
        <f t="shared" si="273"/>
        <v>47858.984491869072</v>
      </c>
      <c r="FZ14" s="238">
        <f t="shared" si="273"/>
        <v>48007.404491869071</v>
      </c>
      <c r="GA14" s="238">
        <f t="shared" si="273"/>
        <v>48511.554491869072</v>
      </c>
      <c r="GB14" s="238">
        <f t="shared" si="273"/>
        <v>48794.014491869071</v>
      </c>
      <c r="GC14" s="238">
        <f t="shared" si="273"/>
        <v>49298.164491869073</v>
      </c>
      <c r="GD14" s="238">
        <f t="shared" si="273"/>
        <v>49606.034491869075</v>
      </c>
      <c r="GE14" s="238">
        <f t="shared" si="273"/>
        <v>50110.184491869077</v>
      </c>
      <c r="GF14" s="238">
        <f t="shared" si="273"/>
        <v>50414.33345331531</v>
      </c>
      <c r="GG14" s="560">
        <f t="shared" si="273"/>
        <v>50918.483453315312</v>
      </c>
      <c r="GH14" s="238">
        <f t="shared" si="273"/>
        <v>53685.786441919903</v>
      </c>
      <c r="GI14" s="238">
        <f t="shared" si="273"/>
        <v>54189.936441919905</v>
      </c>
      <c r="GJ14" s="238">
        <f t="shared" si="273"/>
        <v>54315.376441919907</v>
      </c>
      <c r="GK14" s="238">
        <f t="shared" si="273"/>
        <v>54819.526441919908</v>
      </c>
      <c r="GL14" s="238">
        <f t="shared" si="273"/>
        <v>54967.946441919907</v>
      </c>
      <c r="GM14" s="238">
        <f t="shared" si="273"/>
        <v>55472.096441919908</v>
      </c>
      <c r="GN14" s="238">
        <f t="shared" si="273"/>
        <v>55754.556441919907</v>
      </c>
      <c r="GO14" s="238">
        <f t="shared" si="273"/>
        <v>56258.706441919909</v>
      </c>
      <c r="GP14" s="238">
        <f t="shared" si="273"/>
        <v>56566.576441919911</v>
      </c>
      <c r="GQ14" s="238">
        <f t="shared" si="273"/>
        <v>57070.726441919913</v>
      </c>
      <c r="GR14" s="238">
        <f t="shared" si="273"/>
        <v>57374.875403366146</v>
      </c>
      <c r="GS14" s="560">
        <f t="shared" si="273"/>
        <v>57879.025403366148</v>
      </c>
      <c r="GT14" s="238">
        <f t="shared" si="273"/>
        <v>60646.328391970739</v>
      </c>
    </row>
    <row r="15" spans="1:202" hidden="1" x14ac:dyDescent="0.25">
      <c r="A15" s="19"/>
      <c r="B15" s="253" t="s">
        <v>10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5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 x14ac:dyDescent="0.25">
      <c r="A16" s="19"/>
      <c r="B16" s="350" t="s">
        <v>11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50">
        <f>SUM(CP16:DA16)</f>
        <v>8910</v>
      </c>
      <c r="J16" s="328"/>
      <c r="K16" s="1058">
        <f>C16/12</f>
        <v>1421.625</v>
      </c>
      <c r="L16" s="1058">
        <f>D16/12</f>
        <v>690.5</v>
      </c>
      <c r="M16" s="1062">
        <f>E16/12</f>
        <v>2441.25</v>
      </c>
      <c r="N16" s="1060">
        <f>F16/12</f>
        <v>883.83333333333337</v>
      </c>
      <c r="O16" s="1060">
        <f>G16/12</f>
        <v>852.58333333333337</v>
      </c>
      <c r="P16" s="1060">
        <f t="shared" ref="P16:Q21" si="277">IFERROR(AVERAGEIF(CD16:CO16,"&gt;0"),0)</f>
        <v>730</v>
      </c>
      <c r="Q16" s="1060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 x14ac:dyDescent="0.25">
      <c r="A17" s="19"/>
      <c r="B17" s="253" t="s">
        <v>12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6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 x14ac:dyDescent="0.25">
      <c r="A18" s="19"/>
      <c r="B18" s="253" t="s">
        <v>1240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16885.23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6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1407.1025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199+2.75+0.5+13838.98</f>
        <v>14041.23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 x14ac:dyDescent="0.25">
      <c r="A19" s="19"/>
      <c r="B19" s="253" t="s">
        <v>13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6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 x14ac:dyDescent="0.25">
      <c r="A20" s="19"/>
      <c r="B20" s="350" t="s">
        <v>14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50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 x14ac:dyDescent="0.25">
      <c r="A21" s="19"/>
      <c r="B21" s="253" t="s">
        <v>15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6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 x14ac:dyDescent="0.25">
      <c r="A22" s="19"/>
      <c r="B22" s="350" t="s">
        <v>1111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50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 x14ac:dyDescent="0.25">
      <c r="A23" s="677"/>
      <c r="B23" s="678" t="s">
        <v>1112</v>
      </c>
      <c r="C23" s="679">
        <f t="shared" si="434"/>
        <v>0</v>
      </c>
      <c r="D23" s="680">
        <f t="shared" ref="D23" si="435">SUM(AH23:AS23)</f>
        <v>828.89</v>
      </c>
      <c r="E23" s="679">
        <f t="shared" si="274"/>
        <v>556.23</v>
      </c>
      <c r="F23" s="680">
        <f>SUM(BF23:BQ23)</f>
        <v>573.19000000000005</v>
      </c>
      <c r="G23" s="679">
        <f t="shared" si="275"/>
        <v>754.73</v>
      </c>
      <c r="H23" s="680">
        <f t="shared" si="276"/>
        <v>807.44</v>
      </c>
      <c r="I23" s="1051">
        <f t="shared" si="394"/>
        <v>861.22268254165817</v>
      </c>
      <c r="J23" s="328"/>
      <c r="K23" s="681">
        <f t="shared" si="395"/>
        <v>0</v>
      </c>
      <c r="L23" s="681">
        <f t="shared" si="396"/>
        <v>69.07416666666667</v>
      </c>
      <c r="M23" s="680">
        <f t="shared" si="397"/>
        <v>46.352499999999999</v>
      </c>
      <c r="N23" s="682">
        <f t="shared" si="398"/>
        <v>47.76583333333334</v>
      </c>
      <c r="O23" s="682">
        <f t="shared" si="399"/>
        <v>62.894166666666671</v>
      </c>
      <c r="P23" s="682">
        <f>H23/12</f>
        <v>67.286666666666676</v>
      </c>
      <c r="Q23" s="682">
        <f>I23/12</f>
        <v>71.768556878471514</v>
      </c>
      <c r="R23" s="328"/>
      <c r="S23" s="681"/>
      <c r="T23" s="679"/>
      <c r="U23" s="682"/>
      <c r="V23" s="681"/>
      <c r="W23" s="679"/>
      <c r="X23" s="679"/>
      <c r="Y23" s="679"/>
      <c r="Z23" s="679"/>
      <c r="AA23" s="679"/>
      <c r="AB23" s="679"/>
      <c r="AC23" s="679"/>
      <c r="AD23" s="679"/>
      <c r="AE23" s="679"/>
      <c r="AF23" s="679"/>
      <c r="AG23" s="682"/>
      <c r="AH23" s="681"/>
      <c r="AI23" s="679">
        <v>272.57</v>
      </c>
      <c r="AJ23" s="679"/>
      <c r="AK23" s="679">
        <v>133.32</v>
      </c>
      <c r="AL23" s="679"/>
      <c r="AM23" s="679">
        <v>116.72</v>
      </c>
      <c r="AN23" s="679"/>
      <c r="AO23" s="679">
        <v>111.88</v>
      </c>
      <c r="AP23" s="679"/>
      <c r="AQ23" s="679">
        <v>110.75</v>
      </c>
      <c r="AR23" s="679"/>
      <c r="AS23" s="682">
        <v>83.65</v>
      </c>
      <c r="AT23" s="681"/>
      <c r="AU23" s="679">
        <f>'ANALISI CONSUMI GAS ENERGIA'!Z60</f>
        <v>101.33</v>
      </c>
      <c r="AV23" s="679"/>
      <c r="AW23" s="679">
        <f>51.4+0.5</f>
        <v>51.9</v>
      </c>
      <c r="AX23" s="679"/>
      <c r="AY23" s="679">
        <f>78.61+0.5+18+0.5</f>
        <v>97.61</v>
      </c>
      <c r="AZ23" s="679"/>
      <c r="BA23" s="679">
        <f>81.65+0.5+18+0.5</f>
        <v>100.65</v>
      </c>
      <c r="BB23" s="679">
        <f>96.31+0.5+9+0.5</f>
        <v>106.31</v>
      </c>
      <c r="BC23" s="679"/>
      <c r="BD23" s="679"/>
      <c r="BE23" s="682">
        <f>79.43+18+0.5+0.5</f>
        <v>98.43</v>
      </c>
      <c r="BF23" s="681"/>
      <c r="BG23" s="679">
        <f>'ANALISI CONSUMI GAS ENERGIA'!AL60+0.5</f>
        <v>80.25</v>
      </c>
      <c r="BH23" s="683"/>
      <c r="BI23" s="679">
        <f>18+0.5+69.65+0.5</f>
        <v>88.65</v>
      </c>
      <c r="BJ23" s="679">
        <f>18+0.5+67.91+0.5</f>
        <v>86.91</v>
      </c>
      <c r="BK23" s="679"/>
      <c r="BL23" s="683"/>
      <c r="BM23" s="679">
        <f>'ANALISI CONSUMI GAS ENERGIA'!AR60+0.5</f>
        <v>89.14</v>
      </c>
      <c r="BN23" s="679">
        <f>'ANALISI CONSUMI GAS ENERGIA'!AT60+0.5</f>
        <v>125.24</v>
      </c>
      <c r="BO23" s="684"/>
      <c r="BP23" s="679">
        <f>'ANALISI CONSUMI GAS ENERGIA'!AV60+0.5</f>
        <v>103</v>
      </c>
      <c r="BQ23" s="682"/>
      <c r="BR23" s="685"/>
      <c r="BS23" s="679">
        <f>'ANALISI CONSUMI GAS ENERGIA'!AX60+0.5</f>
        <v>106.64000000000001</v>
      </c>
      <c r="BT23" s="679">
        <f>'ANALISI CONSUMI GAS ENERGIA'!AZ60+0.5</f>
        <v>129.6</v>
      </c>
      <c r="BU23" s="684"/>
      <c r="BV23" s="679">
        <f>'ANALISI CONSUMI GAS ENERGIA'!BB60+0.5</f>
        <v>127.71000000000001</v>
      </c>
      <c r="BW23" s="684"/>
      <c r="BX23" s="684"/>
      <c r="BY23" s="679">
        <f>'ANALISI CONSUMI GAS ENERGIA'!BD60+0.5</f>
        <v>138.12</v>
      </c>
      <c r="BZ23" s="679"/>
      <c r="CA23" s="679">
        <f>'ANALISI CONSUMI GAS ENERGIA'!BF60+0.5</f>
        <v>147.4</v>
      </c>
      <c r="CB23" s="679"/>
      <c r="CC23" s="682">
        <f>'ANALISI CONSUMI GAS ENERGIA'!BH60+0.5</f>
        <v>105.26</v>
      </c>
      <c r="CD23" s="681"/>
      <c r="CE23" s="239">
        <f>'ANALISI CONSUMI GAS ENERGIA'!BJ60+0.5</f>
        <v>108.18</v>
      </c>
      <c r="CF23" s="679"/>
      <c r="CG23" s="239">
        <f>'ANALISI CONSUMI GAS ENERGIA'!BL60+0.5</f>
        <v>127.39</v>
      </c>
      <c r="CH23" s="679"/>
      <c r="CI23" s="239">
        <f>'ANALISI CONSUMI GAS ENERGIA'!BN60+0.5</f>
        <v>125.2</v>
      </c>
      <c r="CJ23" s="679"/>
      <c r="CK23" s="239">
        <f>'ANALISI CONSUMI GAS ENERGIA'!BP60+0.5</f>
        <v>146.5</v>
      </c>
      <c r="CL23" s="679"/>
      <c r="CM23" s="239">
        <f>'ANALISI CONSUMI GAS ENERGIA'!BR60+0.5</f>
        <v>169.76</v>
      </c>
      <c r="CN23" s="679"/>
      <c r="CO23" s="682">
        <f>'ANALISI CONSUMI GAS ENERGIA'!BT60+0.5</f>
        <v>130.41000000000003</v>
      </c>
      <c r="CP23" s="959"/>
      <c r="CQ23" s="239">
        <f>'ANALISI CONSUMI GAS ENERGIA'!BV60+0.5</f>
        <v>131.96</v>
      </c>
      <c r="CR23" s="686"/>
      <c r="CS23" s="686">
        <f>'ANALISI CONSUMI GAS ENERGIA'!BX60</f>
        <v>131.17128186744202</v>
      </c>
      <c r="CT23" s="686"/>
      <c r="CU23" s="686">
        <f>'ANALISI CONSUMI GAS ENERGIA'!BZ60</f>
        <v>132.63628227996554</v>
      </c>
      <c r="CV23" s="686"/>
      <c r="CW23" s="686">
        <f>'ANALISI CONSUMI GAS ENERGIA'!CB60</f>
        <v>168.89504248992267</v>
      </c>
      <c r="CX23" s="686"/>
      <c r="CY23" s="686">
        <f>'ANALISI CONSUMI GAS ENERGIA'!CD60</f>
        <v>163.03504083982858</v>
      </c>
      <c r="CZ23" s="686"/>
      <c r="DA23" s="687">
        <f>'ANALISI CONSUMI GAS ENERGIA'!CF60</f>
        <v>133.52503506449929</v>
      </c>
      <c r="DB23" s="959"/>
      <c r="DC23" s="686">
        <v>108.18</v>
      </c>
      <c r="DD23" s="686"/>
      <c r="DE23" s="686">
        <v>127.39</v>
      </c>
      <c r="DF23" s="686"/>
      <c r="DG23" s="686">
        <v>125.2</v>
      </c>
      <c r="DH23" s="686"/>
      <c r="DI23" s="686">
        <v>146.5</v>
      </c>
      <c r="DJ23" s="686"/>
      <c r="DK23" s="686">
        <v>153.48320436763524</v>
      </c>
      <c r="DL23" s="686"/>
      <c r="DM23" s="687">
        <v>119.65910675347145</v>
      </c>
      <c r="DN23" s="959"/>
      <c r="DO23" s="686">
        <v>108.18</v>
      </c>
      <c r="DP23" s="686"/>
      <c r="DQ23" s="686">
        <v>127.39</v>
      </c>
      <c r="DR23" s="686"/>
      <c r="DS23" s="686">
        <v>125.2</v>
      </c>
      <c r="DT23" s="686"/>
      <c r="DU23" s="686">
        <v>146.5</v>
      </c>
      <c r="DV23" s="686"/>
      <c r="DW23" s="686">
        <v>153.48320436763524</v>
      </c>
      <c r="DX23" s="686"/>
      <c r="DY23" s="687">
        <v>119.65910675347145</v>
      </c>
      <c r="DZ23" s="959"/>
      <c r="EA23" s="686">
        <v>108.18</v>
      </c>
      <c r="EB23" s="686"/>
      <c r="EC23" s="686">
        <v>127.39</v>
      </c>
      <c r="ED23" s="686"/>
      <c r="EE23" s="686">
        <v>125.2</v>
      </c>
      <c r="EF23" s="686"/>
      <c r="EG23" s="686">
        <v>146.5</v>
      </c>
      <c r="EH23" s="686"/>
      <c r="EI23" s="686">
        <v>153.48320436763524</v>
      </c>
      <c r="EJ23" s="686"/>
      <c r="EK23" s="687">
        <v>119.65910675347145</v>
      </c>
      <c r="EL23" s="959"/>
      <c r="EM23" s="686">
        <v>108.18</v>
      </c>
      <c r="EN23" s="686"/>
      <c r="EO23" s="686">
        <v>127.39</v>
      </c>
      <c r="EP23" s="686"/>
      <c r="EQ23" s="686">
        <v>125.2</v>
      </c>
      <c r="ER23" s="686"/>
      <c r="ES23" s="686">
        <v>146.5</v>
      </c>
      <c r="ET23" s="686"/>
      <c r="EU23" s="686">
        <v>153.48320436763524</v>
      </c>
      <c r="EV23" s="686"/>
      <c r="EW23" s="687">
        <v>119.65910675347145</v>
      </c>
      <c r="EX23" s="959"/>
      <c r="EY23" s="686">
        <v>108.18</v>
      </c>
      <c r="EZ23" s="686"/>
      <c r="FA23" s="686">
        <v>127.39</v>
      </c>
      <c r="FB23" s="686"/>
      <c r="FC23" s="686">
        <v>125.2</v>
      </c>
      <c r="FD23" s="686"/>
      <c r="FE23" s="686">
        <v>146.5</v>
      </c>
      <c r="FF23" s="686"/>
      <c r="FG23" s="686">
        <v>153.48320436763524</v>
      </c>
      <c r="FH23" s="686"/>
      <c r="FI23" s="687">
        <v>119.65910675347145</v>
      </c>
      <c r="FJ23" s="959"/>
      <c r="FK23" s="686">
        <v>108.18</v>
      </c>
      <c r="FL23" s="686"/>
      <c r="FM23" s="686">
        <v>127.39</v>
      </c>
      <c r="FN23" s="686"/>
      <c r="FO23" s="686">
        <v>125.2</v>
      </c>
      <c r="FP23" s="686"/>
      <c r="FQ23" s="686">
        <v>146.5</v>
      </c>
      <c r="FR23" s="686"/>
      <c r="FS23" s="686">
        <v>153.48320436763524</v>
      </c>
      <c r="FT23" s="686"/>
      <c r="FU23" s="687">
        <v>119.65910675347145</v>
      </c>
      <c r="FV23" s="959"/>
      <c r="FW23" s="686">
        <v>108.18</v>
      </c>
      <c r="FX23" s="686"/>
      <c r="FY23" s="686">
        <v>127.39</v>
      </c>
      <c r="FZ23" s="686"/>
      <c r="GA23" s="686">
        <v>125.2</v>
      </c>
      <c r="GB23" s="686"/>
      <c r="GC23" s="686">
        <v>146.5</v>
      </c>
      <c r="GD23" s="686"/>
      <c r="GE23" s="686">
        <v>153.48320436763524</v>
      </c>
      <c r="GF23" s="686"/>
      <c r="GG23" s="687">
        <v>119.65910675347145</v>
      </c>
      <c r="GH23" s="959"/>
      <c r="GI23" s="686">
        <v>108.18</v>
      </c>
      <c r="GJ23" s="686"/>
      <c r="GK23" s="686">
        <v>127.39</v>
      </c>
      <c r="GL23" s="686"/>
      <c r="GM23" s="686">
        <v>125.2</v>
      </c>
      <c r="GN23" s="686"/>
      <c r="GO23" s="686">
        <v>146.5</v>
      </c>
      <c r="GP23" s="686"/>
      <c r="GQ23" s="686">
        <v>153.48320436763524</v>
      </c>
      <c r="GR23" s="686"/>
      <c r="GS23" s="687">
        <v>119.65910675347145</v>
      </c>
      <c r="GT23" s="679"/>
    </row>
    <row r="24" spans="1:202" x14ac:dyDescent="0.25">
      <c r="A24" s="19"/>
      <c r="B24" s="350" t="s">
        <v>17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50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 x14ac:dyDescent="0.25">
      <c r="A25" s="19"/>
      <c r="B25" s="253" t="s">
        <v>784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6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 x14ac:dyDescent="0.25">
      <c r="A26" s="19"/>
      <c r="B26" s="351" t="s">
        <v>18</v>
      </c>
      <c r="C26" s="331">
        <f t="shared" si="391"/>
        <v>9181.8100000000013</v>
      </c>
      <c r="D26" s="332">
        <f>SUM(AH26:AS26)</f>
        <v>7707.8099999999995</v>
      </c>
      <c r="E26" s="331">
        <f t="shared" si="274"/>
        <v>3058.7700000000004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52">
        <f t="shared" si="394"/>
        <v>364.43999999999994</v>
      </c>
      <c r="J26" s="328"/>
      <c r="K26" s="347">
        <f t="shared" si="395"/>
        <v>765.15083333333348</v>
      </c>
      <c r="L26" s="347">
        <f t="shared" si="396"/>
        <v>642.3175</v>
      </c>
      <c r="M26" s="332">
        <f t="shared" si="397"/>
        <v>254.89750000000004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 x14ac:dyDescent="0.25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6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4447.8533333333326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 x14ac:dyDescent="0.25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53">
        <f t="shared" si="394"/>
        <v>511.11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42.592500000000001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19">
        <v>225</v>
      </c>
      <c r="CS28" s="1339"/>
      <c r="CT28" s="133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9" customFormat="1" x14ac:dyDescent="0.25">
      <c r="A29" s="1112"/>
      <c r="B29" s="1113" t="s">
        <v>1110</v>
      </c>
      <c r="C29" s="1114">
        <f>SUM(V29:AG29)</f>
        <v>0</v>
      </c>
      <c r="D29" s="1115">
        <f>SUM(AH29:AS29)</f>
        <v>0</v>
      </c>
      <c r="E29" s="1114">
        <f>SUM(AT29:BE29)</f>
        <v>804</v>
      </c>
      <c r="F29" s="1115">
        <f>SUM(BF29:BQ29)</f>
        <v>854</v>
      </c>
      <c r="G29" s="1114">
        <f>SUM(BR29:CC29)</f>
        <v>763</v>
      </c>
      <c r="H29" s="1115">
        <f>SUM(CD29:CO29)</f>
        <v>590</v>
      </c>
      <c r="I29" s="1116">
        <f t="shared" si="394"/>
        <v>590</v>
      </c>
      <c r="J29" s="1091"/>
      <c r="K29" s="1114">
        <f t="shared" ref="K29:K30" si="445">C29/12</f>
        <v>0</v>
      </c>
      <c r="L29" s="1117">
        <f t="shared" ref="L29:L30" si="446">D29/12</f>
        <v>0</v>
      </c>
      <c r="M29" s="1115">
        <f t="shared" ref="M29:M30" si="447">E29/12</f>
        <v>67</v>
      </c>
      <c r="N29" s="1118">
        <f t="shared" ref="N29:N30" si="448">F29/12</f>
        <v>71.166666666666671</v>
      </c>
      <c r="O29" s="1115">
        <f t="shared" ref="O29:O30" si="449">G29/12</f>
        <v>63.583333333333336</v>
      </c>
      <c r="P29" s="1115">
        <f>IFERROR(SUM(CD29:CO29)/12,0)</f>
        <v>49.166666666666664</v>
      </c>
      <c r="Q29" s="1115">
        <f>IFERROR(SUM(CP29:DA29)/12,0)</f>
        <v>49.166666666666664</v>
      </c>
      <c r="R29" s="1088"/>
      <c r="S29" s="1117"/>
      <c r="T29" s="1114"/>
      <c r="U29" s="1118"/>
      <c r="V29" s="1117"/>
      <c r="W29" s="1114"/>
      <c r="X29" s="1114"/>
      <c r="Y29" s="1114"/>
      <c r="Z29" s="1114"/>
      <c r="AA29" s="1114"/>
      <c r="AB29" s="1114"/>
      <c r="AC29" s="1114"/>
      <c r="AD29" s="1114"/>
      <c r="AE29" s="1114"/>
      <c r="AF29" s="1114"/>
      <c r="AG29" s="1118"/>
      <c r="AH29" s="1117"/>
      <c r="AI29" s="1114"/>
      <c r="AJ29" s="1114"/>
      <c r="AK29" s="1114"/>
      <c r="AL29" s="1114"/>
      <c r="AM29" s="1114"/>
      <c r="AN29" s="1114"/>
      <c r="AO29" s="1114"/>
      <c r="AP29" s="1114"/>
      <c r="AQ29" s="1114"/>
      <c r="AR29" s="1114"/>
      <c r="AS29" s="1118"/>
      <c r="AT29" s="1117"/>
      <c r="AU29" s="1114"/>
      <c r="AV29" s="1114"/>
      <c r="AW29" s="1114"/>
      <c r="AX29" s="1114"/>
      <c r="AY29" s="1114"/>
      <c r="AZ29" s="1114"/>
      <c r="BA29" s="1114">
        <v>804</v>
      </c>
      <c r="BB29" s="1114"/>
      <c r="BC29" s="1114"/>
      <c r="BD29" s="1114"/>
      <c r="BE29" s="1118"/>
      <c r="BF29" s="1117"/>
      <c r="BG29" s="1114"/>
      <c r="BH29" s="1114"/>
      <c r="BI29" s="1114"/>
      <c r="BJ29" s="1114"/>
      <c r="BK29" s="1114"/>
      <c r="BL29" s="1114"/>
      <c r="BM29" s="1114"/>
      <c r="BN29" s="1114">
        <v>854</v>
      </c>
      <c r="BO29" s="1114"/>
      <c r="BP29" s="1114"/>
      <c r="BQ29" s="1118"/>
      <c r="BR29" s="1117"/>
      <c r="BS29" s="1114"/>
      <c r="BT29" s="1114"/>
      <c r="BU29" s="1114"/>
      <c r="BV29" s="1114"/>
      <c r="BW29" s="1114"/>
      <c r="BX29" s="1114"/>
      <c r="BY29" s="1114">
        <v>763</v>
      </c>
      <c r="BZ29" s="1114"/>
      <c r="CA29" s="1114"/>
      <c r="CB29" s="1114"/>
      <c r="CC29" s="1118"/>
      <c r="CD29" s="1117"/>
      <c r="CE29" s="1114"/>
      <c r="CF29" s="1114"/>
      <c r="CG29" s="1114"/>
      <c r="CH29" s="1114"/>
      <c r="CI29" s="1114"/>
      <c r="CJ29" s="1114"/>
      <c r="CK29" s="1114">
        <v>590</v>
      </c>
      <c r="CL29" s="1114"/>
      <c r="CM29" s="1114"/>
      <c r="CN29" s="1114"/>
      <c r="CO29" s="1118"/>
      <c r="CP29" s="1117"/>
      <c r="CQ29" s="1114"/>
      <c r="CR29" s="1114"/>
      <c r="CS29" s="1114"/>
      <c r="CT29" s="1114"/>
      <c r="CU29" s="1114"/>
      <c r="CV29" s="1114"/>
      <c r="CW29" s="1332">
        <v>590</v>
      </c>
      <c r="CX29" s="1114"/>
      <c r="CY29" s="1114"/>
      <c r="CZ29" s="1114"/>
      <c r="DA29" s="1118"/>
      <c r="DB29" s="1117"/>
      <c r="DC29" s="1114"/>
      <c r="DD29" s="1114"/>
      <c r="DE29" s="1114"/>
      <c r="DF29" s="1114"/>
      <c r="DG29" s="1114"/>
      <c r="DH29" s="1114"/>
      <c r="DI29" s="1114"/>
      <c r="DJ29" s="1114"/>
      <c r="DK29" s="1114"/>
      <c r="DL29" s="1114"/>
      <c r="DM29" s="1118"/>
      <c r="DN29" s="1117"/>
      <c r="DO29" s="1114"/>
      <c r="DP29" s="1114"/>
      <c r="DQ29" s="1114"/>
      <c r="DR29" s="1114"/>
      <c r="DS29" s="1114"/>
      <c r="DT29" s="1114"/>
      <c r="DU29" s="1114"/>
      <c r="DV29" s="1114"/>
      <c r="DW29" s="1114"/>
      <c r="DX29" s="1114"/>
      <c r="DY29" s="1118"/>
      <c r="DZ29" s="1117"/>
      <c r="EA29" s="1114"/>
      <c r="EB29" s="1114"/>
      <c r="EC29" s="1114"/>
      <c r="ED29" s="1114"/>
      <c r="EE29" s="1114"/>
      <c r="EF29" s="1114"/>
      <c r="EG29" s="1114"/>
      <c r="EH29" s="1114"/>
      <c r="EI29" s="1114"/>
      <c r="EJ29" s="1114"/>
      <c r="EK29" s="1118"/>
      <c r="EL29" s="1117"/>
      <c r="EM29" s="1114"/>
      <c r="EN29" s="1114"/>
      <c r="EO29" s="1114"/>
      <c r="EP29" s="1114"/>
      <c r="EQ29" s="1114"/>
      <c r="ER29" s="1114"/>
      <c r="ES29" s="1114"/>
      <c r="ET29" s="1114"/>
      <c r="EU29" s="1114"/>
      <c r="EV29" s="1114"/>
      <c r="EW29" s="1118"/>
      <c r="EX29" s="1114"/>
      <c r="EY29" s="1114"/>
      <c r="EZ29" s="1114"/>
      <c r="FA29" s="1114"/>
      <c r="FB29" s="1114"/>
      <c r="FC29" s="1114"/>
      <c r="FD29" s="1114"/>
      <c r="FE29" s="1114"/>
      <c r="FF29" s="1114"/>
      <c r="FG29" s="1114"/>
      <c r="FH29" s="1114"/>
      <c r="FI29" s="1118"/>
      <c r="FJ29" s="1114"/>
      <c r="FK29" s="1114"/>
      <c r="FL29" s="1114"/>
      <c r="FM29" s="1114"/>
      <c r="FN29" s="1114"/>
      <c r="FO29" s="1114"/>
      <c r="FP29" s="1114"/>
      <c r="FQ29" s="1114"/>
      <c r="FR29" s="1114"/>
      <c r="FS29" s="1114"/>
      <c r="FT29" s="1114"/>
      <c r="FU29" s="1118"/>
      <c r="FV29" s="1114"/>
      <c r="FW29" s="1114"/>
      <c r="FX29" s="1114"/>
      <c r="FY29" s="1114"/>
      <c r="FZ29" s="1114"/>
      <c r="GA29" s="1114"/>
      <c r="GB29" s="1114"/>
      <c r="GC29" s="1114"/>
      <c r="GD29" s="1114"/>
      <c r="GE29" s="1114"/>
      <c r="GF29" s="1114"/>
      <c r="GG29" s="1118"/>
      <c r="GH29" s="1114"/>
      <c r="GI29" s="1114"/>
      <c r="GJ29" s="1114"/>
      <c r="GK29" s="1114"/>
      <c r="GL29" s="1114"/>
      <c r="GM29" s="1114"/>
      <c r="GN29" s="1114"/>
      <c r="GO29" s="1114"/>
      <c r="GP29" s="1114"/>
      <c r="GQ29" s="1114"/>
      <c r="GR29" s="1114"/>
      <c r="GS29" s="1118"/>
      <c r="GT29" s="1114"/>
    </row>
    <row r="30" spans="1:202" s="444" customFormat="1" x14ac:dyDescent="0.25">
      <c r="A30" s="438"/>
      <c r="B30" s="437" t="s">
        <v>1108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53">
        <f t="shared" si="394"/>
        <v>6531.1100000000006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544.25916666666672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1419">
        <f>CR28+CR29+CR12</f>
        <v>225</v>
      </c>
      <c r="CS30" s="362">
        <f>CS28+CS29+CS12</f>
        <v>3000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3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3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 x14ac:dyDescent="0.25">
      <c r="A31" s="677"/>
      <c r="B31" s="678" t="s">
        <v>21</v>
      </c>
      <c r="C31" s="679">
        <f>SUM(V31:AG31)</f>
        <v>12941.27</v>
      </c>
      <c r="D31" s="680">
        <f>SUM(AH31:AS31)</f>
        <v>13633.79</v>
      </c>
      <c r="E31" s="679">
        <f>SUM(AT31:BE31)</f>
        <v>12785.230000000001</v>
      </c>
      <c r="F31" s="680">
        <f>SUM(BF31:BQ31)</f>
        <v>15000.66</v>
      </c>
      <c r="G31" s="679">
        <f>SUM(BR31:CC31)</f>
        <v>15763.130000000001</v>
      </c>
      <c r="H31" s="679">
        <f>SUM(CD31:CO31)</f>
        <v>18091.008000000002</v>
      </c>
      <c r="I31" s="1051">
        <f>SUM(CP31:DA31)</f>
        <v>14586.776</v>
      </c>
      <c r="J31" s="441"/>
      <c r="K31" s="681">
        <f t="shared" si="395"/>
        <v>1078.4391666666668</v>
      </c>
      <c r="L31" s="681">
        <f t="shared" si="396"/>
        <v>1136.1491666666668</v>
      </c>
      <c r="M31" s="680">
        <f t="shared" si="397"/>
        <v>1065.4358333333334</v>
      </c>
      <c r="N31" s="682">
        <f t="shared" si="398"/>
        <v>1250.0550000000001</v>
      </c>
      <c r="O31" s="682">
        <f t="shared" si="399"/>
        <v>1313.5941666666668</v>
      </c>
      <c r="P31" s="682">
        <f>IFERROR(AVERAGEIF(CD31:CO31,"&gt;0"),0)</f>
        <v>1507.5840000000001</v>
      </c>
      <c r="Q31" s="682">
        <f>IFERROR(AVERAGEIF(CE31:CP31,"&gt;0"),0)</f>
        <v>1565.6740000000002</v>
      </c>
      <c r="R31" s="362"/>
      <c r="S31" s="681">
        <f t="shared" ref="S31" si="456">IF(S64="",$C$64,S64)</f>
        <v>925</v>
      </c>
      <c r="T31" s="679">
        <f>IF(T8=0,Valutazioni!$C$3,T64)</f>
        <v>1075.5</v>
      </c>
      <c r="U31" s="682">
        <f>IF(U8=0,Valutazioni!$C$3,U64)</f>
        <v>1120.3800000000001</v>
      </c>
      <c r="V31" s="681">
        <f>IF(V8=0,Valutazioni!$C$3,V64)</f>
        <v>1713.29</v>
      </c>
      <c r="W31" s="679">
        <f>IF(W8=0,Valutazioni!$C$3,W64)</f>
        <v>874.8599999999999</v>
      </c>
      <c r="X31" s="679">
        <f>IF(X8=0,Valutazioni!$C$3,X64)</f>
        <v>1181.77</v>
      </c>
      <c r="Y31" s="679">
        <f>IF(Y8=0,Valutazioni!$C$3,Y64)</f>
        <v>984.20000000000016</v>
      </c>
      <c r="Z31" s="679">
        <f>IF(Z8=0,Valutazioni!$C$3,Z64)</f>
        <v>694.98</v>
      </c>
      <c r="AA31" s="679">
        <f>IF(AA8=0,Valutazioni!$C$3,AA64)</f>
        <v>850.93</v>
      </c>
      <c r="AB31" s="679">
        <f>IF(AB8=0,Valutazioni!$C$3,AB64)</f>
        <v>875.03</v>
      </c>
      <c r="AC31" s="679">
        <f>IF(AC8=0,Valutazioni!$C$3,AC64)</f>
        <v>859.71</v>
      </c>
      <c r="AD31" s="679">
        <f>IF(AD8=0,Valutazioni!$C$3,AD64)</f>
        <v>1975.79</v>
      </c>
      <c r="AE31" s="679">
        <f>IF(AE8=0,Valutazioni!$C$3,AE64)</f>
        <v>979.2600000000001</v>
      </c>
      <c r="AF31" s="679">
        <f>IF(AF8=0,Valutazioni!$C$3,AF64)</f>
        <v>1075.6300000000001</v>
      </c>
      <c r="AG31" s="682">
        <f>IF(AG8=0,Valutazioni!$C$3,AG64)</f>
        <v>875.82</v>
      </c>
      <c r="AH31" s="681">
        <f>IF(AH8=0,Valutazioni!$C$3,AH64)</f>
        <v>1356.41</v>
      </c>
      <c r="AI31" s="679">
        <f>IF(AI8=0,Valutazioni!$C$3,AI64)</f>
        <v>1106.6200000000001</v>
      </c>
      <c r="AJ31" s="679">
        <f>IF(AJ8=0,Valutazioni!$C$3,AJ64)</f>
        <v>1434.6499999999999</v>
      </c>
      <c r="AK31" s="679">
        <f>IF(AK8=0,Valutazioni!$C$3,AK64)</f>
        <v>827.02999999999975</v>
      </c>
      <c r="AL31" s="679">
        <f>IF(AL8=0,Valutazioni!$C$3,AL64)</f>
        <v>1111.8400000000001</v>
      </c>
      <c r="AM31" s="679">
        <f>IF(AM8=0,Valutazioni!$C$3,AM64)</f>
        <v>1245</v>
      </c>
      <c r="AN31" s="679">
        <f>IF(AN8=0,Valutazioni!$C$3,AN64)</f>
        <v>1216.5000000000002</v>
      </c>
      <c r="AO31" s="679">
        <f>IF(AO8=0,Valutazioni!$C$3,AO64)</f>
        <v>1574.23</v>
      </c>
      <c r="AP31" s="679">
        <f>IF(AP8=0,Valutazioni!$C$3,AP64)</f>
        <v>1201.1499999999999</v>
      </c>
      <c r="AQ31" s="679">
        <f>IF(AQ8=0,Valutazioni!$C$3,AQ64)</f>
        <v>728.3900000000001</v>
      </c>
      <c r="AR31" s="679">
        <f>IF(AR8=0,Valutazioni!$C$3,AR64)</f>
        <v>835.53</v>
      </c>
      <c r="AS31" s="682">
        <f>IF(AS8=0,Valutazioni!$C$3,AS64)</f>
        <v>996.43999999999994</v>
      </c>
      <c r="AT31" s="681">
        <f>IF(AT8=0,Valutazioni!$C$3,AT64)</f>
        <v>1011.2500000000001</v>
      </c>
      <c r="AU31" s="679">
        <f>IF(AU8=0,Valutazioni!$C$3,AU64)</f>
        <v>1033.95</v>
      </c>
      <c r="AV31" s="679">
        <f>IF(AV8=0,Valutazioni!$C$3,AV64)</f>
        <v>1158.2099999999998</v>
      </c>
      <c r="AW31" s="679">
        <f>IF(AW8=0,Valutazioni!$C$3,AW64)</f>
        <v>978.69</v>
      </c>
      <c r="AX31" s="679">
        <f>IF(AX8=0,Valutazioni!$C$3,AX64)</f>
        <v>1048.9100000000001</v>
      </c>
      <c r="AY31" s="679">
        <f>IF(AY8=0,Valutazioni!$C$3,AY64)</f>
        <v>1035.0999999999999</v>
      </c>
      <c r="AZ31" s="679">
        <f>IF(AZ8=0,Valutazioni!$C$3,AZ64)</f>
        <v>1215.6500000000001</v>
      </c>
      <c r="BA31" s="679">
        <f>IF(BA8=0,Valutazioni!$C$3,BA64)</f>
        <v>1073.5</v>
      </c>
      <c r="BB31" s="679">
        <f>IF(BB8=0,Valutazioni!$C$3,BB64)</f>
        <v>1093.32</v>
      </c>
      <c r="BC31" s="679">
        <f>IF(BC8=0,Valutazioni!$C$3,BC64)</f>
        <v>1105.3700000000001</v>
      </c>
      <c r="BD31" s="679">
        <f>IF(BD8=0,Valutazioni!$C$3,BD64)</f>
        <v>845.95</v>
      </c>
      <c r="BE31" s="682">
        <f>IF(BE8=0,Valutazioni!$C$3,BE64)</f>
        <v>1185.33</v>
      </c>
      <c r="BF31" s="681">
        <f>IF(BF8=0,Valutazioni!$C$3,BF64)</f>
        <v>1180.26</v>
      </c>
      <c r="BG31" s="679">
        <f>IF(BG8=0,Valutazioni!$C$3,BG64)</f>
        <v>970.94999999999993</v>
      </c>
      <c r="BH31" s="683">
        <f>IF(BH8=0,Valutazioni!$C$3,BH64)</f>
        <v>1087.9800000000002</v>
      </c>
      <c r="BI31" s="679">
        <f>IF(BI8=0,Valutazioni!$C$3,BI64)</f>
        <v>1059.08</v>
      </c>
      <c r="BJ31" s="679">
        <f>IF(BJ8=0,Valutazioni!$C$3,BJ64)</f>
        <v>1212.3899999999999</v>
      </c>
      <c r="BK31" s="679">
        <f>IF(BK8=0,Valutazioni!$C$3,BK64)</f>
        <v>1294.3499999999999</v>
      </c>
      <c r="BL31" s="683">
        <f>IF(BL8=0,Valutazioni!$C$3,BL64)</f>
        <v>997.95999999999992</v>
      </c>
      <c r="BM31" s="679">
        <f>IF(BM8=0,Valutazioni!$C$3,BM64)</f>
        <v>1154.55</v>
      </c>
      <c r="BN31" s="679">
        <f>IF(BN8=0,Valutazioni!$C$3,BN64)</f>
        <v>2349.1999999999998</v>
      </c>
      <c r="BO31" s="684">
        <f>IF(BO8=0,Valutazioni!$C$3,BO64)</f>
        <v>1112.06</v>
      </c>
      <c r="BP31" s="679">
        <f>IF(BP8=0,Valutazioni!$C$3,BP64)</f>
        <v>1112.51</v>
      </c>
      <c r="BQ31" s="682">
        <f>IF(BQ8=0,Valutazioni!$C$3,BQ64)</f>
        <v>1469.3699999999994</v>
      </c>
      <c r="BR31" s="685">
        <f>IF(BR8=0,Valutazioni!$C$3,BR64)</f>
        <v>1888.2900000000002</v>
      </c>
      <c r="BS31" s="679">
        <f>IF(BS8=0,Valutazioni!$C$3,BS64)</f>
        <v>848.2399999999999</v>
      </c>
      <c r="BT31" s="679">
        <f>IF(BT8=0,Valutazioni!$C$3,BT64)</f>
        <v>1211.3699999999999</v>
      </c>
      <c r="BU31" s="684">
        <f>IF(BU8=0,Valutazioni!$C$3,BU64)</f>
        <v>974.55</v>
      </c>
      <c r="BV31" s="679">
        <f>IF(BV8=0,Valutazioni!$C$3,BV64)</f>
        <v>1148.4899999999996</v>
      </c>
      <c r="BW31" s="684">
        <f>IF(BW8=0,Valutazioni!$C$3,BW64)</f>
        <v>1294.1000000000001</v>
      </c>
      <c r="BX31" s="684">
        <f>IF(BX8=0,Valutazioni!$C$3,BX64)</f>
        <v>1318.0499999999997</v>
      </c>
      <c r="BY31" s="679">
        <f>IF(BY8=0,Valutazioni!$C$3,BY64)</f>
        <v>1356.54</v>
      </c>
      <c r="BZ31" s="679">
        <f>IF(BZ8=0,Valutazioni!$C$3,BZ64)</f>
        <v>1679.7599999999998</v>
      </c>
      <c r="CA31" s="679">
        <f>IF(CA8=0,Valutazioni!$C$3,CA64)</f>
        <v>1293.52</v>
      </c>
      <c r="CB31" s="679">
        <f>IF(CB8=0,Valutazioni!$C$3,CB64)</f>
        <v>1164.4000000000003</v>
      </c>
      <c r="CC31" s="682">
        <f>IF(CC8=0,Valutazioni!$C$3,CC64)</f>
        <v>1585.8200000000006</v>
      </c>
      <c r="CD31" s="681">
        <f>IF(CD8=0,Valutazioni!$C$3,CD64)</f>
        <v>1202.5500000000002</v>
      </c>
      <c r="CE31" s="239">
        <f>IF(CE8=0,Valutazioni!$C$3,CE64)</f>
        <v>806.81999999999994</v>
      </c>
      <c r="CF31" s="679">
        <f>IF(CF8=0,Valutazioni!$C$3,CF64)</f>
        <v>1459.5200000000002</v>
      </c>
      <c r="CG31" s="239">
        <f>IF(CG8=0,Valutazioni!$C$3,CG64)</f>
        <v>1036.1999999999998</v>
      </c>
      <c r="CH31" s="679">
        <f>IF(CH8=0,Valutazioni!$C$3,CH64)</f>
        <v>1525.91</v>
      </c>
      <c r="CI31" s="239">
        <f>IF(CI8=0,Valutazioni!$C$3,CI64)</f>
        <v>1184.57</v>
      </c>
      <c r="CJ31" s="679">
        <f>IF(CJ8=0,Valutazioni!$C$3,CJ64)</f>
        <v>1531.8600000000008</v>
      </c>
      <c r="CK31" s="239">
        <f>IF(CK8=0,Valutazioni!$C$3,CK64)</f>
        <v>2275.2380000000003</v>
      </c>
      <c r="CL31" s="679">
        <f>IF(CL8=0,Valutazioni!$C$3,CL64)</f>
        <v>2335.7000000000007</v>
      </c>
      <c r="CM31" s="239">
        <f>IF(CM8=0,Valutazioni!$C$3,CM64)</f>
        <v>1310.6199999999999</v>
      </c>
      <c r="CN31" s="679">
        <f>IF(CN8=0,Valutazioni!$C$3,CN64)</f>
        <v>1675.19</v>
      </c>
      <c r="CO31" s="679">
        <f>IF(CO8=0,Valutazioni!$C$3,CO64)</f>
        <v>1746.8299999999997</v>
      </c>
      <c r="CP31" s="681">
        <f>IF(CP8=0,Valutazioni!$C$3,CP64)</f>
        <v>1899.6300000000008</v>
      </c>
      <c r="CQ31" s="679">
        <f>IF(CQ8=0,Valutazioni!$C$3,CQ64)</f>
        <v>1171.6199999999999</v>
      </c>
      <c r="CR31" s="679">
        <f>IF(CR8=0,Valutazioni!$C$3,CR64)</f>
        <v>1484.4979999999996</v>
      </c>
      <c r="CS31" s="686">
        <f>IF(CS8=0,$B$67*(1+$B$68),(CS64-CS63)+Valutazioni!$I$3)</f>
        <v>1231.0279999999998</v>
      </c>
      <c r="CT31" s="686">
        <f>IF(CT8=0,$B$67*(1+$B$68),CT64+Valutazioni!$I$3)</f>
        <v>1100</v>
      </c>
      <c r="CU31" s="686">
        <f>IF(CU8=0,$B$67*(1+$B$68),CU64+Valutazioni!$I$3)</f>
        <v>1100</v>
      </c>
      <c r="CV31" s="686">
        <f>IF(CV8=0,$B$67*(1+$B$68),CV64+Valutazioni!$I$3)</f>
        <v>1100</v>
      </c>
      <c r="CW31" s="686">
        <f>IF(CW8=0,$B$67*(1+$B$68),CW64+Valutazioni!$I$3)</f>
        <v>1100</v>
      </c>
      <c r="CX31" s="686">
        <f>IF(CX8=0,$B$67*(1+$B$68),CX64+Valutazioni!$I$3)</f>
        <v>1100</v>
      </c>
      <c r="CY31" s="686">
        <f>IF(CY8=0,$B$67*(1+$B$68),CY64+Valutazioni!$I$3)</f>
        <v>1100</v>
      </c>
      <c r="CZ31" s="686">
        <f>IF(CZ8=0,$B$67*(1+$B$68),CZ64+Valutazioni!$I$3)</f>
        <v>1100</v>
      </c>
      <c r="DA31" s="687">
        <f>IF(DA8=0,$B$67*(1+$B$68),DA64+Valutazioni!$I$3)</f>
        <v>1100</v>
      </c>
      <c r="DB31" s="959">
        <f>IF(DB8=0,$B$67*(1+$B$68),DB64+Valutazioni!$I$3)</f>
        <v>1100</v>
      </c>
      <c r="DC31" s="686">
        <f>IF(DC8=0,$B$67*(1+$B$68),DC64+Valutazioni!$I$3)</f>
        <v>1100</v>
      </c>
      <c r="DD31" s="686">
        <f>IF(DD8=0,$B$67*(1+$B$68),DD64+Valutazioni!$I$3)</f>
        <v>1100</v>
      </c>
      <c r="DE31" s="686">
        <f>IF(DE8=0,$B$67*(1+$B$68),DE64+Valutazioni!$I$3)</f>
        <v>1100</v>
      </c>
      <c r="DF31" s="686">
        <f>IF(DF8=0,$B$67*(1+$B$68),DF64+Valutazioni!$I$3)</f>
        <v>1100</v>
      </c>
      <c r="DG31" s="686">
        <f>IF(DG8=0,$B$67*(1+$B$68),DG64+Valutazioni!$I$3)</f>
        <v>1100</v>
      </c>
      <c r="DH31" s="686">
        <f>IF(DH8=0,$B$67*(1+$B$68),DH64+Valutazioni!$I$3)</f>
        <v>1100</v>
      </c>
      <c r="DI31" s="686">
        <f>IF(DI8=0,$B$67*(1+$B$68),DI64+Valutazioni!$I$3)</f>
        <v>1100</v>
      </c>
      <c r="DJ31" s="686">
        <f>IF(DJ8=0,$B$67*(1+$B$68),DJ64+Valutazioni!$I$3)</f>
        <v>1100</v>
      </c>
      <c r="DK31" s="686">
        <f>IF(DK8=0,$B$67*(1+$B$68),DK64+Valutazioni!$I$3)</f>
        <v>1100</v>
      </c>
      <c r="DL31" s="686">
        <f>IF(DL8=0,$B$67*(1+$B$68),DL64+Valutazioni!$I$3)</f>
        <v>1100</v>
      </c>
      <c r="DM31" s="687">
        <f>IF(DM8=0,$B$67*(1+$B$68),DM64+Valutazioni!$I$3)</f>
        <v>1100</v>
      </c>
      <c r="DN31" s="959">
        <f>IF(DN8=0,$B$67*(1+$B$68),DN64+Valutazioni!$I$3)</f>
        <v>1100</v>
      </c>
      <c r="DO31" s="686">
        <f>IF(DO8=0,$B$67*(1+$B$68),DO64+Valutazioni!$I$3)</f>
        <v>1100</v>
      </c>
      <c r="DP31" s="686">
        <f>IF(DP8=0,$B$67*(1+$B$68),DP64+Valutazioni!$I$3)</f>
        <v>1100</v>
      </c>
      <c r="DQ31" s="686">
        <f>IF(DQ8=0,$B$67*(1+$B$68),DQ64+Valutazioni!$I$3)</f>
        <v>1100</v>
      </c>
      <c r="DR31" s="686">
        <f>IF(DR8=0,$B$67*(1+$B$68),DR64+Valutazioni!$I$3)</f>
        <v>1100</v>
      </c>
      <c r="DS31" s="686">
        <f>IF(DS8=0,$B$67*(1+$B$68),DS64+Valutazioni!$I$3)</f>
        <v>1100</v>
      </c>
      <c r="DT31" s="686">
        <f>IF(DT8=0,$B$67*(1+$B$68),DT64+Valutazioni!$I$3)</f>
        <v>1100</v>
      </c>
      <c r="DU31" s="686">
        <f>IF(DU8=0,$B$67*(1+$B$68),DU64+Valutazioni!$I$3)</f>
        <v>1100</v>
      </c>
      <c r="DV31" s="686">
        <f>IF(DV8=0,$B$67*(1+$B$68),DV64+Valutazioni!$I$3)</f>
        <v>1100</v>
      </c>
      <c r="DW31" s="686">
        <f>IF(DW8=0,$B$67*(1+$B$68),DW64+Valutazioni!$I$3)</f>
        <v>1100</v>
      </c>
      <c r="DX31" s="686">
        <f>IF(DX8=0,$B$67*(1+$B$68),DX64+Valutazioni!$I$3)</f>
        <v>1100</v>
      </c>
      <c r="DY31" s="687">
        <f>IF(DY8=0,$B$67*(1+$B$68),DY64+Valutazioni!$I$3)</f>
        <v>1100</v>
      </c>
      <c r="DZ31" s="959">
        <f>IF(DZ8=0,$B$67*(1+$B$68),DZ64+Valutazioni!$I$3)</f>
        <v>1100</v>
      </c>
      <c r="EA31" s="686">
        <f>IF(EA8=0,$B$67*(1+$B$68),EA64+Valutazioni!$I$3)</f>
        <v>1100</v>
      </c>
      <c r="EB31" s="686">
        <f>IF(EB8=0,$B$67*(1+$B$68),EB64+Valutazioni!$I$3)</f>
        <v>1100</v>
      </c>
      <c r="EC31" s="686">
        <f>IF(EC8=0,$B$67*(1+$B$68),EC64+Valutazioni!$I$3)</f>
        <v>1100</v>
      </c>
      <c r="ED31" s="686">
        <f>IF(ED8=0,$B$67*(1+$B$68),ED64+Valutazioni!$I$3)</f>
        <v>1100</v>
      </c>
      <c r="EE31" s="686">
        <f>IF(EE8=0,$B$67*(1+$B$68),EE64+Valutazioni!$I$3)</f>
        <v>1100</v>
      </c>
      <c r="EF31" s="686">
        <f>IF(EF8=0,$B$67*(1+$B$68),EF64+Valutazioni!$I$3)</f>
        <v>1100</v>
      </c>
      <c r="EG31" s="686">
        <f>IF(EG8=0,$B$67*(1+$B$68),EG64+Valutazioni!$I$3)</f>
        <v>1100</v>
      </c>
      <c r="EH31" s="686">
        <f>IF(EH8=0,$B$67*(1+$B$68),EH64+Valutazioni!$I$3)</f>
        <v>1100</v>
      </c>
      <c r="EI31" s="686">
        <f>IF(EI8=0,$B$67*(1+$B$68),EI64+Valutazioni!$I$3)</f>
        <v>1100</v>
      </c>
      <c r="EJ31" s="686">
        <f>IF(EJ8=0,$B$67*(1+$B$68),EJ64+Valutazioni!$I$3)</f>
        <v>1100</v>
      </c>
      <c r="EK31" s="687">
        <f>IF(EK8=0,$B$67*(1+$B$68),EK64+Valutazioni!$I$3)</f>
        <v>1100</v>
      </c>
      <c r="EL31" s="959">
        <f>IF(EL8=0,$B$67*(1+$B$68),EL64+Valutazioni!$I$3)</f>
        <v>1100</v>
      </c>
      <c r="EM31" s="686">
        <f>IF(EM8=0,$B$67*(1+$B$68),EM64+Valutazioni!$I$3)</f>
        <v>1100</v>
      </c>
      <c r="EN31" s="686">
        <f>IF(EN8=0,$B$67*(1+$B$68),EN64+Valutazioni!$I$3)</f>
        <v>1100</v>
      </c>
      <c r="EO31" s="686">
        <f>IF(EO8=0,$B$67*(1+$B$68),EO64+Valutazioni!$I$3)</f>
        <v>1100</v>
      </c>
      <c r="EP31" s="686">
        <f>IF(EP8=0,$B$67*(1+$B$68),EP64+Valutazioni!$I$3)</f>
        <v>1100</v>
      </c>
      <c r="EQ31" s="686">
        <f>IF(EQ8=0,$B$67*(1+$B$68),EQ64+Valutazioni!$I$3)</f>
        <v>1100</v>
      </c>
      <c r="ER31" s="686">
        <f>IF(ER8=0,$B$67*(1+$B$68),ER64+Valutazioni!$I$3)</f>
        <v>1100</v>
      </c>
      <c r="ES31" s="686">
        <f>IF(ES8=0,$B$67*(1+$B$68),ES64+Valutazioni!$I$3)</f>
        <v>1100</v>
      </c>
      <c r="ET31" s="686">
        <f>IF(ET8=0,$B$67*(1+$B$68),ET64+Valutazioni!$I$3)</f>
        <v>1100</v>
      </c>
      <c r="EU31" s="686">
        <f>IF(EU8=0,$B$67*(1+$B$68),EU64+Valutazioni!$I$3)</f>
        <v>1100</v>
      </c>
      <c r="EV31" s="686">
        <f>IF(EV8=0,$B$67*(1+$B$68),EV64+Valutazioni!$I$3)</f>
        <v>1100</v>
      </c>
      <c r="EW31" s="687">
        <f>IF(EW8=0,$B$67*(1+$B$68),EW64+Valutazioni!$I$3)</f>
        <v>1100</v>
      </c>
      <c r="EX31" s="959">
        <f>IF(EX8=0,$B$67*(1+$B$68),EX64+Valutazioni!$I$3)</f>
        <v>1100</v>
      </c>
      <c r="EY31" s="686">
        <f>IF(EY8=0,$B$67*(1+$B$68),EY64+Valutazioni!$I$3)</f>
        <v>1100</v>
      </c>
      <c r="EZ31" s="686">
        <f>IF(EZ8=0,$B$67*(1+$B$68),EZ64+Valutazioni!$I$3)</f>
        <v>1100</v>
      </c>
      <c r="FA31" s="686">
        <f>IF(FA8=0,$B$67*(1+$B$68),FA64+Valutazioni!$I$3)</f>
        <v>1100</v>
      </c>
      <c r="FB31" s="686">
        <f>IF(FB8=0,$B$67*(1+$B$68),FB64+Valutazioni!$I$3)</f>
        <v>1100</v>
      </c>
      <c r="FC31" s="686">
        <f>IF(FC8=0,$B$67*(1+$B$68),FC64+Valutazioni!$I$3)</f>
        <v>1100</v>
      </c>
      <c r="FD31" s="686">
        <f>IF(FD8=0,$B$67*(1+$B$68),FD64+Valutazioni!$I$3)</f>
        <v>1100</v>
      </c>
      <c r="FE31" s="686">
        <f>IF(FE8=0,$B$67*(1+$B$68),FE64+Valutazioni!$I$3)</f>
        <v>1100</v>
      </c>
      <c r="FF31" s="686">
        <f>IF(FF8=0,$B$67*(1+$B$68),FF64+Valutazioni!$I$3)</f>
        <v>1100</v>
      </c>
      <c r="FG31" s="686">
        <f>IF(FG8=0,$B$67*(1+$B$68),FG64+Valutazioni!$I$3)</f>
        <v>1100</v>
      </c>
      <c r="FH31" s="686">
        <f>IF(FH8=0,$B$67*(1+$B$68),FH64+Valutazioni!$I$3)</f>
        <v>1100</v>
      </c>
      <c r="FI31" s="687">
        <f>IF(FI8=0,$B$67*(1+$B$68),FI64+Valutazioni!$I$3)</f>
        <v>1100</v>
      </c>
      <c r="FJ31" s="959">
        <f>IF(FJ8=0,$B$67*(1+$B$68),FJ64+Valutazioni!$I$3)</f>
        <v>1100</v>
      </c>
      <c r="FK31" s="686">
        <f>IF(FK8=0,$B$67*(1+$B$68),FK64+Valutazioni!$I$3)</f>
        <v>1100</v>
      </c>
      <c r="FL31" s="686">
        <f>IF(FL8=0,$B$67*(1+$B$68),FL64+Valutazioni!$I$3)</f>
        <v>1100</v>
      </c>
      <c r="FM31" s="686">
        <f>IF(FM8=0,$B$67*(1+$B$68),FM64+Valutazioni!$I$3)</f>
        <v>1100</v>
      </c>
      <c r="FN31" s="686">
        <f>IF(FN8=0,$B$67*(1+$B$68),FN64+Valutazioni!$I$3)</f>
        <v>1100</v>
      </c>
      <c r="FO31" s="686">
        <f>IF(FO8=0,$B$67*(1+$B$68),FO64+Valutazioni!$I$3)</f>
        <v>1100</v>
      </c>
      <c r="FP31" s="686">
        <f>IF(FP8=0,$B$67*(1+$B$68),FP64+Valutazioni!$I$3)</f>
        <v>1100</v>
      </c>
      <c r="FQ31" s="686">
        <f>IF(FQ8=0,$B$67*(1+$B$68),FQ64+Valutazioni!$I$3)</f>
        <v>1100</v>
      </c>
      <c r="FR31" s="686">
        <f>IF(FR8=0,$B$67*(1+$B$68),FR64+Valutazioni!$I$3)</f>
        <v>1100</v>
      </c>
      <c r="FS31" s="686">
        <f>IF(FS8=0,$B$67*(1+$B$68),FS64+Valutazioni!$I$3)</f>
        <v>1100</v>
      </c>
      <c r="FT31" s="686">
        <f>IF(FT8=0,$B$67*(1+$B$68),FT64+Valutazioni!$I$3)</f>
        <v>1100</v>
      </c>
      <c r="FU31" s="687">
        <f>IF(FU8=0,$B$67*(1+$B$68),FU64+Valutazioni!$I$3)</f>
        <v>1100</v>
      </c>
      <c r="FV31" s="959">
        <f>IF(FV8=0,$B$67*(1+$B$68),FV64+Valutazioni!$I$3)</f>
        <v>1100</v>
      </c>
      <c r="FW31" s="686">
        <f>IF(FW8=0,$B$67*(1+$B$68),FW64+Valutazioni!$I$3)</f>
        <v>1100</v>
      </c>
      <c r="FX31" s="686">
        <f>IF(FX8=0,$B$67*(1+$B$68),FX64+Valutazioni!$I$3)</f>
        <v>1100</v>
      </c>
      <c r="FY31" s="686">
        <f>IF(FY8=0,$B$67*(1+$B$68),FY64+Valutazioni!$I$3)</f>
        <v>1100</v>
      </c>
      <c r="FZ31" s="686">
        <f>IF(FZ8=0,$B$67*(1+$B$68),FZ64+Valutazioni!$I$3)</f>
        <v>1100</v>
      </c>
      <c r="GA31" s="686">
        <f>IF(GA8=0,$B$67*(1+$B$68),GA64+Valutazioni!$I$3)</f>
        <v>1100</v>
      </c>
      <c r="GB31" s="686">
        <f>IF(GB8=0,$B$67*(1+$B$68),GB64+Valutazioni!$I$3)</f>
        <v>1100</v>
      </c>
      <c r="GC31" s="686">
        <f>IF(GC8=0,$B$67*(1+$B$68),GC64+Valutazioni!$I$3)</f>
        <v>1100</v>
      </c>
      <c r="GD31" s="686">
        <f>IF(GD8=0,$B$67*(1+$B$68),GD64+Valutazioni!$I$3)</f>
        <v>1100</v>
      </c>
      <c r="GE31" s="686">
        <f>IF(GE8=0,$B$67*(1+$B$68),GE64+Valutazioni!$I$3)</f>
        <v>1100</v>
      </c>
      <c r="GF31" s="686">
        <f>IF(GF8=0,$B$67*(1+$B$68),GF64+Valutazioni!$I$3)</f>
        <v>1100</v>
      </c>
      <c r="GG31" s="687">
        <f>IF(GG8=0,$B$67*(1+$B$68),GG64+Valutazioni!$I$3)</f>
        <v>1100</v>
      </c>
      <c r="GH31" s="959">
        <f>IF(GH8=0,$B$67*(1+$B$68),GH64+Valutazioni!$I$3)</f>
        <v>1100</v>
      </c>
      <c r="GI31" s="686">
        <f>IF(GI8=0,$B$67*(1+$B$68),GI64+Valutazioni!$I$3)</f>
        <v>1100</v>
      </c>
      <c r="GJ31" s="686">
        <f>IF(GJ8=0,$B$67*(1+$B$68),GJ64+Valutazioni!$I$3)</f>
        <v>1100</v>
      </c>
      <c r="GK31" s="686">
        <f>IF(GK8=0,$B$67*(1+$B$68),GK64+Valutazioni!$I$3)</f>
        <v>1100</v>
      </c>
      <c r="GL31" s="686">
        <f>IF(GL8=0,$B$67*(1+$B$68),GL64+Valutazioni!$I$3)</f>
        <v>1100</v>
      </c>
      <c r="GM31" s="686">
        <f>IF(GM8=0,$B$67*(1+$B$68),GM64+Valutazioni!$I$3)</f>
        <v>1100</v>
      </c>
      <c r="GN31" s="686">
        <f>IF(GN8=0,$B$67*(1+$B$68),GN64+Valutazioni!$I$3)</f>
        <v>1100</v>
      </c>
      <c r="GO31" s="686">
        <f>IF(GO8=0,$B$67*(1+$B$68),GO64+Valutazioni!$I$3)</f>
        <v>1100</v>
      </c>
      <c r="GP31" s="686">
        <f>IF(GP8=0,$B$67*(1+$B$68),GP64+Valutazioni!$I$3)</f>
        <v>1100</v>
      </c>
      <c r="GQ31" s="686">
        <f>IF(GQ8=0,$B$67*(1+$B$68),GQ64+Valutazioni!$I$3)</f>
        <v>1100</v>
      </c>
      <c r="GR31" s="686">
        <f>IF(GR8=0,$B$67*(1+$B$68),GR64+Valutazioni!$I$3)</f>
        <v>1100</v>
      </c>
      <c r="GS31" s="687">
        <f>IF(GS8=0,$B$67*(1+$B$68),GS64+Valutazioni!$I$3)</f>
        <v>1100</v>
      </c>
      <c r="GT31" s="1154">
        <f>IF(GT8=0,$B$67*(1+$B$68),GT64+Valutazioni!$I$3)</f>
        <v>1100</v>
      </c>
    </row>
    <row r="32" spans="1:202" s="640" customFormat="1" ht="20.25" customHeight="1" x14ac:dyDescent="0.25">
      <c r="B32" s="137" t="s">
        <v>1239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54">
        <f t="shared" si="457"/>
        <v>5859.0007915640654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-79.598333333332604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488.25006596367211</v>
      </c>
      <c r="R32" s="362"/>
      <c r="S32" s="1130">
        <f>S14-(S27+IF(S31&gt;0,S31,Valutazioni!$C$3)-S28)</f>
        <v>7851.23</v>
      </c>
      <c r="T32" s="1131">
        <f>T14-(T27+IF(T31&gt;0,T31,Valutazioni!$C$3)-T28)</f>
        <v>8195.7999999999993</v>
      </c>
      <c r="U32" s="1132">
        <f>U14-(U27+IF(U31&gt;0,U31,Valutazioni!$C$3)-U30)</f>
        <v>11552.48</v>
      </c>
      <c r="V32" s="1130">
        <f>V14-(V27+IF(V31&gt;0,V31,Valutazioni!$C$3)-V30)</f>
        <v>11541.369999999999</v>
      </c>
      <c r="W32" s="1131">
        <f>W14-(W27+IF(W31&gt;0,W31,Valutazioni!$C$3)-W30)</f>
        <v>11543.579999999998</v>
      </c>
      <c r="X32" s="1131">
        <f>X14-(X27+IF(X31&gt;0,X31,Valutazioni!$C$3)-X30)</f>
        <v>11517.649999999998</v>
      </c>
      <c r="Y32" s="1131">
        <f>Y14-(Y27+IF(Y31&gt;0,Y31,Valutazioni!$C$3)-Y30)</f>
        <v>11874.519999999997</v>
      </c>
      <c r="Z32" s="1131">
        <f>Z14-(Z27+IF(Z31&gt;0,Z31,Valutazioni!$C$3)-Z30)</f>
        <v>12417.519999999997</v>
      </c>
      <c r="AA32" s="1131">
        <f>AA14-(AA27+IF(AA31&gt;0,AA31,Valutazioni!$C$3)-AA30)</f>
        <v>12636.559999999998</v>
      </c>
      <c r="AB32" s="1131">
        <f>AB14-(AB27+IF(AB31&gt;0,AB31,Valutazioni!$C$3)-AB30)</f>
        <v>13224.529999999997</v>
      </c>
      <c r="AC32" s="1131">
        <f>AC14-(AC27+IF(AC31&gt;0,AC31,Valutazioni!$C$3)-AC30)</f>
        <v>13228.389999999998</v>
      </c>
      <c r="AD32" s="1131">
        <f>AD14-(AD27+IF(AD31&gt;0,AD31,Valutazioni!$C$3)-AD30)</f>
        <v>12707.639999999998</v>
      </c>
      <c r="AE32" s="1131">
        <f>AE14-(AE27+IF(AE31&gt;0,AE31,Valutazioni!$C$3)-AE30)</f>
        <v>12629.769999999997</v>
      </c>
      <c r="AF32" s="1131">
        <f>AF14-(AF27+IF(AF31&gt;0,AF31,Valutazioni!$C$3)-AF30)</f>
        <v>1559.4499999999971</v>
      </c>
      <c r="AG32" s="1132">
        <f>AG14-(AG27+IF(AG31&gt;0,AG31,Valutazioni!$C$3)-AG30)</f>
        <v>2224.5099999999966</v>
      </c>
      <c r="AH32" s="1130">
        <f>AH14-(AH27+IF(AH31&gt;0,AH31,Valutazioni!$C$3)-AH30)</f>
        <v>1843.8699999999963</v>
      </c>
      <c r="AI32" s="1131">
        <f>AI14-(AI27+IF(AI31&gt;0,AI31,Valutazioni!$C$3)-AI30)</f>
        <v>3684.5199999999959</v>
      </c>
      <c r="AJ32" s="1131">
        <f>AJ14-(AJ27+IF(AJ31&gt;0,AJ31,Valutazioni!$C$3)-AJ30)</f>
        <v>882.47999999999683</v>
      </c>
      <c r="AK32" s="1131">
        <f>AK14-(AK27+IF(AK31&gt;0,AK31,Valutazioni!$C$3)-AK30)</f>
        <v>1203.769999999997</v>
      </c>
      <c r="AL32" s="1131">
        <f>AL14-(AL27+IF(AL31&gt;0,AL31,Valutazioni!$C$3)-AL30)</f>
        <v>1394.4199999999967</v>
      </c>
      <c r="AM32" s="1131">
        <f>AM14-(AM27+IF(AM31&gt;0,AM31,Valutazioni!$C$3)-AM30)</f>
        <v>1366.5399999999963</v>
      </c>
      <c r="AN32" s="1131">
        <f>AN14-(AN27+IF(AN31&gt;0,AN31,Valutazioni!$C$3)-AN30)</f>
        <v>5941.1799999999957</v>
      </c>
      <c r="AO32" s="1131">
        <f>AO14-(AO27+IF(AO31&gt;0,AO31,Valutazioni!$C$3)-AO30)</f>
        <v>4125.6699999999964</v>
      </c>
      <c r="AP32" s="1131">
        <f>AP14-(AP27+IF(AP31&gt;0,AP31,Valutazioni!$C$3)-AP30)</f>
        <v>3502.8099999999968</v>
      </c>
      <c r="AQ32" s="1131">
        <f>AQ14-(AQ27+IF(AQ31&gt;0,AQ31,Valutazioni!$C$3)-AQ30)</f>
        <v>3155.3399999999965</v>
      </c>
      <c r="AR32" s="1131">
        <f>AR14-(AR27+IF(AR31&gt;0,AR31,Valutazioni!$C$3)-AR30)</f>
        <v>3050.5299999999966</v>
      </c>
      <c r="AS32" s="1132">
        <f>AS14-(AS27+IF(AS31&gt;0,AS31,Valutazioni!$C$3)-AS30)</f>
        <v>4838.6099999999969</v>
      </c>
      <c r="AT32" s="1130">
        <f>AT14-(AT27+IF(AT31&gt;0,AT31,Valutazioni!$C$3)-AT30)</f>
        <v>17167.149999999998</v>
      </c>
      <c r="AU32" s="1131">
        <f>AU14-(AU27+IF(AU31&gt;0,AU31,Valutazioni!$C$3)-AU30)</f>
        <v>2534.41</v>
      </c>
      <c r="AV32" s="1131">
        <f>AV14-(AV27+IF(AV31&gt;0,AV31,Valutazioni!$C$3)-AV30)</f>
        <v>3121.67</v>
      </c>
      <c r="AW32" s="1131">
        <f>AW14-(AW27+IF(AW31&gt;0,AW31,Valutazioni!$C$3)-AW30)</f>
        <v>20882.830000000002</v>
      </c>
      <c r="AX32" s="1131">
        <f>AX14-(AX27+IF(AX31&gt;0,AX31,Valutazioni!$C$3)-AX30)</f>
        <v>20604.54</v>
      </c>
      <c r="AY32" s="1131">
        <f>AY14-(AY27+IF(AY31&gt;0,AY31,Valutazioni!$C$3)-AY30)</f>
        <v>20634.57</v>
      </c>
      <c r="AZ32" s="1131">
        <f>AZ14-(AZ27+IF(AZ31&gt;0,AZ31,Valutazioni!$C$3)-AZ30)</f>
        <v>20065.32</v>
      </c>
      <c r="BA32" s="1131">
        <f>BA14-(BA27+IF(BA31&gt;0,BA31,Valutazioni!$C$3)-BA30)</f>
        <v>20213.27</v>
      </c>
      <c r="BB32" s="1131">
        <f>BB14-(BB27+IF(BB31&gt;0,BB31,Valutazioni!$C$3)-BB30)</f>
        <v>1128.0699999999997</v>
      </c>
      <c r="BC32" s="1131">
        <f>BC14-(BC27+IF(BC31&gt;0,BC31,Valutazioni!$C$3)-BC30)</f>
        <v>1094.2699999999995</v>
      </c>
      <c r="BD32" s="1131">
        <f>BD14-(BD27+IF(BD31&gt;0,BD31,Valutazioni!$C$3)-BD30)</f>
        <v>1161.3299999999995</v>
      </c>
      <c r="BE32" s="1132">
        <f>BE14-(BE27+IF(BE31&gt;0,BE31,Valutazioni!$C$3)-BE30)</f>
        <v>3883.4299999999994</v>
      </c>
      <c r="BF32" s="1130">
        <f>BF14-(BF27+IF(BF31&gt;0,BF31,Valutazioni!$C$3)-BF30)</f>
        <v>3226.3999999999996</v>
      </c>
      <c r="BG32" s="1131">
        <f>BG14-(BG27+IF(BG31&gt;0,BG31,Valutazioni!$C$3)-BG30)</f>
        <v>3271.6299999999997</v>
      </c>
      <c r="BH32" s="1131">
        <f>BH14-(BH27+IF(BH31&gt;0,BH31,Valutazioni!$C$3)-BH30)</f>
        <v>3117.9299999999989</v>
      </c>
      <c r="BI32" s="1131">
        <f>BI14-(BI27+IF(BI31&gt;0,BI31,Valutazioni!$C$3)-BI30)</f>
        <v>3071.7999999999984</v>
      </c>
      <c r="BJ32" s="1131">
        <f>BJ14-(BJ27+IF(BJ31&gt;0,BJ31,Valutazioni!$C$3)-BJ30)</f>
        <v>2873.8999999999987</v>
      </c>
      <c r="BK32" s="1131">
        <f>BK14-(BK27+IF(BK31&gt;0,BK31,Valutazioni!$C$3)-BK30)</f>
        <v>2571.9299999999985</v>
      </c>
      <c r="BL32" s="1131">
        <f>BL14-(BL27+IF(BL31&gt;0,BL31,Valutazioni!$C$3)-BL30)</f>
        <v>2751.3699999999985</v>
      </c>
      <c r="BM32" s="1131">
        <f>BM14-(BM27+IF(BM31&gt;0,BM31,Valutazioni!$C$3)-BM30)</f>
        <v>2194.3199999999993</v>
      </c>
      <c r="BN32" s="1131">
        <f>BN14-(BN27+IF(BN31&gt;0,BN31,Valutazioni!$C$3)-BN30)</f>
        <v>1700.2799999999997</v>
      </c>
      <c r="BO32" s="1131">
        <f>BO14-(BO27+IF(BO31&gt;0,BO31,Valutazioni!$C$3)-BO30)</f>
        <v>1654.12</v>
      </c>
      <c r="BP32" s="1131">
        <f>BP14-(BP27+IF(BP31&gt;0,BP31,Valutazioni!$C$3)-BP30)</f>
        <v>1489.0699999999997</v>
      </c>
      <c r="BQ32" s="1132">
        <f>BQ14-(BQ27+IF(BQ31&gt;0,BQ31,Valutazioni!$C$3)-BQ30)</f>
        <v>3214.4500000000003</v>
      </c>
      <c r="BR32" s="1130">
        <f>BR14-(BR27+IF(BR31&gt;0,BR31,Valutazioni!$C$3)-BR30)</f>
        <v>2849.4200000000005</v>
      </c>
      <c r="BS32" s="1131">
        <f>BS14-(BS27+IF(BS31&gt;0,BS31,Valutazioni!$C$3)-BS30)</f>
        <v>2754.95</v>
      </c>
      <c r="BT32" s="1131">
        <f>BT14-(BT27+IF(BT31&gt;0,BT31,Valutazioni!$C$3)-BT30)</f>
        <v>5906.15</v>
      </c>
      <c r="BU32" s="1131">
        <f>BU14-(BU27+IF(BU31&gt;0,BU31,Valutazioni!$C$3)-BU30)</f>
        <v>5970.15</v>
      </c>
      <c r="BV32" s="1131">
        <f>BV14-(BV27+IF(BV31&gt;0,BV31,Valutazioni!$C$3)-BV30)</f>
        <v>5908.9</v>
      </c>
      <c r="BW32" s="1131">
        <f>BW14-(BW27+IF(BW31&gt;0,BW31,Valutazioni!$C$3)-BW30)</f>
        <v>5520.5599999999995</v>
      </c>
      <c r="BX32" s="1131">
        <f>BX14-(BX27+IF(BX31&gt;0,BX31,Valutazioni!$C$3)-BX30)</f>
        <v>5590.37</v>
      </c>
      <c r="BY32" s="1131">
        <f>BY14-(BY27+IF(BY31&gt;0,BY31,Valutazioni!$C$3)-BY30)</f>
        <v>5403.21</v>
      </c>
      <c r="BZ32" s="1131">
        <f>BZ14-(BZ27+IF(BZ31&gt;0,BZ31,Valutazioni!$C$3)-BZ30)</f>
        <v>5004.3500000000004</v>
      </c>
      <c r="CA32" s="1131">
        <f>CA14-(CA27+IF(CA31&gt;0,CA31,Valutazioni!$C$3)-CA30)</f>
        <v>8062.55</v>
      </c>
      <c r="CB32" s="1131">
        <f>CB14-(CB27+IF(CB31&gt;0,CB31,Valutazioni!$C$3)-CB30)</f>
        <v>6638.329999999999</v>
      </c>
      <c r="CC32" s="1132">
        <f>CC14-(CC27+IF(CC31&gt;0,CC31,Valutazioni!$C$3)-CC30)</f>
        <v>8487.159999999998</v>
      </c>
      <c r="CD32" s="1130">
        <f>CD14-(CD27+IF(CD31&gt;0,CD31,Valutazioni!$C$3)-CD30)</f>
        <v>8547.0499999999975</v>
      </c>
      <c r="CE32" s="1131">
        <f>CE14-(CE27+IF(CE31&gt;0,CE31,Valutazioni!$C$3)-CE30)</f>
        <v>8673.3199999999979</v>
      </c>
      <c r="CF32" s="1131">
        <f>CF14-(CF27+IF(CF31&gt;0,CF31,Valutazioni!$C$3)-CF30)</f>
        <v>11338.679999999997</v>
      </c>
      <c r="CG32" s="1131">
        <f>CG14-(CG27+IF(CG31&gt;0,CG31,Valutazioni!$C$3)-CG30)</f>
        <v>11272.169999999996</v>
      </c>
      <c r="CH32" s="1131">
        <f>CH14-(CH27+IF(CH31&gt;0,CH31,Valutazioni!$C$3)-CH30)</f>
        <v>11159.409999999996</v>
      </c>
      <c r="CI32" s="1131">
        <f>CI14-(CI27+IF(CI31&gt;0,CI31,Valutazioni!$C$3)-CI30)</f>
        <v>11206.049999999996</v>
      </c>
      <c r="CJ32" s="1131">
        <f>CJ14-(CJ27+IF(CJ31&gt;0,CJ31,Valutazioni!$C$3)-CJ30)</f>
        <v>11116.089999999995</v>
      </c>
      <c r="CK32" s="1131">
        <f>CK14-(CK27+IF(CK31&gt;0,CK31,Valutazioni!$C$3)-CK30)</f>
        <v>10905.101999999995</v>
      </c>
      <c r="CL32" s="1131">
        <f>CL14-(CL27+IF(CL31&gt;0,CL31,Valutazioni!$C$3)-CL30)</f>
        <v>10226.301999999994</v>
      </c>
      <c r="CM32" s="1131">
        <f>CM14-(CM27+IF(CM31&gt;0,CM31,Valutazioni!$C$3)-CM30)</f>
        <v>10230.011999999995</v>
      </c>
      <c r="CN32" s="1131">
        <f>CN14-(CN27+IF(CN31&gt;0,CN31,Valutazioni!$C$3)-CN30)</f>
        <v>10230.741999999995</v>
      </c>
      <c r="CO32" s="1132">
        <f>CO14-(CO27+IF(CO31&gt;0,CO31,Valutazioni!$C$3)-CO30)</f>
        <v>11614.741999999995</v>
      </c>
      <c r="CP32" s="1130">
        <f>CP14-(CP27+IF(CP31&gt;0,CP31,Valutazioni!$C$3)-CP30)</f>
        <v>11338.621999999994</v>
      </c>
      <c r="CQ32" s="1131">
        <f>CQ14-(CQ27+IF(CQ31&gt;0,CQ31,Valutazioni!$C$3)-CQ30)</f>
        <v>11429.191999999994</v>
      </c>
      <c r="CR32" s="1131">
        <f>CR14-(CR27+IF(CR31&gt;0,CR31,Valutazioni!$C$3)-CR30)</f>
        <v>11259.723999999995</v>
      </c>
      <c r="CS32" s="1131">
        <f>CS14-(CS27+IF(CS31&gt;0,CS31,Valutazioni!$C$3)-CS30)</f>
        <v>13913.504718132554</v>
      </c>
      <c r="CT32" s="1131">
        <f>CT14-(CT27+IF(CT31&gt;0,CT31,Valutazioni!$C$3)-CT30)</f>
        <v>13913.804718132553</v>
      </c>
      <c r="CU32" s="1131">
        <f>CU14-(CU27+IF(CU31&gt;0,CU31,Valutazioni!$C$3)-CU30)</f>
        <v>13681.211114843583</v>
      </c>
      <c r="CV32" s="1131">
        <f>CV14-(CV27+IF(CV31&gt;0,CV31,Valutazioni!$C$3)-CV30)</f>
        <v>13914.111114843583</v>
      </c>
      <c r="CW32" s="1131">
        <f>CW14-(CW27+IF(CW31&gt;0,CW31,Valutazioni!$C$3)-CW30)</f>
        <v>14514.305200448369</v>
      </c>
      <c r="CX32" s="1131">
        <f>CX14-(CX27+IF(CX31&gt;0,CX31,Valutazioni!$C$3)-CX30)</f>
        <v>14747.205200448368</v>
      </c>
      <c r="CY32" s="1131">
        <f>CY14-(CY27+IF(CY31&gt;0,CY31,Valutazioni!$C$3)-CY30)</f>
        <v>14764.268993118549</v>
      </c>
      <c r="CZ32" s="1131">
        <f>CZ14-(CZ27+IF(CZ31&gt;0,CZ31,Valutazioni!$C$3)-CZ30)</f>
        <v>14997.168993118548</v>
      </c>
      <c r="DA32" s="1132">
        <f>DA14-(DA27+IF(DA31&gt;0,DA31,Valutazioni!$C$3)-DA30)</f>
        <v>17473.742791564055</v>
      </c>
      <c r="DB32" s="1130">
        <f>DB14-(DB27+IF(DB31&gt;0,DB31,Valutazioni!$C$3)-DB30)</f>
        <v>17706.642791564056</v>
      </c>
      <c r="DC32" s="1131">
        <f>DC14-(DC27+IF(DC31&gt;0,DC31,Valutazioni!$C$3)-DC30)</f>
        <v>17560.832791564055</v>
      </c>
      <c r="DD32" s="1131">
        <f>DD14-(DD27+IF(DD31&gt;0,DD31,Valutazioni!$C$3)-DD30)</f>
        <v>17793.732791564056</v>
      </c>
      <c r="DE32" s="1131">
        <f>DE14-(DE27+IF(DE31&gt;0,DE31,Valutazioni!$C$3)-DE30)</f>
        <v>17670.902791564054</v>
      </c>
      <c r="DF32" s="1131">
        <f>DF14-(DF27+IF(DF31&gt;0,DF31,Valutazioni!$C$3)-DF30)</f>
        <v>17903.802791564056</v>
      </c>
      <c r="DG32" s="1131">
        <f>DG14-(DG27+IF(DG31&gt;0,DG31,Valutazioni!$C$3)-DG30)</f>
        <v>17915.012791564055</v>
      </c>
      <c r="DH32" s="1131">
        <f>DH14-(DH27+IF(DH31&gt;0,DH31,Valutazioni!$C$3)-DH30)</f>
        <v>18147.912791564057</v>
      </c>
      <c r="DI32" s="1131">
        <f>DI14-(DI27+IF(DI31&gt;0,DI31,Valutazioni!$C$3)-DI30)</f>
        <v>18184.532791564056</v>
      </c>
      <c r="DJ32" s="1131">
        <f>DJ14-(DJ27+IF(DJ31&gt;0,DJ31,Valutazioni!$C$3)-DJ30)</f>
        <v>18417.432791564057</v>
      </c>
      <c r="DK32" s="1131">
        <f>DK14-(DK27+IF(DK31&gt;0,DK31,Valutazioni!$C$3)-DK30)</f>
        <v>18450.33175301029</v>
      </c>
      <c r="DL32" s="1131">
        <f>DL14-(DL27+IF(DL31&gt;0,DL31,Valutazioni!$C$3)-DL30)</f>
        <v>18683.231753010292</v>
      </c>
      <c r="DM32" s="1132">
        <f>DM14-(DM27+IF(DM31&gt;0,DM31,Valutazioni!$C$3)-DM30)</f>
        <v>21179.284741614887</v>
      </c>
      <c r="DN32" s="1130">
        <f>DN14-(DN27+IF(DN31&gt;0,DN31,Valutazioni!$C$3)-DN30)</f>
        <v>21412.184741614888</v>
      </c>
      <c r="DO32" s="1131">
        <f>DO14-(DO27+IF(DO31&gt;0,DO31,Valutazioni!$C$3)-DO30)</f>
        <v>21266.374741614887</v>
      </c>
      <c r="DP32" s="1131">
        <f>DP14-(DP27+IF(DP31&gt;0,DP31,Valutazioni!$C$3)-DP30)</f>
        <v>21499.274741614889</v>
      </c>
      <c r="DQ32" s="1131">
        <f>DQ14-(DQ27+IF(DQ31&gt;0,DQ31,Valutazioni!$C$3)-DQ30)</f>
        <v>21376.444741614891</v>
      </c>
      <c r="DR32" s="1131">
        <f>DR14-(DR27+IF(DR31&gt;0,DR31,Valutazioni!$C$3)-DR30)</f>
        <v>21609.344741614892</v>
      </c>
      <c r="DS32" s="1131">
        <f>DS14-(DS27+IF(DS31&gt;0,DS31,Valutazioni!$C$3)-DS30)</f>
        <v>21620.554741614891</v>
      </c>
      <c r="DT32" s="1131">
        <f>DT14-(DT27+IF(DT31&gt;0,DT31,Valutazioni!$C$3)-DT30)</f>
        <v>21853.454741614893</v>
      </c>
      <c r="DU32" s="1131">
        <f>DU14-(DU27+IF(DU31&gt;0,DU31,Valutazioni!$C$3)-DU30)</f>
        <v>21973.074741614892</v>
      </c>
      <c r="DV32" s="1131">
        <f>DV14-(DV27+IF(DV31&gt;0,DV31,Valutazioni!$C$3)-DV30)</f>
        <v>22288.974741614893</v>
      </c>
      <c r="DW32" s="1131">
        <f>DW14-(DW27+IF(DW31&gt;0,DW31,Valutazioni!$C$3)-DW30)</f>
        <v>22404.873703061126</v>
      </c>
      <c r="DX32" s="1131">
        <f>DX14-(DX27+IF(DX31&gt;0,DX31,Valutazioni!$C$3)-DX30)</f>
        <v>22720.773703061128</v>
      </c>
      <c r="DY32" s="1132">
        <f>DY14-(DY27+IF(DY31&gt;0,DY31,Valutazioni!$C$3)-DY30)</f>
        <v>25299.826691665723</v>
      </c>
      <c r="DZ32" s="1130">
        <f>DZ14-(DZ27+IF(DZ31&gt;0,DZ31,Valutazioni!$C$3)-DZ30)</f>
        <v>25615.726691665725</v>
      </c>
      <c r="EA32" s="1131">
        <f>EA14-(EA27+IF(EA31&gt;0,EA31,Valutazioni!$C$3)-EA30)</f>
        <v>25552.916691665723</v>
      </c>
      <c r="EB32" s="1131">
        <f>EB14-(EB27+IF(EB31&gt;0,EB31,Valutazioni!$C$3)-EB30)</f>
        <v>25868.816691665725</v>
      </c>
      <c r="EC32" s="1131">
        <f>EC14-(EC27+IF(EC31&gt;0,EC31,Valutazioni!$C$3)-EC30)</f>
        <v>25828.986691665727</v>
      </c>
      <c r="ED32" s="1131">
        <f>ED14-(ED27+IF(ED31&gt;0,ED31,Valutazioni!$C$3)-ED30)</f>
        <v>26144.886691665728</v>
      </c>
      <c r="EE32" s="1131">
        <f>EE14-(EE27+IF(EE31&gt;0,EE31,Valutazioni!$C$3)-EE30)</f>
        <v>26239.096691665727</v>
      </c>
      <c r="EF32" s="1131">
        <f>EF14-(EF27+IF(EF31&gt;0,EF31,Valutazioni!$C$3)-EF30)</f>
        <v>26554.996691665729</v>
      </c>
      <c r="EG32" s="1131">
        <f>EG14-(EG27+IF(EG31&gt;0,EG31,Valutazioni!$C$3)-EG30)</f>
        <v>26674.616691665728</v>
      </c>
      <c r="EH32" s="1131">
        <f>EH14-(EH27+IF(EH31&gt;0,EH31,Valutazioni!$C$3)-EH30)</f>
        <v>26990.516691665729</v>
      </c>
      <c r="EI32" s="1131">
        <f>EI14-(EI27+IF(EI31&gt;0,EI31,Valutazioni!$C$3)-EI30)</f>
        <v>27106.415653111962</v>
      </c>
      <c r="EJ32" s="1131">
        <f>EJ14-(EJ27+IF(EJ31&gt;0,EJ31,Valutazioni!$C$3)-EJ30)</f>
        <v>27422.315653111964</v>
      </c>
      <c r="EK32" s="1132">
        <f>EK14-(EK27+IF(EK31&gt;0,EK31,Valutazioni!$C$3)-EK30)</f>
        <v>30001.368641716559</v>
      </c>
      <c r="EL32" s="1130">
        <f>EL14-(EL27+IF(EL31&gt;0,EL31,Valutazioni!$C$3)-EL30)</f>
        <v>30317.268641716561</v>
      </c>
      <c r="EM32" s="1131">
        <f>EM14-(EM27+IF(EM31&gt;0,EM31,Valutazioni!$C$3)-EM30)</f>
        <v>30254.458641716559</v>
      </c>
      <c r="EN32" s="1131">
        <f>EN14-(EN27+IF(EN31&gt;0,EN31,Valutazioni!$C$3)-EN30)</f>
        <v>30570.358641716561</v>
      </c>
      <c r="EO32" s="1131">
        <f>EO14-(EO27+IF(EO31&gt;0,EO31,Valutazioni!$C$3)-EO30)</f>
        <v>30530.528641716563</v>
      </c>
      <c r="EP32" s="1131">
        <f>EP14-(EP27+IF(EP31&gt;0,EP31,Valutazioni!$C$3)-EP30)</f>
        <v>30846.428641716564</v>
      </c>
      <c r="EQ32" s="1131">
        <f>EQ14-(EQ27+IF(EQ31&gt;0,EQ31,Valutazioni!$C$3)-EQ30)</f>
        <v>30940.638641716563</v>
      </c>
      <c r="ER32" s="1131">
        <f>ER14-(ER27+IF(ER31&gt;0,ER31,Valutazioni!$C$3)-ER30)</f>
        <v>31256.538641716565</v>
      </c>
      <c r="ES32" s="1131">
        <f>ES14-(ES27+IF(ES31&gt;0,ES31,Valutazioni!$C$3)-ES30)</f>
        <v>31376.158641716564</v>
      </c>
      <c r="ET32" s="1131">
        <f>ET14-(ET27+IF(ET31&gt;0,ET31,Valutazioni!$C$3)-ET30)</f>
        <v>31692.058641716569</v>
      </c>
      <c r="EU32" s="1131">
        <f>EU14-(EU27+IF(EU31&gt;0,EU31,Valutazioni!$C$3)-EU30)</f>
        <v>31807.957603162802</v>
      </c>
      <c r="EV32" s="1131">
        <f>EV14-(EV27+IF(EV31&gt;0,EV31,Valutazioni!$C$3)-EV30)</f>
        <v>32123.857603162804</v>
      </c>
      <c r="EW32" s="1132">
        <f>EW14-(EW27+IF(EW31&gt;0,EW31,Valutazioni!$C$3)-EW30)</f>
        <v>34702.910591767395</v>
      </c>
      <c r="EX32" s="1131">
        <f>EX14-(EX27+IF(EX31&gt;0,EX31,Valutazioni!$C$3)-EX30)</f>
        <v>35018.810591767397</v>
      </c>
      <c r="EY32" s="1131">
        <f>EY14-(EY27+IF(EY31&gt;0,EY31,Valutazioni!$C$3)-EY30)</f>
        <v>34956.000591767399</v>
      </c>
      <c r="EZ32" s="1131">
        <f>EZ14-(EZ27+IF(EZ31&gt;0,EZ31,Valutazioni!$C$3)-EZ30)</f>
        <v>35271.9005917674</v>
      </c>
      <c r="FA32" s="1131">
        <f>FA14-(FA27+IF(FA31&gt;0,FA31,Valutazioni!$C$3)-FA30)</f>
        <v>35232.070591767399</v>
      </c>
      <c r="FB32" s="1131">
        <f>FB14-(FB27+IF(FB31&gt;0,FB31,Valutazioni!$C$3)-FB30)</f>
        <v>35547.9705917674</v>
      </c>
      <c r="FC32" s="1131">
        <f>FC14-(FC27+IF(FC31&gt;0,FC31,Valutazioni!$C$3)-FC30)</f>
        <v>35642.180591767399</v>
      </c>
      <c r="FD32" s="1131">
        <f>FD14-(FD27+IF(FD31&gt;0,FD31,Valutazioni!$C$3)-FD30)</f>
        <v>35958.080591767401</v>
      </c>
      <c r="FE32" s="1131">
        <f>FE14-(FE27+IF(FE31&gt;0,FE31,Valutazioni!$C$3)-FE30)</f>
        <v>36077.700591767403</v>
      </c>
      <c r="FF32" s="1131">
        <f>FF14-(FF27+IF(FF31&gt;0,FF31,Valutazioni!$C$3)-FF30)</f>
        <v>36393.600591767405</v>
      </c>
      <c r="FG32" s="1131">
        <f>FG14-(FG27+IF(FG31&gt;0,FG31,Valutazioni!$C$3)-FG30)</f>
        <v>36509.499553213638</v>
      </c>
      <c r="FH32" s="1131">
        <f>FH14-(FH27+IF(FH31&gt;0,FH31,Valutazioni!$C$3)-FH30)</f>
        <v>36825.39955321364</v>
      </c>
      <c r="FI32" s="1132">
        <f>FI14-(FI27+IF(FI31&gt;0,FI31,Valutazioni!$C$3)-FI30)</f>
        <v>39404.452541818231</v>
      </c>
      <c r="FJ32" s="1131">
        <f>FJ14-(FJ27+IF(FJ31&gt;0,FJ31,Valutazioni!$C$3)-FJ30)</f>
        <v>39720.352541818233</v>
      </c>
      <c r="FK32" s="1131">
        <f>FK14-(FK27+IF(FK31&gt;0,FK31,Valutazioni!$C$3)-FK30)</f>
        <v>39657.542541818235</v>
      </c>
      <c r="FL32" s="1131">
        <f>FL14-(FL27+IF(FL31&gt;0,FL31,Valutazioni!$C$3)-FL30)</f>
        <v>39973.442541818236</v>
      </c>
      <c r="FM32" s="1131">
        <f>FM14-(FM27+IF(FM31&gt;0,FM31,Valutazioni!$C$3)-FM30)</f>
        <v>39933.612541818235</v>
      </c>
      <c r="FN32" s="1131">
        <f>FN14-(FN27+IF(FN31&gt;0,FN31,Valutazioni!$C$3)-FN30)</f>
        <v>40249.512541818236</v>
      </c>
      <c r="FO32" s="1131">
        <f>FO14-(FO27+IF(FO31&gt;0,FO31,Valutazioni!$C$3)-FO30)</f>
        <v>40343.722541818235</v>
      </c>
      <c r="FP32" s="1131">
        <f>FP14-(FP27+IF(FP31&gt;0,FP31,Valutazioni!$C$3)-FP30)</f>
        <v>40659.622541818237</v>
      </c>
      <c r="FQ32" s="1131">
        <f>FQ14-(FQ27+IF(FQ31&gt;0,FQ31,Valutazioni!$C$3)-FQ30)</f>
        <v>40779.242541818239</v>
      </c>
      <c r="FR32" s="1131">
        <f>FR14-(FR27+IF(FR31&gt;0,FR31,Valutazioni!$C$3)-FR30)</f>
        <v>41095.142541818241</v>
      </c>
      <c r="FS32" s="1131">
        <f>FS14-(FS27+IF(FS31&gt;0,FS31,Valutazioni!$C$3)-FS30)</f>
        <v>41211.041503264474</v>
      </c>
      <c r="FT32" s="1131">
        <f>FT14-(FT27+IF(FT31&gt;0,FT31,Valutazioni!$C$3)-FT30)</f>
        <v>41526.941503264476</v>
      </c>
      <c r="FU32" s="1132">
        <f>FU14-(FU27+IF(FU31&gt;0,FU31,Valutazioni!$C$3)-FU30)</f>
        <v>44294.244491869067</v>
      </c>
      <c r="FV32" s="1131">
        <f>FV14-(FV27+IF(FV31&gt;0,FV31,Valutazioni!$C$3)-FV30)</f>
        <v>44798.394491869069</v>
      </c>
      <c r="FW32" s="1131">
        <f>FW14-(FW27+IF(FW31&gt;0,FW31,Valutazioni!$C$3)-FW30)</f>
        <v>44923.834491869071</v>
      </c>
      <c r="FX32" s="1131">
        <f>FX14-(FX27+IF(FX31&gt;0,FX31,Valutazioni!$C$3)-FX30)</f>
        <v>45427.984491869072</v>
      </c>
      <c r="FY32" s="1131">
        <f>FY14-(FY27+IF(FY31&gt;0,FY31,Valutazioni!$C$3)-FY30)</f>
        <v>45576.404491869071</v>
      </c>
      <c r="FZ32" s="1131">
        <f>FZ14-(FZ27+IF(FZ31&gt;0,FZ31,Valutazioni!$C$3)-FZ30)</f>
        <v>46080.554491869072</v>
      </c>
      <c r="GA32" s="1131">
        <f>GA14-(GA27+IF(GA31&gt;0,GA31,Valutazioni!$C$3)-GA30)</f>
        <v>46363.014491869071</v>
      </c>
      <c r="GB32" s="1131">
        <f>GB14-(GB27+IF(GB31&gt;0,GB31,Valutazioni!$C$3)-GB30)</f>
        <v>46867.164491869073</v>
      </c>
      <c r="GC32" s="1131">
        <f>GC14-(GC27+IF(GC31&gt;0,GC31,Valutazioni!$C$3)-GC30)</f>
        <v>47175.034491869075</v>
      </c>
      <c r="GD32" s="1131">
        <f>GD14-(GD27+IF(GD31&gt;0,GD31,Valutazioni!$C$3)-GD30)</f>
        <v>47679.184491869077</v>
      </c>
      <c r="GE32" s="1131">
        <f>GE14-(GE27+IF(GE31&gt;0,GE31,Valutazioni!$C$3)-GE30)</f>
        <v>47983.33345331531</v>
      </c>
      <c r="GF32" s="1131">
        <f>GF14-(GF27+IF(GF31&gt;0,GF31,Valutazioni!$C$3)-GF30)</f>
        <v>48487.483453315312</v>
      </c>
      <c r="GG32" s="1132">
        <f>GG14-(GG27+IF(GG31&gt;0,GG31,Valutazioni!$C$3)-GG30)</f>
        <v>51254.786441919903</v>
      </c>
      <c r="GH32" s="1131">
        <f>GH14-(GH27+IF(GH31&gt;0,GH31,Valutazioni!$C$3)-GH30)</f>
        <v>51758.936441919905</v>
      </c>
      <c r="GI32" s="1131">
        <f>GI14-(GI27+IF(GI31&gt;0,GI31,Valutazioni!$C$3)-GI30)</f>
        <v>51884.376441919907</v>
      </c>
      <c r="GJ32" s="1131">
        <f>GJ14-(GJ27+IF(GJ31&gt;0,GJ31,Valutazioni!$C$3)-GJ30)</f>
        <v>52388.526441919908</v>
      </c>
      <c r="GK32" s="1131">
        <f>GK14-(GK27+IF(GK31&gt;0,GK31,Valutazioni!$C$3)-GK30)</f>
        <v>52536.946441919907</v>
      </c>
      <c r="GL32" s="1131">
        <f>GL14-(GL27+IF(GL31&gt;0,GL31,Valutazioni!$C$3)-GL30)</f>
        <v>53041.096441919908</v>
      </c>
      <c r="GM32" s="1131">
        <f>GM14-(GM27+IF(GM31&gt;0,GM31,Valutazioni!$C$3)-GM30)</f>
        <v>53323.556441919907</v>
      </c>
      <c r="GN32" s="1131">
        <f>GN14-(GN27+IF(GN31&gt;0,GN31,Valutazioni!$C$3)-GN30)</f>
        <v>53827.706441919909</v>
      </c>
      <c r="GO32" s="1131">
        <f>GO14-(GO27+IF(GO31&gt;0,GO31,Valutazioni!$C$3)-GO30)</f>
        <v>54135.576441919911</v>
      </c>
      <c r="GP32" s="1131">
        <f>GP14-(GP27+IF(GP31&gt;0,GP31,Valutazioni!$C$3)-GP30)</f>
        <v>54639.726441919913</v>
      </c>
      <c r="GQ32" s="1131">
        <f>GQ14-(GQ27+IF(GQ31&gt;0,GQ31,Valutazioni!$C$3)-GQ30)</f>
        <v>54943.875403366146</v>
      </c>
      <c r="GR32" s="1131">
        <f>GR14-(GR27+IF(GR31&gt;0,GR31,Valutazioni!$C$3)-GR30)</f>
        <v>55448.025403366148</v>
      </c>
      <c r="GS32" s="1132">
        <f>GS14-(GS27+IF(GS31&gt;0,GS31,Valutazioni!$C$3)-GS30)</f>
        <v>58215.328391970739</v>
      </c>
      <c r="GT32" s="1131">
        <f>GT14-(GT27+IF(GT31&gt;0,GT31,Valutazioni!$C$3)-GT30)</f>
        <v>58719.478391970741</v>
      </c>
    </row>
    <row r="33" spans="2:202" s="46" customFormat="1" x14ac:dyDescent="0.25">
      <c r="B33" s="424" t="s">
        <v>785</v>
      </c>
      <c r="C33" s="1311">
        <f t="shared" ref="C33:I33" si="458">C32/(C11+C28)</f>
        <v>-0.32744517522304822</v>
      </c>
      <c r="D33" s="1311">
        <f t="shared" si="458"/>
        <v>3.9935765265662088E-2</v>
      </c>
      <c r="E33" s="1311">
        <f t="shared" si="458"/>
        <v>-1.5780459344558496E-2</v>
      </c>
      <c r="F33" s="1311">
        <f t="shared" si="458"/>
        <v>-2.3443575164486766E-2</v>
      </c>
      <c r="G33" s="1312">
        <f t="shared" si="458"/>
        <v>0.16039398311526995</v>
      </c>
      <c r="H33" s="1313">
        <f t="shared" si="458"/>
        <v>9.7404119798164601E-2</v>
      </c>
      <c r="I33" s="425">
        <f t="shared" si="458"/>
        <v>0.19247633440102763</v>
      </c>
      <c r="J33" s="1314"/>
      <c r="K33" s="1309">
        <f t="shared" ref="K33:Q33" si="459">K32/(K11+K28)</f>
        <v>-0.32744517522304822</v>
      </c>
      <c r="L33" s="1309">
        <f t="shared" si="459"/>
        <v>3.9935765265662088E-2</v>
      </c>
      <c r="M33" s="1309">
        <f t="shared" si="459"/>
        <v>-1.5780459344558496E-2</v>
      </c>
      <c r="N33" s="1309">
        <f t="shared" si="459"/>
        <v>-2.3443575164486766E-2</v>
      </c>
      <c r="O33" s="1310">
        <f t="shared" si="459"/>
        <v>0.16039398311526995</v>
      </c>
      <c r="P33" s="1310">
        <f t="shared" si="459"/>
        <v>9.7404119798164587E-2</v>
      </c>
      <c r="Q33" s="1310">
        <f t="shared" si="459"/>
        <v>0.1924763344010276</v>
      </c>
      <c r="R33" s="1315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-1.4827644858884078E-2</v>
      </c>
      <c r="CS33" s="426">
        <f t="shared" ref="CS33" si="498">(CS32-CR32)/CR32</f>
        <v>0.2356879012427445</v>
      </c>
      <c r="CT33" s="426">
        <f t="shared" ref="CT33" si="499">(CT32-CS32)/CS32</f>
        <v>2.1561785191929548E-5</v>
      </c>
      <c r="CU33" s="426">
        <f t="shared" ref="CU33" si="500">(CU32-CT32)/CT32</f>
        <v>-1.6716750594167253E-2</v>
      </c>
      <c r="CV33" s="426">
        <f t="shared" ref="CV33" si="501">(CV32-CU32)/CU32</f>
        <v>1.7023346693869242E-2</v>
      </c>
      <c r="CW33" s="426">
        <f t="shared" ref="CW33" si="502">(CW32-CV32)/CV32</f>
        <v>4.3135639830021083E-2</v>
      </c>
      <c r="CX33" s="426">
        <f t="shared" ref="CX33" si="503">(CX32-CW32)/CW32</f>
        <v>1.604623829963318E-2</v>
      </c>
      <c r="CY33" s="426">
        <f t="shared" ref="CY33" si="504">(CY32-CX32)/CX32</f>
        <v>1.1570865420426502E-3</v>
      </c>
      <c r="CZ33" s="426">
        <f t="shared" ref="CZ33" si="505">(CZ32-CY32)/CY32</f>
        <v>1.5774570356890109E-2</v>
      </c>
      <c r="DA33" s="426">
        <f t="shared" ref="DA33" si="506">(DA32-CZ32)/CZ32</f>
        <v>0.16513608665621374</v>
      </c>
      <c r="DB33" s="434">
        <f t="shared" ref="DB33" si="507">(DB32-DA32)/DA32</f>
        <v>1.3328569773411141E-2</v>
      </c>
      <c r="DC33" s="426">
        <f t="shared" ref="DC33" si="508">(DC32-DB32)/DB32</f>
        <v>-8.2347626095145097E-3</v>
      </c>
      <c r="DD33" s="426">
        <f t="shared" ref="DD33" si="509">(DD32-DC32)/DC32</f>
        <v>1.3262468970827107E-2</v>
      </c>
      <c r="DE33" s="426">
        <f t="shared" ref="DE33" si="510">(DE32-DD32)/DD32</f>
        <v>-6.9029922747988548E-3</v>
      </c>
      <c r="DF33" s="426">
        <f t="shared" ref="DF33" si="511">(DF32-DE32)/DE32</f>
        <v>1.31798585928041E-2</v>
      </c>
      <c r="DG33" s="426">
        <f t="shared" ref="DG33" si="512">(DG32-DF32)/DF32</f>
        <v>6.2612396542264604E-4</v>
      </c>
      <c r="DH33" s="426">
        <f t="shared" ref="DH33" si="513">(DH32-DG32)/DG32</f>
        <v>1.3000269813352911E-2</v>
      </c>
      <c r="DI33" s="426">
        <f t="shared" ref="DI33" si="514">(DI32-DH32)/DH32</f>
        <v>2.0178629036073812E-3</v>
      </c>
      <c r="DJ33" s="426">
        <f t="shared" ref="DJ33" si="515">(DJ32-DI32)/DI32</f>
        <v>1.2807587781856323E-2</v>
      </c>
      <c r="DK33" s="426">
        <f t="shared" ref="DK33" si="516">(DK32-DJ32)/DJ32</f>
        <v>1.786294638268072E-3</v>
      </c>
      <c r="DL33" s="426">
        <f t="shared" ref="DL33" si="517">(DL32-DK32)/DK32</f>
        <v>1.2623079255038453E-2</v>
      </c>
      <c r="DM33" s="426">
        <f t="shared" ref="DM33" si="518">(DM32-DL32)/DL32</f>
        <v>0.13359856697182085</v>
      </c>
      <c r="DN33" s="430">
        <f t="shared" ref="DN33" si="519">(DN32-DM32)/DM32</f>
        <v>1.0996594211813935E-2</v>
      </c>
      <c r="DO33" s="426">
        <f t="shared" ref="DO33" si="520">(DO32-DN32)/DN32</f>
        <v>-6.8096741065668785E-3</v>
      </c>
      <c r="DP33" s="426">
        <f t="shared" ref="DP33" si="521">(DP32-DO32)/DO32</f>
        <v>1.0951560989107066E-2</v>
      </c>
      <c r="DQ33" s="426">
        <f t="shared" ref="DQ33" si="522">(DQ32-DP32)/DP32</f>
        <v>-5.7132159794322391E-3</v>
      </c>
      <c r="DR33" s="426">
        <f t="shared" ref="DR33" si="523">(DR32-DQ32)/DQ32</f>
        <v>1.0895170025472016E-2</v>
      </c>
      <c r="DS33" s="426">
        <f t="shared" ref="DS33" si="524">(DS32-DR32)/DR32</f>
        <v>5.1875705321184997E-4</v>
      </c>
      <c r="DT33" s="426">
        <f t="shared" ref="DT33" si="525">(DT32-DS32)/DS32</f>
        <v>1.0772156532677643E-2</v>
      </c>
      <c r="DU33" s="426">
        <f t="shared" ref="DU33" si="526">(DU32-DT32)/DT32</f>
        <v>5.4737340806902315E-3</v>
      </c>
      <c r="DV33" s="426">
        <f t="shared" ref="DV33" si="527">(DV32-DU32)/DU32</f>
        <v>1.437668618137075E-2</v>
      </c>
      <c r="DW33" s="426">
        <f t="shared" ref="DW33" si="528">(DW32-DV32)/DV32</f>
        <v>5.1998336751597155E-3</v>
      </c>
      <c r="DX33" s="426">
        <f t="shared" ref="DX33" si="529">(DX32-DW32)/DW32</f>
        <v>1.4099610834085655E-2</v>
      </c>
      <c r="DY33" s="426">
        <f t="shared" ref="DY33" si="530">(DY32-DX32)/DX32</f>
        <v>0.11351079071119502</v>
      </c>
      <c r="DZ33" s="430">
        <f t="shared" ref="DZ33" si="531">(DZ32-DY32)/DY32</f>
        <v>1.2486251540373805E-2</v>
      </c>
      <c r="EA33" s="426">
        <f t="shared" ref="EA33" si="532">(EA32-DZ32)/DZ32</f>
        <v>-2.4520092971025112E-3</v>
      </c>
      <c r="EB33" s="426">
        <f t="shared" ref="EB33" si="533">(EB32-EA32)/EA32</f>
        <v>1.2362580906587256E-2</v>
      </c>
      <c r="EC33" s="426">
        <f t="shared" ref="EC33" si="534">(EC32-EB32)/EB32</f>
        <v>-1.5396916091964239E-3</v>
      </c>
      <c r="ED33" s="426">
        <f t="shared" ref="ED33" si="535">(ED32-EC32)/EC32</f>
        <v>1.2230444955935237E-2</v>
      </c>
      <c r="EE33" s="426">
        <f t="shared" ref="EE33" si="536">(EE32-ED32)/ED32</f>
        <v>3.6033814608204323E-3</v>
      </c>
      <c r="EF33" s="426">
        <f t="shared" ref="EF33" si="537">(EF32-EE32)/EE32</f>
        <v>1.2039286401972068E-2</v>
      </c>
      <c r="EG33" s="426">
        <f t="shared" ref="EG33" si="538">(EG32-EF32)/EF32</f>
        <v>4.5046136284227689E-3</v>
      </c>
      <c r="EH33" s="426">
        <f t="shared" ref="EH33" si="539">(EH32-EG32)/EG32</f>
        <v>1.18427193781833E-2</v>
      </c>
      <c r="EI33" s="426">
        <f t="shared" ref="EI33" si="540">(EI32-EH32)/EH32</f>
        <v>4.2940623467953585E-3</v>
      </c>
      <c r="EJ33" s="426">
        <f t="shared" ref="EJ33" si="541">(EJ32-EI32)/EI32</f>
        <v>1.1654067584687629E-2</v>
      </c>
      <c r="EK33" s="426">
        <f t="shared" ref="EK33" si="542">(EK32-EJ32)/EJ32</f>
        <v>9.4049423879048549E-2</v>
      </c>
      <c r="EL33" s="430">
        <f t="shared" ref="EL33" si="543">(EL32-EK32)/EK32</f>
        <v>1.0529519628672743E-2</v>
      </c>
      <c r="EM33" s="426">
        <f t="shared" ref="EM33" si="544">(EM32-EL32)/EL32</f>
        <v>-2.0717565537409512E-3</v>
      </c>
      <c r="EN33" s="426">
        <f t="shared" ref="EN33" si="545">(EN32-EM32)/EM32</f>
        <v>1.0441436210807642E-2</v>
      </c>
      <c r="EO33" s="426">
        <f t="shared" ref="EO33" si="546">(EO32-EN32)/EN32</f>
        <v>-1.3028960656564154E-3</v>
      </c>
      <c r="EP33" s="426">
        <f t="shared" ref="EP33" si="547">(EP32-EO32)/EO32</f>
        <v>1.0347020312264078E-2</v>
      </c>
      <c r="EQ33" s="426">
        <f t="shared" ref="EQ33" si="548">(EQ32-EP32)/EP32</f>
        <v>3.0541623179219514E-3</v>
      </c>
      <c r="ER33" s="426">
        <f t="shared" ref="ER33" si="549">(ER32-EQ32)/EQ32</f>
        <v>1.0209873288590774E-2</v>
      </c>
      <c r="ES33" s="426">
        <f t="shared" ref="ES33" si="550">(ES32-ER32)/ER32</f>
        <v>3.8270392435696015E-3</v>
      </c>
      <c r="ET33" s="426">
        <f t="shared" ref="ET33" si="551">(ET32-ES32)/ES32</f>
        <v>1.0068154091367841E-2</v>
      </c>
      <c r="EU33" s="426">
        <f t="shared" ref="EU33" si="552">(EU32-ET32)/ET32</f>
        <v>3.6570348034657015E-3</v>
      </c>
      <c r="EV33" s="426">
        <f t="shared" ref="EV33" si="553">(EV32-EU32)/EU32</f>
        <v>9.9314770203475806E-3</v>
      </c>
      <c r="EW33" s="426">
        <f t="shared" ref="EW33" si="554">(EW32-EV32)/EV32</f>
        <v>8.0284660094828306E-2</v>
      </c>
      <c r="EX33" s="426">
        <f t="shared" ref="EX33" si="555">(EX32-EW32)/EW32</f>
        <v>9.1029828510967234E-3</v>
      </c>
      <c r="EY33" s="426">
        <f t="shared" ref="EY33" si="556">(EY32-EX32)/EX32</f>
        <v>-1.7936074623494988E-3</v>
      </c>
      <c r="EZ33" s="426">
        <f t="shared" ref="EZ33" si="557">(EZ32-EY32)/EY32</f>
        <v>9.0370750272386734E-3</v>
      </c>
      <c r="FA33" s="426">
        <f t="shared" ref="FA33" si="558">(FA32-EZ32)/EZ32</f>
        <v>-1.1292274964422593E-3</v>
      </c>
      <c r="FB33" s="426">
        <f t="shared" ref="FB33" si="559">(FB32-FA32)/FA32</f>
        <v>8.9662626889098346E-3</v>
      </c>
      <c r="FC33" s="426">
        <f t="shared" ref="FC33" si="560">(FC32-FB32)/FB32</f>
        <v>2.6502216141086081E-3</v>
      </c>
      <c r="FD33" s="426">
        <f t="shared" ref="FD33" si="561">(FD32-FC32)/FC32</f>
        <v>8.863094085578135E-3</v>
      </c>
      <c r="FE33" s="426">
        <f t="shared" ref="FE33" si="562">(FE32-FD32)/FD32</f>
        <v>3.326651423863531E-3</v>
      </c>
      <c r="FF33" s="426">
        <f t="shared" ref="FF33" si="563">(FF32-FE32)/FE32</f>
        <v>8.75610127082453E-3</v>
      </c>
      <c r="FG33" s="426">
        <f t="shared" ref="FG33" si="564">(FG32-FF32)/FF32</f>
        <v>3.1845972797880004E-3</v>
      </c>
      <c r="FH33" s="426">
        <f t="shared" ref="FH33" si="565">(FH32-FG32)/FG32</f>
        <v>8.6525425948270861E-3</v>
      </c>
      <c r="FI33" s="426">
        <f t="shared" ref="FI33" si="566">(FI32-FH32)/FH32</f>
        <v>7.0034623382097844E-2</v>
      </c>
      <c r="FJ33" s="426">
        <f t="shared" ref="FJ33" si="567">(FJ32-FI32)/FI32</f>
        <v>8.0168605226719116E-3</v>
      </c>
      <c r="FK33" s="426">
        <f t="shared" ref="FK33" si="568">(FK32-FJ32)/FJ32</f>
        <v>-1.5813051994911244E-3</v>
      </c>
      <c r="FL33" s="426">
        <f t="shared" ref="FL33" si="569">(FL32-FK32)/FK32</f>
        <v>7.965697815664953E-3</v>
      </c>
      <c r="FM33" s="426">
        <f t="shared" ref="FM33" si="570">(FM32-FL32)/FL32</f>
        <v>-9.9641155395444286E-4</v>
      </c>
      <c r="FN33" s="426">
        <f t="shared" ref="FN33" si="571">(FN32-FM32)/FM32</f>
        <v>7.9106291640705668E-3</v>
      </c>
      <c r="FO33" s="426">
        <f t="shared" ref="FO33" si="572">(FO32-FN32)/FN32</f>
        <v>2.3406494650616526E-3</v>
      </c>
      <c r="FP33" s="426">
        <f t="shared" ref="FP33" si="573">(FP32-FO32)/FO32</f>
        <v>7.8302144694891683E-3</v>
      </c>
      <c r="FQ33" s="426">
        <f t="shared" ref="FQ33" si="574">(FQ32-FP32)/FP32</f>
        <v>2.9419850092551646E-3</v>
      </c>
      <c r="FR33" s="426">
        <f t="shared" ref="FR33" si="575">(FR32-FQ32)/FQ32</f>
        <v>7.7465882225755608E-3</v>
      </c>
      <c r="FS33" s="426">
        <f t="shared" ref="FS33" si="576">(FS32-FR32)/FR32</f>
        <v>2.820259385359113E-3</v>
      </c>
      <c r="FT33" s="426">
        <f t="shared" ref="FT33" si="577">(FT32-FS32)/FS32</f>
        <v>7.6654214132146573E-3</v>
      </c>
      <c r="FU33" s="426">
        <f t="shared" ref="FU33" si="578">(FU32-FT32)/FT32</f>
        <v>6.663873833296996E-2</v>
      </c>
      <c r="FV33" s="426">
        <f t="shared" ref="FV33" si="579">(FV32-FU32)/FU32</f>
        <v>1.1381839915850612E-2</v>
      </c>
      <c r="FW33" s="426">
        <f t="shared" ref="FW33" si="580">(FW32-FV32)/FV32</f>
        <v>2.8001003478544248E-3</v>
      </c>
      <c r="FX33" s="426">
        <f t="shared" ref="FX33" si="581">(FX32-FW32)/FW32</f>
        <v>1.122232787344209E-2</v>
      </c>
      <c r="FY33" s="426">
        <f t="shared" ref="FY33" si="582">(FY32-FX32)/FX32</f>
        <v>3.2671491297740318E-3</v>
      </c>
      <c r="FZ33" s="426">
        <f t="shared" ref="FZ33" si="583">(FZ32-FY32)/FY32</f>
        <v>1.1061644849363729E-2</v>
      </c>
      <c r="GA33" s="426">
        <f t="shared" ref="GA33" si="584">(GA32-FZ32)/FZ32</f>
        <v>6.1297005453751488E-3</v>
      </c>
      <c r="GB33" s="426">
        <f t="shared" ref="GB33" si="585">(GB32-GA32)/GA32</f>
        <v>1.087396938109831E-2</v>
      </c>
      <c r="GC33" s="426">
        <f t="shared" ref="GC33" si="586">(GC32-GB32)/GB32</f>
        <v>6.5689913895562125E-3</v>
      </c>
      <c r="GD33" s="426">
        <f t="shared" ref="GD33" si="587">(GD32-GC32)/GC32</f>
        <v>1.0686796637888945E-2</v>
      </c>
      <c r="GE33" s="426">
        <f t="shared" ref="GE33" si="588">(GE32-GD32)/GD32</f>
        <v>6.3790722238150103E-3</v>
      </c>
      <c r="GF33" s="426">
        <f t="shared" ref="GF33" si="589">(GF32-GE32)/GE32</f>
        <v>1.0506773158861647E-2</v>
      </c>
      <c r="GG33" s="426">
        <f t="shared" ref="GG33" si="590">(GG32-GF32)/GF32</f>
        <v>5.7072522463843776E-2</v>
      </c>
      <c r="GH33" s="426">
        <f t="shared" ref="GH33" si="591">(GH32-GG32)/GG32</f>
        <v>9.8361545330266139E-3</v>
      </c>
      <c r="GI33" s="426">
        <f t="shared" ref="GI33" si="592">(GI32-GH32)/GH32</f>
        <v>2.4235428434809885E-3</v>
      </c>
      <c r="GJ33" s="426">
        <f t="shared" ref="GJ33" si="593">(GJ32-GI32)/GI32</f>
        <v>9.7167978989658663E-3</v>
      </c>
      <c r="GK33" s="426">
        <f t="shared" ref="GK33" si="594">(GK32-GJ32)/GJ32</f>
        <v>2.8330630785071385E-3</v>
      </c>
      <c r="GL33" s="426">
        <f t="shared" ref="GL33" si="595">(GL32-GK32)/GK32</f>
        <v>9.5961039638522583E-3</v>
      </c>
      <c r="GM33" s="426">
        <f t="shared" ref="GM33" si="596">(GM32-GL32)/GL32</f>
        <v>5.3253046966948228E-3</v>
      </c>
      <c r="GN33" s="426">
        <f t="shared" ref="GN33" si="597">(GN32-GM32)/GM32</f>
        <v>9.4545456762457764E-3</v>
      </c>
      <c r="GO33" s="426">
        <f t="shared" ref="GO33" si="598">(GO32-GN32)/GN32</f>
        <v>5.7195451998720091E-3</v>
      </c>
      <c r="GP33" s="426">
        <f t="shared" ref="GP33" si="599">(GP32-GO32)/GO32</f>
        <v>9.3127298744271371E-3</v>
      </c>
      <c r="GQ33" s="426">
        <f t="shared" ref="GQ33" si="600">(GQ32-GP32)/GP32</f>
        <v>5.5664437077578158E-3</v>
      </c>
      <c r="GR33" s="426">
        <f t="shared" ref="GR33" si="601">(GR32-GQ32)/GQ32</f>
        <v>9.1757269813755194E-3</v>
      </c>
      <c r="GS33" s="426">
        <f t="shared" ref="GS33" si="602">(GS32-GR32)/GR32</f>
        <v>4.9908052964436019E-2</v>
      </c>
      <c r="GT33" s="426">
        <f t="shared" ref="GT33" si="603">(GT32-GS32)/GS32</f>
        <v>8.6600902876558458E-3</v>
      </c>
    </row>
    <row r="34" spans="2:202" s="451" customFormat="1" ht="8.25" customHeight="1" x14ac:dyDescent="0.25">
      <c r="B34" s="452"/>
      <c r="C34" s="453"/>
      <c r="D34" s="453"/>
      <c r="E34" s="453"/>
      <c r="F34" s="453"/>
      <c r="G34" s="454"/>
      <c r="H34" s="1299"/>
      <c r="I34" s="454"/>
      <c r="J34" s="1145"/>
      <c r="K34" s="1147"/>
      <c r="L34" s="1147"/>
      <c r="M34" s="1147"/>
      <c r="N34" s="1147"/>
      <c r="O34" s="1147"/>
      <c r="P34" s="1147"/>
      <c r="Q34" s="1147"/>
      <c r="R34" s="1146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 x14ac:dyDescent="0.25">
      <c r="B35" s="29" t="s">
        <v>22</v>
      </c>
      <c r="C35" s="1120">
        <f>AG32</f>
        <v>2224.5099999999966</v>
      </c>
      <c r="D35" s="1121">
        <f>AS32</f>
        <v>4838.6099999999969</v>
      </c>
      <c r="E35" s="1120">
        <f>BE32</f>
        <v>3883.4299999999994</v>
      </c>
      <c r="F35" s="1122">
        <f>BQ32</f>
        <v>3214.4500000000003</v>
      </c>
      <c r="G35" s="1120">
        <f>CC32</f>
        <v>8487.159999999998</v>
      </c>
      <c r="H35" s="1120">
        <f>CO32</f>
        <v>11614.741999999995</v>
      </c>
      <c r="I35" s="243">
        <f>DA32</f>
        <v>17473.742791564055</v>
      </c>
      <c r="J35" s="1145"/>
      <c r="K35" s="1148">
        <f>AVERAGE(V32:AG32)</f>
        <v>10592.124166666663</v>
      </c>
      <c r="L35" s="1148">
        <f>AVERAGE(AH32:AS32)</f>
        <v>2915.8116666666633</v>
      </c>
      <c r="M35" s="1149">
        <f>AVERAGE(AT32:BE32)</f>
        <v>11040.904999999999</v>
      </c>
      <c r="N35" s="1150">
        <f>AVERAGE(BF32:BQ32)</f>
        <v>2594.7666666666655</v>
      </c>
      <c r="O35" s="1150">
        <f>AVERAGE(BR32:CC32)</f>
        <v>5674.6750000000002</v>
      </c>
      <c r="P35" s="1150">
        <f>AVERAGE(CD32:CO32)</f>
        <v>10543.30583333333</v>
      </c>
      <c r="Q35" s="1150">
        <f>AVERAGE(CP32:DA32)</f>
        <v>13828.905070387511</v>
      </c>
      <c r="R35" s="1146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 x14ac:dyDescent="0.25">
      <c r="F36" s="37"/>
      <c r="G36" s="37"/>
      <c r="H36" s="37"/>
      <c r="I36" s="37"/>
      <c r="J36" s="1145"/>
      <c r="K36" s="1097"/>
      <c r="L36" s="1097"/>
      <c r="M36" s="1097"/>
      <c r="N36" s="1097"/>
      <c r="O36" s="1097"/>
      <c r="P36" s="1097"/>
      <c r="Q36" s="1097"/>
    </row>
    <row r="37" spans="2:202" ht="18.75" customHeight="1" x14ac:dyDescent="0.25">
      <c r="J37" s="1145"/>
      <c r="K37" s="1097"/>
      <c r="L37" s="1097"/>
      <c r="M37" s="1097"/>
      <c r="N37" s="1097"/>
      <c r="O37" s="1097"/>
      <c r="P37" s="1097"/>
      <c r="Q37" s="1097"/>
    </row>
    <row r="38" spans="2:202" hidden="1" x14ac:dyDescent="0.25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1</v>
      </c>
      <c r="CU38" s="9" t="b">
        <f t="shared" si="609"/>
        <v>0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 x14ac:dyDescent="0.25">
      <c r="B39" s="417" t="s">
        <v>23</v>
      </c>
      <c r="C39" s="955">
        <v>2020</v>
      </c>
      <c r="D39" s="955">
        <v>2021</v>
      </c>
      <c r="E39" s="955">
        <v>2022</v>
      </c>
      <c r="F39" s="955">
        <v>2023</v>
      </c>
      <c r="G39" s="955">
        <v>2024</v>
      </c>
      <c r="H39" s="955">
        <v>2025</v>
      </c>
      <c r="I39" s="955">
        <v>2026</v>
      </c>
      <c r="J39" s="441"/>
      <c r="K39" s="1043">
        <v>2020</v>
      </c>
      <c r="L39" s="1043">
        <v>2021</v>
      </c>
      <c r="M39" s="1043">
        <v>2022</v>
      </c>
      <c r="N39" s="1043">
        <v>2023</v>
      </c>
      <c r="O39" s="1043">
        <v>2024</v>
      </c>
      <c r="P39" s="1043">
        <v>2025</v>
      </c>
      <c r="Q39" s="1043">
        <v>2026</v>
      </c>
      <c r="R39" s="675"/>
      <c r="S39" s="972">
        <v>43718</v>
      </c>
      <c r="T39" s="972">
        <v>43748</v>
      </c>
      <c r="U39" s="972">
        <v>43779</v>
      </c>
      <c r="V39" s="972">
        <v>43809</v>
      </c>
      <c r="W39" s="973">
        <v>43840</v>
      </c>
      <c r="X39" s="972">
        <v>43871</v>
      </c>
      <c r="Y39" s="972">
        <v>43900</v>
      </c>
      <c r="Z39" s="972">
        <v>43931</v>
      </c>
      <c r="AA39" s="972">
        <v>43961</v>
      </c>
      <c r="AB39" s="972">
        <v>43992</v>
      </c>
      <c r="AC39" s="972">
        <v>44022</v>
      </c>
      <c r="AD39" s="972">
        <v>44053</v>
      </c>
      <c r="AE39" s="972">
        <v>44084</v>
      </c>
      <c r="AF39" s="972">
        <v>44114</v>
      </c>
      <c r="AG39" s="972">
        <v>44145</v>
      </c>
      <c r="AH39" s="972">
        <v>44175</v>
      </c>
      <c r="AI39" s="973">
        <v>44206</v>
      </c>
      <c r="AJ39" s="972">
        <v>44237</v>
      </c>
      <c r="AK39" s="972">
        <v>44265</v>
      </c>
      <c r="AL39" s="972">
        <v>44296</v>
      </c>
      <c r="AM39" s="972">
        <v>44326</v>
      </c>
      <c r="AN39" s="972">
        <v>44357</v>
      </c>
      <c r="AO39" s="972">
        <v>44378</v>
      </c>
      <c r="AP39" s="972">
        <v>44409</v>
      </c>
      <c r="AQ39" s="972">
        <v>44440</v>
      </c>
      <c r="AR39" s="972">
        <v>44470</v>
      </c>
      <c r="AS39" s="972">
        <v>44501</v>
      </c>
      <c r="AT39" s="972">
        <v>44531</v>
      </c>
      <c r="AU39" s="972">
        <v>44562</v>
      </c>
      <c r="AV39" s="972">
        <v>44593</v>
      </c>
      <c r="AW39" s="972">
        <v>44621</v>
      </c>
      <c r="AX39" s="972">
        <v>44652</v>
      </c>
      <c r="AY39" s="972">
        <v>44682</v>
      </c>
      <c r="AZ39" s="972">
        <v>44713</v>
      </c>
      <c r="BA39" s="972">
        <v>44743</v>
      </c>
      <c r="BB39" s="972">
        <v>44774</v>
      </c>
      <c r="BC39" s="972">
        <v>44805</v>
      </c>
      <c r="BD39" s="972">
        <v>44835</v>
      </c>
      <c r="BE39" s="972">
        <v>44866</v>
      </c>
      <c r="BF39" s="972">
        <v>44896</v>
      </c>
      <c r="BG39" s="972">
        <v>44927</v>
      </c>
      <c r="BH39" s="972">
        <v>44958</v>
      </c>
      <c r="BI39" s="972">
        <v>44986</v>
      </c>
      <c r="BJ39" s="972">
        <v>45017</v>
      </c>
      <c r="BK39" s="972">
        <v>45047</v>
      </c>
      <c r="BL39" s="972">
        <v>45078</v>
      </c>
      <c r="BM39" s="972">
        <v>45108</v>
      </c>
      <c r="BN39" s="972">
        <v>45139</v>
      </c>
      <c r="BO39" s="972">
        <v>45170</v>
      </c>
      <c r="BP39" s="972">
        <v>45200</v>
      </c>
      <c r="BQ39" s="972">
        <v>45231</v>
      </c>
      <c r="BR39" s="972">
        <v>45261</v>
      </c>
      <c r="BS39" s="974">
        <v>45292</v>
      </c>
      <c r="BT39" s="975">
        <v>45323</v>
      </c>
      <c r="BU39" s="975">
        <v>45352</v>
      </c>
      <c r="BV39" s="975">
        <v>45383</v>
      </c>
      <c r="BW39" s="975">
        <v>45413</v>
      </c>
      <c r="BX39" s="975">
        <v>45444</v>
      </c>
      <c r="BY39" s="975">
        <v>45474</v>
      </c>
      <c r="BZ39" s="975">
        <v>45505</v>
      </c>
      <c r="CA39" s="975">
        <v>45536</v>
      </c>
      <c r="CB39" s="975">
        <v>45566</v>
      </c>
      <c r="CC39" s="975">
        <v>45597</v>
      </c>
      <c r="CD39" s="975">
        <v>45627</v>
      </c>
      <c r="CE39" s="974">
        <v>45658</v>
      </c>
      <c r="CF39" s="975">
        <v>45689</v>
      </c>
      <c r="CG39" s="975">
        <v>45717</v>
      </c>
      <c r="CH39" s="975">
        <v>45748</v>
      </c>
      <c r="CI39" s="975">
        <v>45778</v>
      </c>
      <c r="CJ39" s="975">
        <v>45809</v>
      </c>
      <c r="CK39" s="975">
        <v>45839</v>
      </c>
      <c r="CL39" s="975">
        <v>45870</v>
      </c>
      <c r="CM39" s="975">
        <v>45901</v>
      </c>
      <c r="CN39" s="975">
        <v>45931</v>
      </c>
      <c r="CO39" s="975">
        <v>45962</v>
      </c>
      <c r="CP39" s="975">
        <v>45992</v>
      </c>
      <c r="CQ39" s="974">
        <v>46023</v>
      </c>
      <c r="CR39" s="975">
        <v>46054</v>
      </c>
      <c r="CS39" s="975">
        <v>46082</v>
      </c>
      <c r="CT39" s="975">
        <v>46113</v>
      </c>
      <c r="CU39" s="975">
        <v>46143</v>
      </c>
      <c r="CV39" s="975">
        <v>46174</v>
      </c>
      <c r="CW39" s="975">
        <v>46204</v>
      </c>
      <c r="CX39" s="975">
        <v>46235</v>
      </c>
      <c r="CY39" s="975">
        <v>46266</v>
      </c>
      <c r="CZ39" s="975">
        <v>46296</v>
      </c>
      <c r="DA39" s="975">
        <v>46327</v>
      </c>
      <c r="DB39" s="975">
        <v>46357</v>
      </c>
      <c r="DC39" s="975">
        <v>46388</v>
      </c>
      <c r="DD39" s="975">
        <v>46419</v>
      </c>
      <c r="DE39" s="975">
        <v>46447</v>
      </c>
      <c r="DF39" s="975">
        <v>46478</v>
      </c>
      <c r="DG39" s="975">
        <v>46508</v>
      </c>
      <c r="DH39" s="975">
        <v>46539</v>
      </c>
      <c r="DI39" s="975">
        <v>46569</v>
      </c>
      <c r="DJ39" s="975">
        <v>46600</v>
      </c>
      <c r="DK39" s="975">
        <v>46631</v>
      </c>
      <c r="DL39" s="975">
        <v>46661</v>
      </c>
      <c r="DM39" s="975">
        <v>46692</v>
      </c>
      <c r="DN39" s="975">
        <v>46722</v>
      </c>
      <c r="DO39" s="975">
        <v>46753</v>
      </c>
      <c r="DP39" s="975">
        <v>46784</v>
      </c>
      <c r="DQ39" s="975">
        <v>46813</v>
      </c>
      <c r="DR39" s="975">
        <v>46844</v>
      </c>
      <c r="DS39" s="975">
        <v>46874</v>
      </c>
      <c r="DT39" s="975">
        <v>46905</v>
      </c>
      <c r="DU39" s="975">
        <v>46935</v>
      </c>
      <c r="DV39" s="975">
        <v>46966</v>
      </c>
      <c r="DW39" s="975">
        <v>46997</v>
      </c>
      <c r="DX39" s="975">
        <v>47027</v>
      </c>
      <c r="DY39" s="975">
        <v>47058</v>
      </c>
      <c r="DZ39" s="975">
        <v>47088</v>
      </c>
      <c r="EA39" s="975">
        <v>47119</v>
      </c>
      <c r="EB39" s="975">
        <v>47150</v>
      </c>
      <c r="EC39" s="975">
        <v>47178</v>
      </c>
      <c r="ED39" s="975">
        <v>47209</v>
      </c>
      <c r="EE39" s="975">
        <v>47239</v>
      </c>
      <c r="EF39" s="975">
        <v>47270</v>
      </c>
      <c r="EG39" s="975">
        <v>47300</v>
      </c>
      <c r="EH39" s="975">
        <v>47331</v>
      </c>
      <c r="EI39" s="975">
        <v>47362</v>
      </c>
      <c r="EJ39" s="975">
        <v>47392</v>
      </c>
      <c r="EK39" s="975">
        <v>47423</v>
      </c>
      <c r="EL39" s="975">
        <v>47453</v>
      </c>
      <c r="EM39" s="975">
        <v>47484</v>
      </c>
      <c r="EN39" s="975">
        <v>47515</v>
      </c>
      <c r="EO39" s="975">
        <v>47543</v>
      </c>
      <c r="EP39" s="975">
        <v>47574</v>
      </c>
      <c r="EQ39" s="975">
        <v>47604</v>
      </c>
      <c r="ER39" s="975">
        <v>47635</v>
      </c>
      <c r="ES39" s="975">
        <v>47665</v>
      </c>
      <c r="ET39" s="975">
        <v>47696</v>
      </c>
      <c r="EU39" s="975">
        <v>47727</v>
      </c>
      <c r="EV39" s="975">
        <v>47757</v>
      </c>
      <c r="EW39" s="975">
        <v>47788</v>
      </c>
      <c r="EX39" s="975">
        <v>47818</v>
      </c>
      <c r="EY39" s="975">
        <v>47849</v>
      </c>
      <c r="EZ39" s="975">
        <v>47880</v>
      </c>
      <c r="FA39" s="975">
        <v>47908</v>
      </c>
      <c r="FB39" s="975">
        <v>47939</v>
      </c>
      <c r="FC39" s="975">
        <v>47969</v>
      </c>
      <c r="FD39" s="975">
        <v>48000</v>
      </c>
      <c r="FE39" s="975">
        <v>48030</v>
      </c>
      <c r="FF39" s="975">
        <v>48061</v>
      </c>
      <c r="FG39" s="975">
        <v>48092</v>
      </c>
      <c r="FH39" s="975">
        <v>48122</v>
      </c>
      <c r="FI39" s="975">
        <v>48153</v>
      </c>
      <c r="FJ39" s="975">
        <v>48183</v>
      </c>
      <c r="FK39" s="975">
        <v>48214</v>
      </c>
      <c r="FL39" s="975">
        <v>48245</v>
      </c>
      <c r="FM39" s="975">
        <v>48274</v>
      </c>
      <c r="FN39" s="975">
        <v>48305</v>
      </c>
      <c r="FO39" s="975">
        <v>48335</v>
      </c>
      <c r="FP39" s="975">
        <v>48366</v>
      </c>
      <c r="FQ39" s="975">
        <v>48396</v>
      </c>
      <c r="FR39" s="975">
        <v>48427</v>
      </c>
      <c r="FS39" s="975">
        <v>48458</v>
      </c>
      <c r="FT39" s="975">
        <v>48488</v>
      </c>
      <c r="FU39" s="975">
        <v>48519</v>
      </c>
      <c r="FV39" s="975">
        <v>48549</v>
      </c>
      <c r="FW39" s="975">
        <v>48580</v>
      </c>
      <c r="FX39" s="975">
        <v>48611</v>
      </c>
      <c r="FY39" s="975">
        <v>48639</v>
      </c>
      <c r="FZ39" s="975">
        <v>48670</v>
      </c>
      <c r="GA39" s="975">
        <v>48700</v>
      </c>
      <c r="GB39" s="975">
        <v>48731</v>
      </c>
      <c r="GC39" s="975">
        <v>48761</v>
      </c>
      <c r="GD39" s="975">
        <v>48792</v>
      </c>
      <c r="GE39" s="975">
        <v>48823</v>
      </c>
      <c r="GF39" s="975">
        <v>48853</v>
      </c>
      <c r="GG39" s="975">
        <v>48884</v>
      </c>
      <c r="GH39" s="975">
        <v>48914</v>
      </c>
      <c r="GI39" s="975">
        <v>48945</v>
      </c>
      <c r="GJ39" s="975">
        <v>48976</v>
      </c>
      <c r="GK39" s="975">
        <v>49004</v>
      </c>
      <c r="GL39" s="975">
        <v>49035</v>
      </c>
      <c r="GM39" s="975">
        <v>49065</v>
      </c>
      <c r="GN39" s="975">
        <v>49096</v>
      </c>
      <c r="GO39" s="975">
        <v>49126</v>
      </c>
      <c r="GP39" s="975">
        <v>49157</v>
      </c>
      <c r="GQ39" s="975">
        <v>49188</v>
      </c>
      <c r="GR39" s="975">
        <v>49218</v>
      </c>
      <c r="GS39" s="975">
        <v>49249</v>
      </c>
      <c r="GT39" s="975">
        <v>49279</v>
      </c>
    </row>
    <row r="40" spans="2:202" x14ac:dyDescent="0.25">
      <c r="B40" s="240" t="s">
        <v>25</v>
      </c>
      <c r="C40" s="1421"/>
      <c r="D40" s="1421"/>
      <c r="E40" s="1421"/>
      <c r="F40" s="1421"/>
      <c r="G40" s="1421"/>
      <c r="H40" s="326"/>
      <c r="I40" s="18"/>
      <c r="J40" s="441"/>
      <c r="K40" s="1424" t="s">
        <v>26</v>
      </c>
      <c r="L40" s="1425"/>
      <c r="M40" s="1425"/>
      <c r="N40" s="1425"/>
      <c r="O40" s="1425"/>
      <c r="P40" s="1425"/>
      <c r="Q40" s="1425"/>
      <c r="R40" s="675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 x14ac:dyDescent="0.25">
      <c r="B41" s="353" t="s">
        <v>27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5"/>
      <c r="S41" s="1058">
        <v>7</v>
      </c>
      <c r="T41" s="1059">
        <v>7</v>
      </c>
      <c r="U41" s="1059">
        <v>7</v>
      </c>
      <c r="V41" s="1060">
        <v>7</v>
      </c>
      <c r="W41" s="1058">
        <v>7</v>
      </c>
      <c r="X41" s="1059">
        <v>69</v>
      </c>
      <c r="Y41" s="1059"/>
      <c r="Z41" s="1059"/>
      <c r="AA41" s="1059"/>
      <c r="AB41" s="1059"/>
      <c r="AC41" s="1059"/>
      <c r="AD41" s="1059"/>
      <c r="AE41" s="1059"/>
      <c r="AF41" s="1059"/>
      <c r="AG41" s="1059"/>
      <c r="AH41" s="1060"/>
      <c r="AI41" s="1058"/>
      <c r="AJ41" s="1059">
        <v>69</v>
      </c>
      <c r="AK41" s="1059"/>
      <c r="AL41" s="1059"/>
      <c r="AM41" s="1059"/>
      <c r="AN41" s="1059"/>
      <c r="AO41" s="1059"/>
      <c r="AP41" s="1059"/>
      <c r="AQ41" s="1059"/>
      <c r="AR41" s="1059"/>
      <c r="AS41" s="1059"/>
      <c r="AT41" s="1060"/>
      <c r="AU41" s="1058"/>
      <c r="AV41" s="1059">
        <v>19.670000000000002</v>
      </c>
      <c r="AW41" s="1059">
        <v>19.670000000000002</v>
      </c>
      <c r="AX41" s="1059">
        <v>19.66</v>
      </c>
      <c r="AY41" s="1059"/>
      <c r="AZ41" s="1059"/>
      <c r="BA41" s="1059"/>
      <c r="BB41" s="1059"/>
      <c r="BC41" s="1059"/>
      <c r="BD41" s="1059"/>
      <c r="BE41" s="1059"/>
      <c r="BF41" s="1060"/>
      <c r="BG41" s="1058"/>
      <c r="BH41" s="1059"/>
      <c r="BI41" s="1059"/>
      <c r="BJ41" s="1059">
        <v>43.99</v>
      </c>
      <c r="BK41" s="1059"/>
      <c r="BL41" s="1059"/>
      <c r="BM41" s="1059"/>
      <c r="BN41" s="1059"/>
      <c r="BO41" s="1059"/>
      <c r="BP41" s="1059"/>
      <c r="BQ41" s="1059"/>
      <c r="BR41" s="1059"/>
      <c r="BS41" s="1058"/>
      <c r="BT41" s="1059">
        <v>16</v>
      </c>
      <c r="BU41" s="1059">
        <v>16</v>
      </c>
      <c r="BV41" s="1059">
        <v>15.99</v>
      </c>
      <c r="BW41" s="1059"/>
      <c r="BX41" s="1059"/>
      <c r="BY41" s="1059"/>
      <c r="BZ41" s="1059"/>
      <c r="CA41" s="1059"/>
      <c r="CB41" s="1059"/>
      <c r="CC41" s="1059"/>
      <c r="CD41" s="1060"/>
      <c r="CE41" s="1058"/>
      <c r="CF41" s="1059"/>
      <c r="CG41" s="1059"/>
      <c r="CH41" s="1059">
        <v>46.99</v>
      </c>
      <c r="CI41" s="1059"/>
      <c r="CJ41" s="1059"/>
      <c r="CK41" s="1059"/>
      <c r="CL41" s="1059"/>
      <c r="CM41" s="1059"/>
      <c r="CN41" s="1059"/>
      <c r="CO41" s="1059"/>
      <c r="CP41" s="1060"/>
      <c r="CQ41" s="1058"/>
      <c r="CR41" s="1059"/>
      <c r="CS41" s="1059"/>
      <c r="CT41" s="1059">
        <v>46.99</v>
      </c>
      <c r="CU41" s="1059"/>
      <c r="CV41" s="1059"/>
      <c r="CW41" s="1059"/>
      <c r="CX41" s="1059"/>
      <c r="CY41" s="1059"/>
      <c r="CZ41" s="1059"/>
      <c r="DA41" s="1059"/>
      <c r="DB41" s="1060"/>
      <c r="DC41" s="1059"/>
      <c r="DD41" s="1059"/>
      <c r="DE41" s="1059"/>
      <c r="DF41" s="1059"/>
      <c r="DG41" s="1059"/>
      <c r="DH41" s="1059"/>
      <c r="DI41" s="1059"/>
      <c r="DJ41" s="1059"/>
      <c r="DK41" s="1059"/>
      <c r="DL41" s="1059"/>
      <c r="DM41" s="1059"/>
      <c r="DN41" s="1059"/>
      <c r="DO41" s="1058"/>
      <c r="DP41" s="1059"/>
      <c r="DQ41" s="1059"/>
      <c r="DR41" s="1059"/>
      <c r="DS41" s="1059"/>
      <c r="DT41" s="1059"/>
      <c r="DU41" s="1059"/>
      <c r="DV41" s="1059"/>
      <c r="DW41" s="1059"/>
      <c r="DX41" s="1059"/>
      <c r="DY41" s="1059"/>
      <c r="DZ41" s="1060"/>
      <c r="EA41" s="1058"/>
      <c r="EB41" s="1059"/>
      <c r="EC41" s="1059"/>
      <c r="ED41" s="1059"/>
      <c r="EE41" s="1059"/>
      <c r="EF41" s="1059"/>
      <c r="EG41" s="1059"/>
      <c r="EH41" s="1059"/>
      <c r="EI41" s="1059"/>
      <c r="EJ41" s="1059"/>
      <c r="EK41" s="1059"/>
      <c r="EL41" s="1060"/>
      <c r="EM41" s="1059"/>
      <c r="EN41" s="1059"/>
      <c r="EO41" s="1059"/>
      <c r="EP41" s="1059"/>
      <c r="EQ41" s="1059"/>
      <c r="ER41" s="1059"/>
      <c r="ES41" s="1059"/>
      <c r="ET41" s="1059"/>
      <c r="EU41" s="1059"/>
      <c r="EV41" s="1059"/>
      <c r="EW41" s="1059"/>
      <c r="EX41" s="1060"/>
      <c r="EY41" s="1059"/>
      <c r="EZ41" s="1059"/>
      <c r="FA41" s="1059"/>
      <c r="FB41" s="1059"/>
      <c r="FC41" s="1059"/>
      <c r="FD41" s="1059"/>
      <c r="FE41" s="1059"/>
      <c r="FF41" s="1059"/>
      <c r="FG41" s="1059"/>
      <c r="FH41" s="1059"/>
      <c r="FI41" s="1059"/>
      <c r="FJ41" s="1060"/>
      <c r="FK41" s="1059"/>
      <c r="FL41" s="1059"/>
      <c r="FM41" s="1059"/>
      <c r="FN41" s="1059"/>
      <c r="FO41" s="1059"/>
      <c r="FP41" s="1059"/>
      <c r="FQ41" s="1059"/>
      <c r="FR41" s="1059"/>
      <c r="FS41" s="1059"/>
      <c r="FT41" s="1059"/>
      <c r="FU41" s="1059"/>
      <c r="FV41" s="1060"/>
      <c r="FW41" s="1059"/>
      <c r="FX41" s="1059"/>
      <c r="FY41" s="1059"/>
      <c r="FZ41" s="1059"/>
      <c r="GA41" s="1059"/>
      <c r="GB41" s="1059"/>
      <c r="GC41" s="1059"/>
      <c r="GD41" s="1059"/>
      <c r="GE41" s="1059"/>
      <c r="GF41" s="1059"/>
      <c r="GG41" s="1059"/>
      <c r="GH41" s="1060"/>
      <c r="GI41" s="1059"/>
      <c r="GJ41" s="1059"/>
      <c r="GK41" s="1059"/>
      <c r="GL41" s="1059"/>
      <c r="GM41" s="1059"/>
      <c r="GN41" s="1059"/>
      <c r="GO41" s="1059"/>
      <c r="GP41" s="1059"/>
      <c r="GQ41" s="1059"/>
      <c r="GR41" s="1059"/>
      <c r="GS41" s="1059"/>
      <c r="GT41" s="1060"/>
    </row>
    <row r="42" spans="2:202" x14ac:dyDescent="0.25">
      <c r="B42" s="253" t="s">
        <v>28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5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5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 x14ac:dyDescent="0.25">
      <c r="B43" s="350" t="s">
        <v>29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5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5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 x14ac:dyDescent="0.25">
      <c r="B44" s="253" t="s">
        <v>30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5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5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 x14ac:dyDescent="0.25">
      <c r="B45" s="350" t="s">
        <v>31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5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5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 x14ac:dyDescent="0.25">
      <c r="B46" s="253" t="s">
        <v>32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5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5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 x14ac:dyDescent="0.25">
      <c r="B47" s="350" t="s">
        <v>33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5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5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 x14ac:dyDescent="0.25">
      <c r="B48" s="253" t="s">
        <v>34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5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5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 x14ac:dyDescent="0.25">
      <c r="B49" s="350" t="s">
        <v>773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5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5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 x14ac:dyDescent="0.25">
      <c r="B50" s="253" t="s">
        <v>35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5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5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 x14ac:dyDescent="0.25">
      <c r="B51" s="350" t="s">
        <v>36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5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5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 x14ac:dyDescent="0.25">
      <c r="B52" s="254" t="s">
        <v>37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5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5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 x14ac:dyDescent="0.25">
      <c r="B53" s="356" t="s">
        <v>38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5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5"/>
      <c r="S53" s="1055">
        <f t="shared" ref="S53:BD53" si="686">SUM(S41:S52)</f>
        <v>89.960000000000008</v>
      </c>
      <c r="T53" s="1056">
        <f t="shared" si="686"/>
        <v>135.57</v>
      </c>
      <c r="U53" s="1056">
        <f t="shared" si="686"/>
        <v>53.960000000000008</v>
      </c>
      <c r="V53" s="1057">
        <f t="shared" si="686"/>
        <v>53.960000000000008</v>
      </c>
      <c r="W53" s="1055">
        <f t="shared" si="686"/>
        <v>201.54000000000002</v>
      </c>
      <c r="X53" s="1056">
        <f t="shared" si="686"/>
        <v>184.57</v>
      </c>
      <c r="Y53" s="1056">
        <f t="shared" si="686"/>
        <v>27.98</v>
      </c>
      <c r="Z53" s="1056">
        <f t="shared" si="686"/>
        <v>142.56</v>
      </c>
      <c r="AA53" s="1056">
        <f t="shared" si="686"/>
        <v>34.97</v>
      </c>
      <c r="AB53" s="1056">
        <f t="shared" si="686"/>
        <v>27.98</v>
      </c>
      <c r="AC53" s="1056">
        <f t="shared" si="686"/>
        <v>96.57</v>
      </c>
      <c r="AD53" s="1056">
        <f t="shared" si="686"/>
        <v>96.57</v>
      </c>
      <c r="AE53" s="1056">
        <f t="shared" si="686"/>
        <v>80.960000000000008</v>
      </c>
      <c r="AF53" s="1056">
        <f t="shared" si="686"/>
        <v>106.56</v>
      </c>
      <c r="AG53" s="1056">
        <f t="shared" si="686"/>
        <v>44.96</v>
      </c>
      <c r="AH53" s="1057">
        <f t="shared" si="686"/>
        <v>109.92999999999998</v>
      </c>
      <c r="AI53" s="1055">
        <f t="shared" si="686"/>
        <v>141.54</v>
      </c>
      <c r="AJ53" s="1056">
        <f t="shared" si="686"/>
        <v>240.54</v>
      </c>
      <c r="AK53" s="1056">
        <f t="shared" si="686"/>
        <v>94.929999999999978</v>
      </c>
      <c r="AL53" s="1056">
        <f t="shared" si="686"/>
        <v>87.939999999999984</v>
      </c>
      <c r="AM53" s="1056">
        <f t="shared" si="686"/>
        <v>67.95</v>
      </c>
      <c r="AN53" s="1056">
        <f t="shared" si="686"/>
        <v>182.48000000000002</v>
      </c>
      <c r="AO53" s="1056">
        <f t="shared" si="686"/>
        <v>57.96</v>
      </c>
      <c r="AP53" s="1056">
        <f t="shared" si="686"/>
        <v>67.95</v>
      </c>
      <c r="AQ53" s="1056">
        <f t="shared" si="686"/>
        <v>99.95</v>
      </c>
      <c r="AR53" s="1056">
        <f t="shared" si="686"/>
        <v>103.92</v>
      </c>
      <c r="AS53" s="1056">
        <f>SUM(AS41:AS52)</f>
        <v>70.95</v>
      </c>
      <c r="AT53" s="1057">
        <f t="shared" si="686"/>
        <v>92.929999999999993</v>
      </c>
      <c r="AU53" s="1055">
        <f t="shared" si="686"/>
        <v>90.94</v>
      </c>
      <c r="AV53" s="1056">
        <f t="shared" si="686"/>
        <v>104.59999999999998</v>
      </c>
      <c r="AW53" s="1056">
        <f>SUM(AW41:AW52)</f>
        <v>100.60999999999999</v>
      </c>
      <c r="AX53" s="1056">
        <f t="shared" si="686"/>
        <v>113.58999999999999</v>
      </c>
      <c r="AY53" s="1056">
        <f t="shared" si="686"/>
        <v>63.95</v>
      </c>
      <c r="AZ53" s="1056">
        <f>SUM(AZ41:AZ52)</f>
        <v>83.94</v>
      </c>
      <c r="BA53" s="1056">
        <f t="shared" si="686"/>
        <v>63.95</v>
      </c>
      <c r="BB53" s="1056">
        <f t="shared" si="686"/>
        <v>123.94</v>
      </c>
      <c r="BC53" s="1056">
        <f t="shared" si="686"/>
        <v>113.85</v>
      </c>
      <c r="BD53" s="1056">
        <f t="shared" si="686"/>
        <v>63.95</v>
      </c>
      <c r="BE53" s="1056">
        <f>SUM(BE41:BE52)</f>
        <v>63.95</v>
      </c>
      <c r="BF53" s="1057">
        <f t="shared" ref="BF53" si="687">SUM(BF41:BF52)</f>
        <v>63.95</v>
      </c>
      <c r="BG53" s="1055">
        <f t="shared" ref="BG53:BH53" si="688">SUM(BG41:BG52)</f>
        <v>63.95</v>
      </c>
      <c r="BH53" s="1056">
        <f t="shared" si="688"/>
        <v>63.95</v>
      </c>
      <c r="BI53" s="1056">
        <f t="shared" ref="BI53:DT53" si="689">SUM(BI41:BI52)</f>
        <v>63.95</v>
      </c>
      <c r="BJ53" s="1056">
        <f>SUM(BJ41:BJ52)</f>
        <v>107.93999999999998</v>
      </c>
      <c r="BK53" s="1056">
        <f t="shared" si="689"/>
        <v>63.95</v>
      </c>
      <c r="BL53" s="1056">
        <f t="shared" si="689"/>
        <v>63.95</v>
      </c>
      <c r="BM53" s="1056">
        <f t="shared" si="689"/>
        <v>63.95</v>
      </c>
      <c r="BN53" s="1056">
        <f t="shared" si="689"/>
        <v>63.95</v>
      </c>
      <c r="BO53" s="1056">
        <f t="shared" si="689"/>
        <v>114.85</v>
      </c>
      <c r="BP53" s="1056">
        <f t="shared" si="689"/>
        <v>64.95</v>
      </c>
      <c r="BQ53" s="1056">
        <f t="shared" si="689"/>
        <v>65.960000000000008</v>
      </c>
      <c r="BR53" s="1056">
        <f t="shared" si="689"/>
        <v>64.95</v>
      </c>
      <c r="BS53" s="1055">
        <f t="shared" si="689"/>
        <v>64.95</v>
      </c>
      <c r="BT53" s="1056">
        <f t="shared" si="689"/>
        <v>95.94</v>
      </c>
      <c r="BU53" s="1056">
        <f t="shared" si="689"/>
        <v>95.94</v>
      </c>
      <c r="BV53" s="1056">
        <f>SUM(BV41:BV52)</f>
        <v>95.929999999999993</v>
      </c>
      <c r="BW53" s="1056">
        <f t="shared" si="689"/>
        <v>79.94</v>
      </c>
      <c r="BX53" s="1056">
        <f t="shared" si="689"/>
        <v>80.94</v>
      </c>
      <c r="BY53" s="1056">
        <f>SUM(BY41:BY52)-BY49</f>
        <v>80.95</v>
      </c>
      <c r="BZ53" s="1056">
        <f t="shared" si="689"/>
        <v>90.94</v>
      </c>
      <c r="CA53" s="1056">
        <f t="shared" si="689"/>
        <v>143.83999999999997</v>
      </c>
      <c r="CB53" s="1056">
        <f t="shared" si="689"/>
        <v>93.939999999999984</v>
      </c>
      <c r="CC53" s="1056">
        <f t="shared" si="689"/>
        <v>82.949999999999989</v>
      </c>
      <c r="CD53" s="1057">
        <f t="shared" si="689"/>
        <v>101.92999999999998</v>
      </c>
      <c r="CE53" s="1055">
        <f t="shared" si="689"/>
        <v>112.91999999999997</v>
      </c>
      <c r="CF53" s="1056">
        <f t="shared" si="689"/>
        <v>102.92999999999998</v>
      </c>
      <c r="CG53" s="1056">
        <f t="shared" si="689"/>
        <v>101.33999999999997</v>
      </c>
      <c r="CH53" s="1056">
        <f t="shared" si="689"/>
        <v>149.59</v>
      </c>
      <c r="CI53" s="1056">
        <f t="shared" si="689"/>
        <v>104.92999999999998</v>
      </c>
      <c r="CJ53" s="1056">
        <f t="shared" si="689"/>
        <v>101.92999999999998</v>
      </c>
      <c r="CK53" s="1056">
        <f t="shared" si="689"/>
        <v>92.939999999999984</v>
      </c>
      <c r="CL53" s="1056">
        <f t="shared" si="689"/>
        <v>92.939999999999984</v>
      </c>
      <c r="CM53" s="1056">
        <f t="shared" si="689"/>
        <v>142.83999999999997</v>
      </c>
      <c r="CN53" s="1056">
        <f t="shared" si="689"/>
        <v>75.95</v>
      </c>
      <c r="CO53" s="1056">
        <f t="shared" si="689"/>
        <v>83.949999999999989</v>
      </c>
      <c r="CP53" s="1057">
        <f t="shared" si="689"/>
        <v>83.949999999999989</v>
      </c>
      <c r="CQ53" s="1055">
        <f t="shared" si="689"/>
        <v>83.949999999999989</v>
      </c>
      <c r="CR53" s="1056">
        <f t="shared" si="689"/>
        <v>91.94</v>
      </c>
      <c r="CS53" s="1056">
        <f t="shared" si="689"/>
        <v>81.949999999999989</v>
      </c>
      <c r="CT53" s="1056">
        <f t="shared" si="689"/>
        <v>128.94</v>
      </c>
      <c r="CU53" s="1056">
        <f t="shared" si="689"/>
        <v>81.949999999999989</v>
      </c>
      <c r="CV53" s="1056">
        <f t="shared" si="689"/>
        <v>81.949999999999989</v>
      </c>
      <c r="CW53" s="1056">
        <f t="shared" si="689"/>
        <v>81.949999999999989</v>
      </c>
      <c r="CX53" s="1056">
        <f t="shared" si="689"/>
        <v>81.949999999999989</v>
      </c>
      <c r="CY53" s="1056">
        <f t="shared" si="689"/>
        <v>131.85</v>
      </c>
      <c r="CZ53" s="1056">
        <f t="shared" si="689"/>
        <v>81.949999999999989</v>
      </c>
      <c r="DA53" s="1056">
        <f t="shared" si="689"/>
        <v>81.949999999999989</v>
      </c>
      <c r="DB53" s="1057">
        <f t="shared" si="689"/>
        <v>81.949999999999989</v>
      </c>
      <c r="DC53" s="1056">
        <f t="shared" si="689"/>
        <v>94.939999999999984</v>
      </c>
      <c r="DD53" s="1056">
        <f t="shared" si="689"/>
        <v>94.939999999999984</v>
      </c>
      <c r="DE53" s="1056">
        <f t="shared" si="689"/>
        <v>94.939999999999984</v>
      </c>
      <c r="DF53" s="1056">
        <f t="shared" si="689"/>
        <v>94.939999999999984</v>
      </c>
      <c r="DG53" s="1056">
        <f t="shared" si="689"/>
        <v>94.939999999999984</v>
      </c>
      <c r="DH53" s="1056">
        <f t="shared" si="689"/>
        <v>94.939999999999984</v>
      </c>
      <c r="DI53" s="1056">
        <f t="shared" si="689"/>
        <v>94.939999999999984</v>
      </c>
      <c r="DJ53" s="1056">
        <f t="shared" si="689"/>
        <v>94.939999999999984</v>
      </c>
      <c r="DK53" s="1056">
        <f t="shared" si="689"/>
        <v>144.83999999999997</v>
      </c>
      <c r="DL53" s="1056">
        <f t="shared" si="689"/>
        <v>94.939999999999984</v>
      </c>
      <c r="DM53" s="1056">
        <f t="shared" si="689"/>
        <v>94.939999999999984</v>
      </c>
      <c r="DN53" s="1056">
        <f t="shared" si="689"/>
        <v>94.939999999999984</v>
      </c>
      <c r="DO53" s="1055">
        <f t="shared" si="689"/>
        <v>94.939999999999984</v>
      </c>
      <c r="DP53" s="1056">
        <f t="shared" si="689"/>
        <v>94.939999999999984</v>
      </c>
      <c r="DQ53" s="1056">
        <f t="shared" si="689"/>
        <v>94.939999999999984</v>
      </c>
      <c r="DR53" s="1056">
        <f t="shared" si="689"/>
        <v>94.939999999999984</v>
      </c>
      <c r="DS53" s="1056">
        <f t="shared" si="689"/>
        <v>94.939999999999984</v>
      </c>
      <c r="DT53" s="1056">
        <f t="shared" si="689"/>
        <v>94.939999999999984</v>
      </c>
      <c r="DU53" s="1056">
        <f t="shared" ref="DU53:EQ53" si="690">SUM(DU41:DU52)</f>
        <v>94.939999999999984</v>
      </c>
      <c r="DV53" s="1056">
        <f t="shared" si="690"/>
        <v>94.939999999999984</v>
      </c>
      <c r="DW53" s="1056">
        <f t="shared" si="690"/>
        <v>130.94</v>
      </c>
      <c r="DX53" s="1056">
        <f t="shared" si="690"/>
        <v>94.939999999999984</v>
      </c>
      <c r="DY53" s="1056">
        <f t="shared" si="690"/>
        <v>94.939999999999984</v>
      </c>
      <c r="DZ53" s="1057">
        <f t="shared" si="690"/>
        <v>94.939999999999984</v>
      </c>
      <c r="EA53" s="1055">
        <f t="shared" si="690"/>
        <v>94.939999999999984</v>
      </c>
      <c r="EB53" s="1056">
        <f t="shared" si="690"/>
        <v>94.939999999999984</v>
      </c>
      <c r="EC53" s="1056">
        <f t="shared" si="690"/>
        <v>94.939999999999984</v>
      </c>
      <c r="ED53" s="1056">
        <f t="shared" si="690"/>
        <v>94.939999999999984</v>
      </c>
      <c r="EE53" s="1056">
        <f t="shared" si="690"/>
        <v>94.939999999999984</v>
      </c>
      <c r="EF53" s="1056">
        <f t="shared" si="690"/>
        <v>94.939999999999984</v>
      </c>
      <c r="EG53" s="1056">
        <f t="shared" si="690"/>
        <v>94.939999999999984</v>
      </c>
      <c r="EH53" s="1056">
        <f t="shared" si="690"/>
        <v>94.939999999999984</v>
      </c>
      <c r="EI53" s="1056">
        <f t="shared" si="690"/>
        <v>130.94</v>
      </c>
      <c r="EJ53" s="1056">
        <f t="shared" si="690"/>
        <v>94.939999999999984</v>
      </c>
      <c r="EK53" s="1056">
        <f t="shared" si="690"/>
        <v>94.939999999999984</v>
      </c>
      <c r="EL53" s="1057">
        <f t="shared" si="690"/>
        <v>94.939999999999984</v>
      </c>
      <c r="EM53" s="1056">
        <f t="shared" si="690"/>
        <v>94.939999999999984</v>
      </c>
      <c r="EN53" s="1056">
        <f t="shared" si="690"/>
        <v>94.939999999999984</v>
      </c>
      <c r="EO53" s="1056">
        <f t="shared" si="690"/>
        <v>94.939999999999984</v>
      </c>
      <c r="EP53" s="1056">
        <f t="shared" si="690"/>
        <v>94.939999999999984</v>
      </c>
      <c r="EQ53" s="1056">
        <f t="shared" si="690"/>
        <v>94.939999999999984</v>
      </c>
      <c r="ER53" s="1056">
        <f t="shared" ref="ER53:EX53" si="691">SUM(ER41:ER52)</f>
        <v>94.939999999999984</v>
      </c>
      <c r="ES53" s="1056">
        <f t="shared" si="691"/>
        <v>94.939999999999984</v>
      </c>
      <c r="ET53" s="1056">
        <f t="shared" si="691"/>
        <v>94.939999999999984</v>
      </c>
      <c r="EU53" s="1056">
        <f t="shared" si="691"/>
        <v>81.949999999999989</v>
      </c>
      <c r="EV53" s="1056">
        <f t="shared" si="691"/>
        <v>81.949999999999989</v>
      </c>
      <c r="EW53" s="1056">
        <f t="shared" si="691"/>
        <v>81.949999999999989</v>
      </c>
      <c r="EX53" s="1057">
        <f t="shared" si="691"/>
        <v>81.949999999999989</v>
      </c>
      <c r="EY53" s="1056">
        <f t="shared" ref="EY53:GM53" si="692">SUM(EY41:EY52)</f>
        <v>81.949999999999989</v>
      </c>
      <c r="EZ53" s="1056">
        <f t="shared" si="692"/>
        <v>81.949999999999989</v>
      </c>
      <c r="FA53" s="1056">
        <f t="shared" si="692"/>
        <v>81.949999999999989</v>
      </c>
      <c r="FB53" s="1056">
        <f t="shared" si="692"/>
        <v>81.949999999999989</v>
      </c>
      <c r="FC53" s="1056">
        <f t="shared" si="692"/>
        <v>81.949999999999989</v>
      </c>
      <c r="FD53" s="1056">
        <f t="shared" si="692"/>
        <v>81.949999999999989</v>
      </c>
      <c r="FE53" s="1056">
        <f t="shared" si="692"/>
        <v>81.949999999999989</v>
      </c>
      <c r="FF53" s="1056">
        <f t="shared" si="692"/>
        <v>81.949999999999989</v>
      </c>
      <c r="FG53" s="1056">
        <f t="shared" si="692"/>
        <v>81.949999999999989</v>
      </c>
      <c r="FH53" s="1056">
        <f t="shared" si="692"/>
        <v>81.949999999999989</v>
      </c>
      <c r="FI53" s="1056">
        <f t="shared" si="692"/>
        <v>81.949999999999989</v>
      </c>
      <c r="FJ53" s="1057">
        <f t="shared" si="692"/>
        <v>81.949999999999989</v>
      </c>
      <c r="FK53" s="1056">
        <f t="shared" si="692"/>
        <v>81.949999999999989</v>
      </c>
      <c r="FL53" s="1056">
        <f t="shared" si="692"/>
        <v>81.949999999999989</v>
      </c>
      <c r="FM53" s="1056">
        <f t="shared" si="692"/>
        <v>81.949999999999989</v>
      </c>
      <c r="FN53" s="1056">
        <f t="shared" si="692"/>
        <v>81.949999999999989</v>
      </c>
      <c r="FO53" s="1056">
        <f t="shared" si="692"/>
        <v>81.949999999999989</v>
      </c>
      <c r="FP53" s="1056">
        <f t="shared" si="692"/>
        <v>81.949999999999989</v>
      </c>
      <c r="FQ53" s="1056">
        <f t="shared" si="692"/>
        <v>81.949999999999989</v>
      </c>
      <c r="FR53" s="1056">
        <f t="shared" si="692"/>
        <v>81.949999999999989</v>
      </c>
      <c r="FS53" s="1056">
        <f t="shared" si="692"/>
        <v>81.949999999999989</v>
      </c>
      <c r="FT53" s="1056">
        <f t="shared" si="692"/>
        <v>81.949999999999989</v>
      </c>
      <c r="FU53" s="1056">
        <f t="shared" si="692"/>
        <v>81.949999999999989</v>
      </c>
      <c r="FV53" s="1057">
        <f t="shared" si="692"/>
        <v>81.949999999999989</v>
      </c>
      <c r="FW53" s="1056">
        <f t="shared" si="692"/>
        <v>81.949999999999989</v>
      </c>
      <c r="FX53" s="1056">
        <f t="shared" si="692"/>
        <v>81.949999999999989</v>
      </c>
      <c r="FY53" s="1056">
        <f t="shared" si="692"/>
        <v>81.949999999999989</v>
      </c>
      <c r="FZ53" s="1056">
        <f t="shared" si="692"/>
        <v>81.949999999999989</v>
      </c>
      <c r="GA53" s="1056">
        <f t="shared" si="692"/>
        <v>81.949999999999989</v>
      </c>
      <c r="GB53" s="1056">
        <f t="shared" si="692"/>
        <v>81.949999999999989</v>
      </c>
      <c r="GC53" s="1056">
        <f t="shared" si="692"/>
        <v>81.949999999999989</v>
      </c>
      <c r="GD53" s="1056">
        <f t="shared" si="692"/>
        <v>81.949999999999989</v>
      </c>
      <c r="GE53" s="1056">
        <f t="shared" si="692"/>
        <v>81.949999999999989</v>
      </c>
      <c r="GF53" s="1056">
        <f t="shared" si="692"/>
        <v>81.949999999999989</v>
      </c>
      <c r="GG53" s="1056">
        <f t="shared" si="692"/>
        <v>81.949999999999989</v>
      </c>
      <c r="GH53" s="1057">
        <f t="shared" si="692"/>
        <v>81.949999999999989</v>
      </c>
      <c r="GI53" s="1056">
        <f t="shared" si="692"/>
        <v>81.949999999999989</v>
      </c>
      <c r="GJ53" s="1056">
        <f t="shared" si="692"/>
        <v>81.949999999999989</v>
      </c>
      <c r="GK53" s="1056">
        <f t="shared" si="692"/>
        <v>81.949999999999989</v>
      </c>
      <c r="GL53" s="1056">
        <f t="shared" si="692"/>
        <v>81.949999999999989</v>
      </c>
      <c r="GM53" s="1056">
        <f t="shared" si="692"/>
        <v>81.949999999999989</v>
      </c>
      <c r="GN53" s="1056">
        <f t="shared" ref="GN53:GT53" si="693">SUM(GN41:GN52)</f>
        <v>81.949999999999989</v>
      </c>
      <c r="GO53" s="1056">
        <f t="shared" si="693"/>
        <v>81.949999999999989</v>
      </c>
      <c r="GP53" s="1056">
        <f t="shared" si="693"/>
        <v>81.949999999999989</v>
      </c>
      <c r="GQ53" s="1056">
        <f t="shared" si="693"/>
        <v>81.949999999999989</v>
      </c>
      <c r="GR53" s="1056">
        <f t="shared" si="693"/>
        <v>81.949999999999989</v>
      </c>
      <c r="GS53" s="1056">
        <f t="shared" si="693"/>
        <v>81.949999999999989</v>
      </c>
      <c r="GT53" s="1057">
        <f t="shared" si="693"/>
        <v>81.949999999999989</v>
      </c>
    </row>
    <row r="54" spans="1:202" x14ac:dyDescent="0.25">
      <c r="B54" s="255"/>
      <c r="C54" s="43"/>
      <c r="D54" s="43"/>
      <c r="E54" s="43"/>
      <c r="F54" s="43"/>
      <c r="G54" s="43"/>
      <c r="H54" s="43"/>
      <c r="I54" s="43"/>
      <c r="J54" s="1098"/>
      <c r="K54" s="1151"/>
      <c r="L54" s="1151"/>
      <c r="M54" s="1151"/>
      <c r="N54" s="1151"/>
      <c r="O54" s="1151"/>
      <c r="P54" s="1151"/>
      <c r="Q54" s="1151"/>
      <c r="R54" s="1098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 x14ac:dyDescent="0.25">
      <c r="A55" s="237"/>
      <c r="B55" s="256" t="s">
        <v>39</v>
      </c>
      <c r="C55" s="241"/>
      <c r="D55" s="241"/>
      <c r="E55" s="241"/>
      <c r="F55" s="241"/>
      <c r="G55" s="241"/>
      <c r="H55" s="241"/>
      <c r="I55" s="241"/>
      <c r="J55" s="1098"/>
      <c r="K55" s="1152"/>
      <c r="L55" s="1152"/>
      <c r="M55" s="1152"/>
      <c r="N55" s="1152"/>
      <c r="O55" s="1152"/>
      <c r="P55" s="1282"/>
      <c r="Q55" s="1151"/>
      <c r="R55" s="1098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 x14ac:dyDescent="0.25">
      <c r="B56" s="253" t="s">
        <v>40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44">
        <f>SUM(CQ56:DB56)</f>
        <v>3784.1859999999992</v>
      </c>
      <c r="J56" s="675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63">
        <f>IFERROR(AVERAGEIF(CP56:DB56,"&gt;0"),0)</f>
        <v>1399.9665</v>
      </c>
      <c r="R56" s="675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1285.1079999999997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 x14ac:dyDescent="0.25">
      <c r="B57" s="350" t="s">
        <v>41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5">
        <f t="shared" ref="I57:I63" si="702">SUM(CQ57:DB57)</f>
        <v>0</v>
      </c>
      <c r="J57" s="675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5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 x14ac:dyDescent="0.25">
      <c r="B58" s="253" t="s">
        <v>17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7">
        <f t="shared" si="702"/>
        <v>0</v>
      </c>
      <c r="J58" s="675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5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 x14ac:dyDescent="0.25">
      <c r="B59" s="350" t="s">
        <v>42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5">
        <f t="shared" si="702"/>
        <v>0</v>
      </c>
      <c r="J59" s="675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5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 x14ac:dyDescent="0.25">
      <c r="B60" s="253" t="s">
        <v>43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7">
        <f t="shared" si="702"/>
        <v>0</v>
      </c>
      <c r="J60" s="675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5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 x14ac:dyDescent="0.25">
      <c r="B61" s="351" t="s">
        <v>44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6">
        <f t="shared" si="702"/>
        <v>0</v>
      </c>
      <c r="J61" s="675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5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 x14ac:dyDescent="0.25">
      <c r="B62" s="257" t="s">
        <v>45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7">
        <f t="shared" si="706"/>
        <v>3784.1859999999992</v>
      </c>
      <c r="J62" s="675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1261.3953333333332</v>
      </c>
      <c r="R62" s="675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1285.1079999999997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6" customFormat="1" x14ac:dyDescent="0.25">
      <c r="A63" s="443"/>
      <c r="B63" s="666" t="s">
        <v>20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8">
        <f t="shared" si="702"/>
        <v>87.82</v>
      </c>
      <c r="J63" s="671"/>
      <c r="K63" s="1061">
        <f t="shared" ref="K63:Q63" si="716">C63/12</f>
        <v>31.189166666666669</v>
      </c>
      <c r="L63" s="1061">
        <f t="shared" si="716"/>
        <v>17.407499999999999</v>
      </c>
      <c r="M63" s="1061">
        <f t="shared" si="716"/>
        <v>1.3333333333333333</v>
      </c>
      <c r="N63" s="1061">
        <f t="shared" si="716"/>
        <v>0.83333333333333337</v>
      </c>
      <c r="O63" s="1061">
        <f t="shared" si="716"/>
        <v>56.895833333333343</v>
      </c>
      <c r="P63" s="1061">
        <f t="shared" si="716"/>
        <v>22.429166666666671</v>
      </c>
      <c r="Q63" s="1061">
        <f t="shared" si="716"/>
        <v>7.3183333333333325</v>
      </c>
      <c r="R63" s="671"/>
      <c r="S63" s="672">
        <v>19.3</v>
      </c>
      <c r="T63" s="673"/>
      <c r="U63" s="673"/>
      <c r="V63" s="674"/>
      <c r="W63" s="672">
        <v>343.29</v>
      </c>
      <c r="X63" s="673"/>
      <c r="Y63" s="673"/>
      <c r="Z63" s="673"/>
      <c r="AA63" s="673">
        <v>15.99</v>
      </c>
      <c r="AB63" s="673">
        <v>9.99</v>
      </c>
      <c r="AC63" s="673"/>
      <c r="AD63" s="673"/>
      <c r="AE63" s="673"/>
      <c r="AF63" s="673"/>
      <c r="AG63" s="673"/>
      <c r="AH63" s="674">
        <v>5</v>
      </c>
      <c r="AI63" s="672"/>
      <c r="AJ63" s="673"/>
      <c r="AK63" s="673"/>
      <c r="AL63" s="673"/>
      <c r="AM63" s="673"/>
      <c r="AN63" s="673"/>
      <c r="AO63" s="673"/>
      <c r="AP63" s="673"/>
      <c r="AQ63" s="673"/>
      <c r="AR63" s="673"/>
      <c r="AS63" s="673"/>
      <c r="AT63" s="674">
        <v>208.89</v>
      </c>
      <c r="AU63" s="672"/>
      <c r="AV63" s="673"/>
      <c r="AW63" s="673"/>
      <c r="AX63" s="673"/>
      <c r="AY63" s="673"/>
      <c r="AZ63" s="673"/>
      <c r="BA63" s="673">
        <v>16</v>
      </c>
      <c r="BB63" s="673"/>
      <c r="BC63" s="673"/>
      <c r="BD63" s="673"/>
      <c r="BE63" s="673"/>
      <c r="BF63" s="674"/>
      <c r="BG63" s="672"/>
      <c r="BH63" s="673"/>
      <c r="BI63" s="673"/>
      <c r="BJ63" s="673"/>
      <c r="BK63" s="673"/>
      <c r="BL63" s="673"/>
      <c r="BM63" s="673"/>
      <c r="BN63" s="673"/>
      <c r="BO63" s="673"/>
      <c r="BP63" s="673"/>
      <c r="BQ63" s="673"/>
      <c r="BR63" s="673">
        <v>10</v>
      </c>
      <c r="BS63" s="672"/>
      <c r="BT63" s="673"/>
      <c r="BU63" s="673"/>
      <c r="BV63" s="673"/>
      <c r="BW63" s="673"/>
      <c r="BX63" s="673"/>
      <c r="BY63" s="673"/>
      <c r="BZ63" s="673">
        <v>607.21</v>
      </c>
      <c r="CA63" s="673"/>
      <c r="CB63" s="673"/>
      <c r="CC63" s="673">
        <f>30+0.97</f>
        <v>30.97</v>
      </c>
      <c r="CD63" s="674">
        <f>3.58+9.99+17.99+13.01</f>
        <v>44.57</v>
      </c>
      <c r="CE63" s="672">
        <v>6.99</v>
      </c>
      <c r="CF63" s="673"/>
      <c r="CG63" s="673"/>
      <c r="CH63" s="673">
        <f>46.99+17.99+19.95+27.53+61.68+6.04</f>
        <v>180.18</v>
      </c>
      <c r="CI63" s="673"/>
      <c r="CJ63" s="673"/>
      <c r="CK63" s="673"/>
      <c r="CL63" s="673"/>
      <c r="CM63" s="673">
        <f>6.99+16.66+12.73+4.99+8.63</f>
        <v>50</v>
      </c>
      <c r="CN63" s="673">
        <v>20</v>
      </c>
      <c r="CO63" s="673">
        <f>6.99+4.99</f>
        <v>11.98</v>
      </c>
      <c r="CP63" s="674"/>
      <c r="CQ63" s="672">
        <v>5</v>
      </c>
      <c r="CR63" s="673">
        <f>5+0.85+8</f>
        <v>13.85</v>
      </c>
      <c r="CS63" s="673">
        <f>29.99+11.99+6.99+20</f>
        <v>68.97</v>
      </c>
      <c r="CT63" s="673"/>
      <c r="CU63" s="673"/>
      <c r="CV63" s="673"/>
      <c r="CW63" s="673"/>
      <c r="CX63" s="673"/>
      <c r="CY63" s="673"/>
      <c r="CZ63" s="673"/>
      <c r="DA63" s="673"/>
      <c r="DB63" s="674"/>
      <c r="DC63" s="673"/>
      <c r="DD63" s="673"/>
      <c r="DE63" s="673"/>
      <c r="DF63" s="673"/>
      <c r="DG63" s="673"/>
      <c r="DH63" s="673"/>
      <c r="DI63" s="673"/>
      <c r="DJ63" s="673"/>
      <c r="DK63" s="673"/>
      <c r="DL63" s="673"/>
      <c r="DM63" s="673"/>
      <c r="DN63" s="673"/>
      <c r="DO63" s="672"/>
      <c r="DP63" s="673"/>
      <c r="DQ63" s="673"/>
      <c r="DR63" s="673"/>
      <c r="DS63" s="673"/>
      <c r="DT63" s="673"/>
      <c r="DU63" s="673"/>
      <c r="DV63" s="673"/>
      <c r="DW63" s="673"/>
      <c r="DX63" s="673"/>
      <c r="DY63" s="673"/>
      <c r="DZ63" s="674"/>
      <c r="EA63" s="672"/>
      <c r="EB63" s="673"/>
      <c r="EC63" s="673"/>
      <c r="ED63" s="673"/>
      <c r="EE63" s="673"/>
      <c r="EF63" s="673"/>
      <c r="EG63" s="673"/>
      <c r="EH63" s="673"/>
      <c r="EI63" s="673"/>
      <c r="EJ63" s="673"/>
      <c r="EK63" s="673"/>
      <c r="EL63" s="674"/>
      <c r="EM63" s="673"/>
      <c r="EN63" s="673"/>
      <c r="EO63" s="673"/>
      <c r="EP63" s="673"/>
      <c r="EQ63" s="673"/>
      <c r="ER63" s="673"/>
      <c r="ES63" s="673"/>
      <c r="ET63" s="673"/>
      <c r="EU63" s="673"/>
      <c r="EV63" s="673"/>
      <c r="EW63" s="673"/>
      <c r="EX63" s="674"/>
      <c r="EY63" s="673"/>
      <c r="EZ63" s="673"/>
      <c r="FA63" s="673"/>
      <c r="FB63" s="673"/>
      <c r="FC63" s="673"/>
      <c r="FD63" s="673"/>
      <c r="FE63" s="673"/>
      <c r="FF63" s="673"/>
      <c r="FG63" s="673"/>
      <c r="FH63" s="673"/>
      <c r="FI63" s="673"/>
      <c r="FJ63" s="674"/>
      <c r="FK63" s="673"/>
      <c r="FL63" s="673"/>
      <c r="FM63" s="673"/>
      <c r="FN63" s="673"/>
      <c r="FO63" s="673"/>
      <c r="FP63" s="673"/>
      <c r="FQ63" s="673"/>
      <c r="FR63" s="673"/>
      <c r="FS63" s="673"/>
      <c r="FT63" s="673"/>
      <c r="FU63" s="673"/>
      <c r="FV63" s="674"/>
      <c r="FW63" s="673"/>
      <c r="FX63" s="673"/>
      <c r="FY63" s="673"/>
      <c r="FZ63" s="673"/>
      <c r="GA63" s="673"/>
      <c r="GB63" s="673"/>
      <c r="GC63" s="673"/>
      <c r="GD63" s="673"/>
      <c r="GE63" s="673"/>
      <c r="GF63" s="673"/>
      <c r="GG63" s="673"/>
      <c r="GH63" s="674"/>
      <c r="GI63" s="673"/>
      <c r="GJ63" s="673"/>
      <c r="GK63" s="673"/>
      <c r="GL63" s="673"/>
      <c r="GM63" s="673"/>
      <c r="GN63" s="673"/>
      <c r="GO63" s="673"/>
      <c r="GP63" s="673"/>
      <c r="GQ63" s="673"/>
      <c r="GR63" s="673"/>
      <c r="GS63" s="673"/>
      <c r="GT63" s="674"/>
    </row>
    <row r="64" spans="1:202" s="49" customFormat="1" x14ac:dyDescent="0.25">
      <c r="B64" s="258" t="s">
        <v>46</v>
      </c>
      <c r="C64" s="1133">
        <f>AVERAGE(W64:AH64)</f>
        <v>1048.6991666666665</v>
      </c>
      <c r="D64" s="1133">
        <f>AVERAGE(AI64:AT64)</f>
        <v>1107.3858333333333</v>
      </c>
      <c r="E64" s="1134">
        <f>AVERAGE(AU64:BF64)</f>
        <v>1079.5200000000002</v>
      </c>
      <c r="F64" s="1135">
        <f>IFERROR(AVERAGE(BG64:BR64),B67)</f>
        <v>1309.0574999999999</v>
      </c>
      <c r="G64" s="1135">
        <f>IFERROR(AVERAGE(BS64:CD64),D65)</f>
        <v>1256.4491666666665</v>
      </c>
      <c r="H64" s="1135">
        <f>IFERROR(AVERAGEIF(CE64:CP64,"&gt;0"),D65)</f>
        <v>1565.6740000000002</v>
      </c>
      <c r="I64" s="1136">
        <f>IFERROR(AVERAGEIF(CQ64:DB64,"&gt;0"),E65)</f>
        <v>1318.0686666666663</v>
      </c>
      <c r="J64" s="1137"/>
      <c r="K64" s="1061">
        <f t="shared" ref="K64" si="717">C64/12</f>
        <v>87.391597222222217</v>
      </c>
      <c r="L64" s="1061">
        <f t="shared" ref="L64" si="718">D64/12</f>
        <v>92.282152777777767</v>
      </c>
      <c r="M64" s="1061">
        <f t="shared" ref="M64" si="719">E64/12</f>
        <v>89.960000000000022</v>
      </c>
      <c r="N64" s="1061">
        <f t="shared" ref="N64" si="720">F64/12</f>
        <v>109.08812499999999</v>
      </c>
      <c r="O64" s="1061">
        <f t="shared" ref="O64" si="721">G64/12</f>
        <v>104.70409722222222</v>
      </c>
      <c r="P64" s="1061">
        <f t="shared" ref="P64" si="722">H64/12</f>
        <v>130.47283333333334</v>
      </c>
      <c r="Q64" s="1061">
        <f t="shared" ref="Q64" si="723">I64/12</f>
        <v>109.83905555555553</v>
      </c>
      <c r="R64" s="1137"/>
      <c r="S64" s="1138">
        <f t="shared" ref="S64:AX64" si="724">IF(S62&gt;0,S53+S62-S63,"")</f>
        <v>925</v>
      </c>
      <c r="T64" s="1139">
        <f t="shared" si="724"/>
        <v>1075.5</v>
      </c>
      <c r="U64" s="1139">
        <f t="shared" si="724"/>
        <v>1120.3800000000001</v>
      </c>
      <c r="V64" s="1140">
        <f t="shared" si="724"/>
        <v>1713.29</v>
      </c>
      <c r="W64" s="1138">
        <f t="shared" si="724"/>
        <v>874.8599999999999</v>
      </c>
      <c r="X64" s="1139">
        <f t="shared" si="724"/>
        <v>1181.77</v>
      </c>
      <c r="Y64" s="1139">
        <f t="shared" si="724"/>
        <v>984.20000000000016</v>
      </c>
      <c r="Z64" s="1139">
        <f t="shared" si="724"/>
        <v>694.98</v>
      </c>
      <c r="AA64" s="1139">
        <f t="shared" si="724"/>
        <v>850.93</v>
      </c>
      <c r="AB64" s="1139">
        <f t="shared" si="724"/>
        <v>875.03</v>
      </c>
      <c r="AC64" s="1139">
        <f t="shared" si="724"/>
        <v>859.71</v>
      </c>
      <c r="AD64" s="1139">
        <f t="shared" si="724"/>
        <v>1975.79</v>
      </c>
      <c r="AE64" s="1139">
        <f t="shared" si="724"/>
        <v>979.2600000000001</v>
      </c>
      <c r="AF64" s="1139">
        <f t="shared" si="724"/>
        <v>1075.6300000000001</v>
      </c>
      <c r="AG64" s="1139">
        <f t="shared" si="724"/>
        <v>875.82</v>
      </c>
      <c r="AH64" s="1140">
        <f t="shared" si="724"/>
        <v>1356.41</v>
      </c>
      <c r="AI64" s="1138">
        <f t="shared" si="724"/>
        <v>1106.6200000000001</v>
      </c>
      <c r="AJ64" s="1139">
        <f t="shared" si="724"/>
        <v>1434.6499999999999</v>
      </c>
      <c r="AK64" s="1139">
        <f t="shared" si="724"/>
        <v>827.02999999999975</v>
      </c>
      <c r="AL64" s="1139">
        <f t="shared" si="724"/>
        <v>1111.8400000000001</v>
      </c>
      <c r="AM64" s="1139">
        <f t="shared" si="724"/>
        <v>1245</v>
      </c>
      <c r="AN64" s="1139">
        <f t="shared" si="724"/>
        <v>1216.5000000000002</v>
      </c>
      <c r="AO64" s="1139">
        <f t="shared" si="724"/>
        <v>1574.23</v>
      </c>
      <c r="AP64" s="1139">
        <f t="shared" si="724"/>
        <v>1201.1499999999999</v>
      </c>
      <c r="AQ64" s="1139">
        <f t="shared" si="724"/>
        <v>728.3900000000001</v>
      </c>
      <c r="AR64" s="1139">
        <f t="shared" si="724"/>
        <v>835.53</v>
      </c>
      <c r="AS64" s="1139">
        <f t="shared" si="724"/>
        <v>996.43999999999994</v>
      </c>
      <c r="AT64" s="1140">
        <f t="shared" si="724"/>
        <v>1011.2500000000001</v>
      </c>
      <c r="AU64" s="1138">
        <f t="shared" si="724"/>
        <v>1033.95</v>
      </c>
      <c r="AV64" s="1139">
        <f t="shared" si="724"/>
        <v>1158.2099999999998</v>
      </c>
      <c r="AW64" s="1139">
        <f t="shared" si="724"/>
        <v>978.69</v>
      </c>
      <c r="AX64" s="1139">
        <f t="shared" si="724"/>
        <v>1048.9100000000001</v>
      </c>
      <c r="AY64" s="1139">
        <f t="shared" ref="AY64:CC64" si="725">IF(AY62&gt;0,AY53+AY62-AY63,"")</f>
        <v>1035.0999999999999</v>
      </c>
      <c r="AZ64" s="1139">
        <f t="shared" si="725"/>
        <v>1215.6500000000001</v>
      </c>
      <c r="BA64" s="1139">
        <f t="shared" si="725"/>
        <v>1073.5</v>
      </c>
      <c r="BB64" s="1139">
        <f t="shared" si="725"/>
        <v>1093.32</v>
      </c>
      <c r="BC64" s="1139">
        <f t="shared" si="725"/>
        <v>1105.3700000000001</v>
      </c>
      <c r="BD64" s="1139">
        <f t="shared" si="725"/>
        <v>845.95</v>
      </c>
      <c r="BE64" s="1139">
        <f t="shared" si="725"/>
        <v>1185.33</v>
      </c>
      <c r="BF64" s="1140">
        <f t="shared" si="725"/>
        <v>1180.26</v>
      </c>
      <c r="BG64" s="1138">
        <f t="shared" si="725"/>
        <v>970.94999999999993</v>
      </c>
      <c r="BH64" s="1139">
        <f t="shared" si="725"/>
        <v>1087.9800000000002</v>
      </c>
      <c r="BI64" s="1139">
        <f t="shared" si="725"/>
        <v>1059.08</v>
      </c>
      <c r="BJ64" s="1139">
        <f t="shared" si="725"/>
        <v>1212.3899999999999</v>
      </c>
      <c r="BK64" s="1139">
        <f t="shared" si="725"/>
        <v>1294.3499999999999</v>
      </c>
      <c r="BL64" s="1139">
        <f t="shared" si="725"/>
        <v>997.95999999999992</v>
      </c>
      <c r="BM64" s="1139">
        <f t="shared" si="725"/>
        <v>1154.55</v>
      </c>
      <c r="BN64" s="1139">
        <f t="shared" si="725"/>
        <v>2349.1999999999998</v>
      </c>
      <c r="BO64" s="1139">
        <f t="shared" si="725"/>
        <v>1112.06</v>
      </c>
      <c r="BP64" s="1139">
        <f t="shared" si="725"/>
        <v>1112.51</v>
      </c>
      <c r="BQ64" s="1139">
        <f t="shared" si="725"/>
        <v>1469.3699999999994</v>
      </c>
      <c r="BR64" s="1139">
        <f t="shared" si="725"/>
        <v>1888.2900000000002</v>
      </c>
      <c r="BS64" s="1138">
        <f t="shared" si="725"/>
        <v>848.2399999999999</v>
      </c>
      <c r="BT64" s="1139">
        <f t="shared" si="725"/>
        <v>1211.3699999999999</v>
      </c>
      <c r="BU64" s="1139">
        <f t="shared" si="725"/>
        <v>974.55</v>
      </c>
      <c r="BV64" s="1139">
        <f t="shared" si="725"/>
        <v>1148.4899999999996</v>
      </c>
      <c r="BW64" s="1139">
        <f t="shared" si="725"/>
        <v>1294.1000000000001</v>
      </c>
      <c r="BX64" s="1139">
        <f t="shared" si="725"/>
        <v>1318.0499999999997</v>
      </c>
      <c r="BY64" s="1139">
        <f>IF(BY62&gt;0,BY53+BY62-BY63,"")</f>
        <v>1356.54</v>
      </c>
      <c r="BZ64" s="1139">
        <f>IF(BZ62&gt;0,BZ53+BZ62-BZ63,"")</f>
        <v>1679.7599999999998</v>
      </c>
      <c r="CA64" s="1139">
        <f t="shared" si="725"/>
        <v>1293.52</v>
      </c>
      <c r="CB64" s="1139">
        <f t="shared" si="725"/>
        <v>1164.4000000000003</v>
      </c>
      <c r="CC64" s="1139">
        <f t="shared" si="725"/>
        <v>1585.8200000000006</v>
      </c>
      <c r="CD64" s="1140">
        <f>IF(CD62&gt;0,CD53+CD62-CD63,"")</f>
        <v>1202.5500000000002</v>
      </c>
      <c r="CE64" s="1138">
        <f t="shared" ref="CE64" si="726">IF(CE62&gt;0,CE53+CE62-CE63,"")</f>
        <v>806.81999999999994</v>
      </c>
      <c r="CF64" s="1139">
        <f>IF(CF62&gt;0,CF53+CF62-CF63,0)</f>
        <v>1459.5200000000002</v>
      </c>
      <c r="CG64" s="1139">
        <f t="shared" ref="CG64:ER64" si="727">IF(CG62&gt;0,CG53+CG62-CG63,0)</f>
        <v>1036.1999999999998</v>
      </c>
      <c r="CH64" s="1139">
        <f t="shared" si="727"/>
        <v>1525.91</v>
      </c>
      <c r="CI64" s="1139">
        <f t="shared" si="727"/>
        <v>1184.57</v>
      </c>
      <c r="CJ64" s="1139">
        <f t="shared" si="727"/>
        <v>1531.8600000000008</v>
      </c>
      <c r="CK64" s="1139">
        <f t="shared" si="727"/>
        <v>2275.2380000000003</v>
      </c>
      <c r="CL64" s="1139">
        <f t="shared" si="727"/>
        <v>2335.7000000000007</v>
      </c>
      <c r="CM64" s="1139">
        <f t="shared" si="727"/>
        <v>1310.6199999999999</v>
      </c>
      <c r="CN64" s="1139">
        <f t="shared" si="727"/>
        <v>1675.19</v>
      </c>
      <c r="CO64" s="1139">
        <f t="shared" si="727"/>
        <v>1746.8299999999997</v>
      </c>
      <c r="CP64" s="1140">
        <f t="shared" si="727"/>
        <v>1899.6300000000008</v>
      </c>
      <c r="CQ64" s="1138">
        <f t="shared" si="727"/>
        <v>1171.6199999999999</v>
      </c>
      <c r="CR64" s="1139">
        <f t="shared" si="727"/>
        <v>1484.4979999999996</v>
      </c>
      <c r="CS64" s="1139">
        <f t="shared" si="727"/>
        <v>1298.0879999999997</v>
      </c>
      <c r="CT64" s="1139">
        <f t="shared" si="727"/>
        <v>0</v>
      </c>
      <c r="CU64" s="1139">
        <f t="shared" si="727"/>
        <v>0</v>
      </c>
      <c r="CV64" s="1139">
        <f t="shared" si="727"/>
        <v>0</v>
      </c>
      <c r="CW64" s="1139">
        <f t="shared" si="727"/>
        <v>0</v>
      </c>
      <c r="CX64" s="1139">
        <f t="shared" si="727"/>
        <v>0</v>
      </c>
      <c r="CY64" s="1139">
        <f t="shared" si="727"/>
        <v>0</v>
      </c>
      <c r="CZ64" s="1139">
        <f t="shared" si="727"/>
        <v>0</v>
      </c>
      <c r="DA64" s="1139">
        <f t="shared" si="727"/>
        <v>0</v>
      </c>
      <c r="DB64" s="1133">
        <f t="shared" si="727"/>
        <v>0</v>
      </c>
      <c r="DC64" s="1134">
        <f t="shared" si="727"/>
        <v>0</v>
      </c>
      <c r="DD64" s="1134">
        <f t="shared" si="727"/>
        <v>0</v>
      </c>
      <c r="DE64" s="1134">
        <f t="shared" si="727"/>
        <v>0</v>
      </c>
      <c r="DF64" s="1134">
        <f t="shared" si="727"/>
        <v>0</v>
      </c>
      <c r="DG64" s="1134">
        <f t="shared" si="727"/>
        <v>0</v>
      </c>
      <c r="DH64" s="1134">
        <f t="shared" si="727"/>
        <v>0</v>
      </c>
      <c r="DI64" s="1134">
        <f t="shared" si="727"/>
        <v>0</v>
      </c>
      <c r="DJ64" s="1134">
        <f t="shared" si="727"/>
        <v>0</v>
      </c>
      <c r="DK64" s="1134">
        <f t="shared" si="727"/>
        <v>0</v>
      </c>
      <c r="DL64" s="1134">
        <f t="shared" si="727"/>
        <v>0</v>
      </c>
      <c r="DM64" s="1134">
        <f t="shared" si="727"/>
        <v>0</v>
      </c>
      <c r="DN64" s="1134">
        <f t="shared" si="727"/>
        <v>0</v>
      </c>
      <c r="DO64" s="1141">
        <f t="shared" si="727"/>
        <v>0</v>
      </c>
      <c r="DP64" s="1134">
        <f t="shared" si="727"/>
        <v>0</v>
      </c>
      <c r="DQ64" s="1134">
        <f t="shared" si="727"/>
        <v>0</v>
      </c>
      <c r="DR64" s="1134">
        <f t="shared" si="727"/>
        <v>0</v>
      </c>
      <c r="DS64" s="1134">
        <f t="shared" si="727"/>
        <v>0</v>
      </c>
      <c r="DT64" s="1134">
        <f t="shared" si="727"/>
        <v>0</v>
      </c>
      <c r="DU64" s="1134">
        <f t="shared" si="727"/>
        <v>0</v>
      </c>
      <c r="DV64" s="1134">
        <f t="shared" si="727"/>
        <v>0</v>
      </c>
      <c r="DW64" s="1134">
        <f t="shared" si="727"/>
        <v>0</v>
      </c>
      <c r="DX64" s="1134">
        <f t="shared" si="727"/>
        <v>0</v>
      </c>
      <c r="DY64" s="1134">
        <f t="shared" si="727"/>
        <v>0</v>
      </c>
      <c r="DZ64" s="1133">
        <f t="shared" si="727"/>
        <v>0</v>
      </c>
      <c r="EA64" s="1141">
        <f t="shared" si="727"/>
        <v>0</v>
      </c>
      <c r="EB64" s="1134">
        <f t="shared" si="727"/>
        <v>0</v>
      </c>
      <c r="EC64" s="1134">
        <f t="shared" si="727"/>
        <v>0</v>
      </c>
      <c r="ED64" s="1134">
        <f t="shared" si="727"/>
        <v>0</v>
      </c>
      <c r="EE64" s="1134">
        <f t="shared" si="727"/>
        <v>0</v>
      </c>
      <c r="EF64" s="1134">
        <f t="shared" si="727"/>
        <v>0</v>
      </c>
      <c r="EG64" s="1134">
        <f t="shared" si="727"/>
        <v>0</v>
      </c>
      <c r="EH64" s="1134">
        <f t="shared" si="727"/>
        <v>0</v>
      </c>
      <c r="EI64" s="1134">
        <f t="shared" si="727"/>
        <v>0</v>
      </c>
      <c r="EJ64" s="1134">
        <f t="shared" si="727"/>
        <v>0</v>
      </c>
      <c r="EK64" s="1134">
        <f t="shared" si="727"/>
        <v>0</v>
      </c>
      <c r="EL64" s="1133">
        <f t="shared" si="727"/>
        <v>0</v>
      </c>
      <c r="EM64" s="1134">
        <f t="shared" si="727"/>
        <v>0</v>
      </c>
      <c r="EN64" s="1134">
        <f t="shared" si="727"/>
        <v>0</v>
      </c>
      <c r="EO64" s="1134">
        <f t="shared" si="727"/>
        <v>0</v>
      </c>
      <c r="EP64" s="1134">
        <f t="shared" si="727"/>
        <v>0</v>
      </c>
      <c r="EQ64" s="1134">
        <f t="shared" si="727"/>
        <v>0</v>
      </c>
      <c r="ER64" s="1134">
        <f t="shared" si="727"/>
        <v>0</v>
      </c>
      <c r="ES64" s="1134">
        <f t="shared" ref="ES64:GT64" si="728">IF(ES62&gt;0,ES53+ES62-ES63,0)</f>
        <v>0</v>
      </c>
      <c r="ET64" s="1134">
        <f t="shared" si="728"/>
        <v>0</v>
      </c>
      <c r="EU64" s="1134">
        <f t="shared" si="728"/>
        <v>0</v>
      </c>
      <c r="EV64" s="1134">
        <f t="shared" si="728"/>
        <v>0</v>
      </c>
      <c r="EW64" s="1134">
        <f t="shared" si="728"/>
        <v>0</v>
      </c>
      <c r="EX64" s="1133">
        <f t="shared" si="728"/>
        <v>0</v>
      </c>
      <c r="EY64" s="1134">
        <f t="shared" si="728"/>
        <v>0</v>
      </c>
      <c r="EZ64" s="1134">
        <f t="shared" si="728"/>
        <v>0</v>
      </c>
      <c r="FA64" s="1134">
        <f t="shared" si="728"/>
        <v>0</v>
      </c>
      <c r="FB64" s="1134">
        <f t="shared" si="728"/>
        <v>0</v>
      </c>
      <c r="FC64" s="1134">
        <f t="shared" si="728"/>
        <v>0</v>
      </c>
      <c r="FD64" s="1134">
        <f t="shared" si="728"/>
        <v>0</v>
      </c>
      <c r="FE64" s="1134">
        <f t="shared" si="728"/>
        <v>0</v>
      </c>
      <c r="FF64" s="1134">
        <f t="shared" si="728"/>
        <v>0</v>
      </c>
      <c r="FG64" s="1134">
        <f t="shared" si="728"/>
        <v>0</v>
      </c>
      <c r="FH64" s="1134">
        <f t="shared" si="728"/>
        <v>0</v>
      </c>
      <c r="FI64" s="1134">
        <f t="shared" si="728"/>
        <v>0</v>
      </c>
      <c r="FJ64" s="1133">
        <f t="shared" si="728"/>
        <v>0</v>
      </c>
      <c r="FK64" s="1134">
        <f t="shared" si="728"/>
        <v>0</v>
      </c>
      <c r="FL64" s="1134">
        <f t="shared" si="728"/>
        <v>0</v>
      </c>
      <c r="FM64" s="1134">
        <f t="shared" si="728"/>
        <v>0</v>
      </c>
      <c r="FN64" s="1134">
        <f t="shared" si="728"/>
        <v>0</v>
      </c>
      <c r="FO64" s="1134">
        <f t="shared" si="728"/>
        <v>0</v>
      </c>
      <c r="FP64" s="1134">
        <f t="shared" si="728"/>
        <v>0</v>
      </c>
      <c r="FQ64" s="1134">
        <f t="shared" si="728"/>
        <v>0</v>
      </c>
      <c r="FR64" s="1134">
        <f t="shared" si="728"/>
        <v>0</v>
      </c>
      <c r="FS64" s="1134">
        <f t="shared" si="728"/>
        <v>0</v>
      </c>
      <c r="FT64" s="1134">
        <f t="shared" si="728"/>
        <v>0</v>
      </c>
      <c r="FU64" s="1134">
        <f t="shared" si="728"/>
        <v>0</v>
      </c>
      <c r="FV64" s="1133">
        <f t="shared" si="728"/>
        <v>0</v>
      </c>
      <c r="FW64" s="1134">
        <f t="shared" si="728"/>
        <v>0</v>
      </c>
      <c r="FX64" s="1134">
        <f t="shared" si="728"/>
        <v>0</v>
      </c>
      <c r="FY64" s="1134">
        <f t="shared" si="728"/>
        <v>0</v>
      </c>
      <c r="FZ64" s="1134">
        <f t="shared" si="728"/>
        <v>0</v>
      </c>
      <c r="GA64" s="1134">
        <f t="shared" si="728"/>
        <v>0</v>
      </c>
      <c r="GB64" s="1134">
        <f t="shared" si="728"/>
        <v>0</v>
      </c>
      <c r="GC64" s="1134">
        <f t="shared" si="728"/>
        <v>0</v>
      </c>
      <c r="GD64" s="1134">
        <f t="shared" si="728"/>
        <v>0</v>
      </c>
      <c r="GE64" s="1134">
        <f t="shared" si="728"/>
        <v>0</v>
      </c>
      <c r="GF64" s="1134">
        <f t="shared" si="728"/>
        <v>0</v>
      </c>
      <c r="GG64" s="1134">
        <f t="shared" si="728"/>
        <v>0</v>
      </c>
      <c r="GH64" s="1133">
        <f t="shared" si="728"/>
        <v>0</v>
      </c>
      <c r="GI64" s="1134">
        <f t="shared" si="728"/>
        <v>0</v>
      </c>
      <c r="GJ64" s="1134">
        <f t="shared" si="728"/>
        <v>0</v>
      </c>
      <c r="GK64" s="1134">
        <f t="shared" si="728"/>
        <v>0</v>
      </c>
      <c r="GL64" s="1134">
        <f t="shared" si="728"/>
        <v>0</v>
      </c>
      <c r="GM64" s="1134">
        <f t="shared" si="728"/>
        <v>0</v>
      </c>
      <c r="GN64" s="1134">
        <f t="shared" si="728"/>
        <v>0</v>
      </c>
      <c r="GO64" s="1134">
        <f t="shared" si="728"/>
        <v>0</v>
      </c>
      <c r="GP64" s="1134">
        <f t="shared" si="728"/>
        <v>0</v>
      </c>
      <c r="GQ64" s="1134">
        <f t="shared" si="728"/>
        <v>0</v>
      </c>
      <c r="GR64" s="1134">
        <f t="shared" si="728"/>
        <v>0</v>
      </c>
      <c r="GS64" s="1134">
        <f t="shared" si="728"/>
        <v>0</v>
      </c>
      <c r="GT64" s="1133">
        <f t="shared" si="728"/>
        <v>0</v>
      </c>
    </row>
    <row r="65" spans="1:202" x14ac:dyDescent="0.25">
      <c r="B65" s="46" t="s">
        <v>47</v>
      </c>
      <c r="D65" s="47">
        <f>IF(B67&lt;&gt;"",B67,B71)</f>
        <v>1100</v>
      </c>
      <c r="E65" s="47"/>
      <c r="F65" s="21"/>
      <c r="G65" s="21"/>
      <c r="H65" s="21"/>
      <c r="I65" s="21"/>
      <c r="J65" s="1098"/>
      <c r="K65" s="21"/>
      <c r="L65" s="21"/>
      <c r="M65" s="21"/>
      <c r="N65" s="21"/>
      <c r="O65" s="21"/>
      <c r="P65" s="21"/>
      <c r="Q65" s="21"/>
      <c r="R65" s="1098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-4.2350427007940353E-2</v>
      </c>
      <c r="AJ65" s="48">
        <f t="shared" si="731"/>
        <v>0.24152099175241554</v>
      </c>
      <c r="AK65" s="48">
        <f t="shared" si="731"/>
        <v>-0.28430271786916667</v>
      </c>
      <c r="AL65" s="48">
        <f t="shared" si="731"/>
        <v>-3.7833130401138941E-2</v>
      </c>
      <c r="AM65" s="48">
        <f t="shared" si="731"/>
        <v>7.7401202196882526E-2</v>
      </c>
      <c r="AN65" s="48">
        <f t="shared" si="731"/>
        <v>5.2737801182737215E-2</v>
      </c>
      <c r="AO65" s="48">
        <f t="shared" si="731"/>
        <v>0.36231107994730793</v>
      </c>
      <c r="AP65" s="48">
        <f t="shared" si="731"/>
        <v>3.9454179934767304E-2</v>
      </c>
      <c r="AQ65" s="48">
        <f t="shared" si="731"/>
        <v>-0.36966404685286153</v>
      </c>
      <c r="AR65" s="48">
        <f t="shared" si="731"/>
        <v>-0.27694696668950908</v>
      </c>
      <c r="AS65" s="48">
        <f t="shared" si="731"/>
        <v>-0.13769826994613529</v>
      </c>
      <c r="AT65" s="48">
        <f t="shared" si="731"/>
        <v>-0.12488195524369673</v>
      </c>
      <c r="AU65" s="48">
        <f t="shared" si="731"/>
        <v>-0.10523777268155282</v>
      </c>
      <c r="AV65" s="48">
        <f t="shared" si="731"/>
        <v>2.2946557401213631E-3</v>
      </c>
      <c r="AW65" s="48">
        <f t="shared" si="731"/>
        <v>-0.15305880917424336</v>
      </c>
      <c r="AX65" s="48">
        <f t="shared" si="731"/>
        <v>-9.2291650605355713E-2</v>
      </c>
      <c r="AY65" s="48">
        <f t="shared" si="731"/>
        <v>-0.10424258281606988</v>
      </c>
      <c r="AZ65" s="48">
        <f t="shared" si="731"/>
        <v>5.2002226064771354E-2</v>
      </c>
      <c r="BA65" s="48">
        <f t="shared" si="731"/>
        <v>-7.1011895133852698E-2</v>
      </c>
      <c r="BB65" s="48">
        <f t="shared" si="731"/>
        <v>-5.3860014147875078E-2</v>
      </c>
      <c r="BC65" s="48">
        <f t="shared" si="731"/>
        <v>-4.3432155122595857E-2</v>
      </c>
      <c r="BD65" s="48">
        <f t="shared" si="731"/>
        <v>-0.26792968112574073</v>
      </c>
      <c r="BE65" s="48">
        <f t="shared" si="731"/>
        <v>2.5763828915687292E-2</v>
      </c>
      <c r="BF65" s="48">
        <f t="shared" si="731"/>
        <v>2.1376339682644619E-2</v>
      </c>
      <c r="BG65" s="48">
        <f t="shared" si="731"/>
        <v>-0.15975686966019034</v>
      </c>
      <c r="BH65" s="48">
        <f t="shared" si="731"/>
        <v>-5.8481156653683128E-2</v>
      </c>
      <c r="BI65" s="48">
        <f t="shared" si="731"/>
        <v>-8.3490710664518672E-2</v>
      </c>
      <c r="BJ65" s="48">
        <f t="shared" si="731"/>
        <v>4.9181079141749608E-2</v>
      </c>
      <c r="BK65" s="48">
        <f t="shared" si="731"/>
        <v>0.12010782816348176</v>
      </c>
      <c r="BL65" s="48">
        <f t="shared" si="731"/>
        <v>-0.13638288855871422</v>
      </c>
      <c r="BM65" s="48">
        <f t="shared" si="731"/>
        <v>-8.7264417958982815E-4</v>
      </c>
      <c r="BN65" s="48">
        <f t="shared" si="731"/>
        <v>1.0329565495589688</v>
      </c>
      <c r="BO65" s="48">
        <f t="shared" ref="BO65:CT65" si="732">IFERROR((BO64-$B$71)/$B$71,"")</f>
        <v>-3.7642746252959748E-2</v>
      </c>
      <c r="BP65" s="48">
        <f t="shared" si="732"/>
        <v>-3.7253324131683724E-2</v>
      </c>
      <c r="BQ65" s="48">
        <f t="shared" si="732"/>
        <v>0.2715670718650865</v>
      </c>
      <c r="BR65" s="48">
        <f t="shared" si="732"/>
        <v>0.63409310529827434</v>
      </c>
      <c r="BS65" s="48">
        <f t="shared" si="732"/>
        <v>-0.26594795521969194</v>
      </c>
      <c r="BT65" s="48">
        <f t="shared" si="732"/>
        <v>4.8298389000190733E-2</v>
      </c>
      <c r="BU65" s="48">
        <f t="shared" si="732"/>
        <v>-0.15664149268998248</v>
      </c>
      <c r="BV65" s="48">
        <f t="shared" si="732"/>
        <v>-6.1168620794400603E-3</v>
      </c>
      <c r="BW65" s="48">
        <f t="shared" si="732"/>
        <v>0.11989148254055086</v>
      </c>
      <c r="BX65" s="48">
        <f t="shared" si="732"/>
        <v>0.14061739321734998</v>
      </c>
      <c r="BY65" s="48">
        <f t="shared" si="732"/>
        <v>0.17392596532382246</v>
      </c>
      <c r="BZ65" s="48">
        <f t="shared" si="732"/>
        <v>0.45363489429898401</v>
      </c>
      <c r="CA65" s="48">
        <f t="shared" si="732"/>
        <v>0.11938956069535057</v>
      </c>
      <c r="CB65" s="48">
        <f t="shared" si="732"/>
        <v>7.6513733638958626E-3</v>
      </c>
      <c r="CC65" s="48">
        <f t="shared" si="732"/>
        <v>0.3723408630263943</v>
      </c>
      <c r="CD65" s="48">
        <f t="shared" si="732"/>
        <v>4.0665715423181745E-2</v>
      </c>
      <c r="CE65" s="48">
        <f t="shared" si="732"/>
        <v>-0.3017920980269167</v>
      </c>
      <c r="CF65" s="48">
        <f t="shared" si="732"/>
        <v>0.26304305432160174</v>
      </c>
      <c r="CG65" s="48">
        <f t="shared" si="732"/>
        <v>-0.10329066207517311</v>
      </c>
      <c r="CH65" s="48">
        <f t="shared" si="732"/>
        <v>0.3204957979471848</v>
      </c>
      <c r="CI65" s="48">
        <f t="shared" si="732"/>
        <v>2.5106138221976753E-2</v>
      </c>
      <c r="CJ65" s="48">
        <f t="shared" si="732"/>
        <v>0.32564482377294562</v>
      </c>
      <c r="CK65" s="48">
        <f t="shared" si="732"/>
        <v>0.96895112970604891</v>
      </c>
      <c r="CL65" s="48">
        <f t="shared" si="732"/>
        <v>1.0212738859206902</v>
      </c>
      <c r="CM65" s="48">
        <f t="shared" si="732"/>
        <v>0.13418760130383778</v>
      </c>
      <c r="CN65" s="48">
        <f t="shared" si="732"/>
        <v>0.44968009631180378</v>
      </c>
      <c r="CO65" s="48">
        <f t="shared" si="732"/>
        <v>0.51167609801893976</v>
      </c>
      <c r="CP65" s="48">
        <f t="shared" si="732"/>
        <v>0.6439065427544296</v>
      </c>
      <c r="CQ65" s="48">
        <f t="shared" si="732"/>
        <v>1.3899434954145687E-2</v>
      </c>
      <c r="CR65" s="48">
        <f t="shared" si="732"/>
        <v>0.28465857819989338</v>
      </c>
      <c r="CS65" s="48">
        <f t="shared" si="732"/>
        <v>0.12334262791754744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 x14ac:dyDescent="0.3">
      <c r="J66" s="1098"/>
      <c r="R66" s="1098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 x14ac:dyDescent="0.3">
      <c r="B67" s="900">
        <v>1100</v>
      </c>
      <c r="J67" s="1098"/>
      <c r="R67" s="1098"/>
      <c r="AG67" s="717"/>
    </row>
    <row r="68" spans="1:202" s="18" customFormat="1" ht="19.5" customHeight="1" thickBot="1" x14ac:dyDescent="0.3">
      <c r="A68" s="9"/>
      <c r="B68" s="1153">
        <v>0</v>
      </c>
      <c r="C68" s="16"/>
      <c r="D68" s="16"/>
      <c r="E68" s="16"/>
      <c r="F68" s="16"/>
      <c r="G68" s="1300"/>
      <c r="I68" s="326"/>
      <c r="J68" s="1098"/>
      <c r="R68" s="1098"/>
      <c r="S68" s="975">
        <f t="shared" ref="S68:AX68" si="737">S9</f>
        <v>43739</v>
      </c>
      <c r="T68" s="975">
        <f t="shared" si="737"/>
        <v>43770</v>
      </c>
      <c r="U68" s="975">
        <f t="shared" si="737"/>
        <v>43800</v>
      </c>
      <c r="V68" s="975">
        <f t="shared" si="737"/>
        <v>43831</v>
      </c>
      <c r="W68" s="975">
        <f t="shared" si="737"/>
        <v>43862</v>
      </c>
      <c r="X68" s="975">
        <f t="shared" si="737"/>
        <v>43891</v>
      </c>
      <c r="Y68" s="975">
        <f t="shared" si="737"/>
        <v>43922</v>
      </c>
      <c r="Z68" s="975">
        <f t="shared" si="737"/>
        <v>43952</v>
      </c>
      <c r="AA68" s="975">
        <f t="shared" si="737"/>
        <v>43983</v>
      </c>
      <c r="AB68" s="975">
        <f t="shared" si="737"/>
        <v>44013</v>
      </c>
      <c r="AC68" s="975">
        <f t="shared" si="737"/>
        <v>44044</v>
      </c>
      <c r="AD68" s="975">
        <f t="shared" si="737"/>
        <v>44075</v>
      </c>
      <c r="AE68" s="975">
        <f t="shared" si="737"/>
        <v>44105</v>
      </c>
      <c r="AF68" s="975">
        <f t="shared" si="737"/>
        <v>44136</v>
      </c>
      <c r="AG68" s="975">
        <f t="shared" si="737"/>
        <v>44166</v>
      </c>
      <c r="AH68" s="975">
        <f t="shared" si="737"/>
        <v>44197</v>
      </c>
      <c r="AI68" s="975">
        <f t="shared" si="737"/>
        <v>44228</v>
      </c>
      <c r="AJ68" s="975">
        <f t="shared" si="737"/>
        <v>44256</v>
      </c>
      <c r="AK68" s="975">
        <f t="shared" si="737"/>
        <v>44287</v>
      </c>
      <c r="AL68" s="975">
        <f t="shared" si="737"/>
        <v>44317</v>
      </c>
      <c r="AM68" s="975">
        <f t="shared" si="737"/>
        <v>44348</v>
      </c>
      <c r="AN68" s="975">
        <f t="shared" si="737"/>
        <v>44378</v>
      </c>
      <c r="AO68" s="975">
        <f t="shared" si="737"/>
        <v>44409</v>
      </c>
      <c r="AP68" s="975">
        <f t="shared" si="737"/>
        <v>44440</v>
      </c>
      <c r="AQ68" s="975">
        <f t="shared" si="737"/>
        <v>44470</v>
      </c>
      <c r="AR68" s="975">
        <f t="shared" si="737"/>
        <v>44501</v>
      </c>
      <c r="AS68" s="975">
        <f t="shared" si="737"/>
        <v>44531</v>
      </c>
      <c r="AT68" s="975">
        <f t="shared" si="737"/>
        <v>44562</v>
      </c>
      <c r="AU68" s="975">
        <f t="shared" si="737"/>
        <v>44593</v>
      </c>
      <c r="AV68" s="975">
        <f t="shared" si="737"/>
        <v>44621</v>
      </c>
      <c r="AW68" s="975">
        <f t="shared" si="737"/>
        <v>44652</v>
      </c>
      <c r="AX68" s="975">
        <f t="shared" si="737"/>
        <v>44682</v>
      </c>
      <c r="AY68" s="975">
        <f t="shared" ref="AY68:CD68" si="738">AY9</f>
        <v>44713</v>
      </c>
      <c r="AZ68" s="975">
        <f t="shared" si="738"/>
        <v>44743</v>
      </c>
      <c r="BA68" s="975">
        <f t="shared" si="738"/>
        <v>44774</v>
      </c>
      <c r="BB68" s="975">
        <f t="shared" si="738"/>
        <v>44805</v>
      </c>
      <c r="BC68" s="975">
        <f t="shared" si="738"/>
        <v>44835</v>
      </c>
      <c r="BD68" s="975">
        <f t="shared" si="738"/>
        <v>44866</v>
      </c>
      <c r="BE68" s="975">
        <f t="shared" si="738"/>
        <v>44896</v>
      </c>
      <c r="BF68" s="975">
        <f t="shared" si="738"/>
        <v>44927</v>
      </c>
      <c r="BG68" s="975">
        <f t="shared" si="738"/>
        <v>44958</v>
      </c>
      <c r="BH68" s="975">
        <f t="shared" si="738"/>
        <v>44986</v>
      </c>
      <c r="BI68" s="975">
        <f t="shared" si="738"/>
        <v>45017</v>
      </c>
      <c r="BJ68" s="975">
        <f t="shared" si="738"/>
        <v>45047</v>
      </c>
      <c r="BK68" s="975">
        <f t="shared" si="738"/>
        <v>45078</v>
      </c>
      <c r="BL68" s="975">
        <f t="shared" si="738"/>
        <v>45108</v>
      </c>
      <c r="BM68" s="975">
        <f t="shared" si="738"/>
        <v>45139</v>
      </c>
      <c r="BN68" s="975">
        <f t="shared" si="738"/>
        <v>45170</v>
      </c>
      <c r="BO68" s="975">
        <f t="shared" si="738"/>
        <v>45200</v>
      </c>
      <c r="BP68" s="975">
        <f t="shared" si="738"/>
        <v>45231</v>
      </c>
      <c r="BQ68" s="975">
        <f t="shared" si="738"/>
        <v>45261</v>
      </c>
      <c r="BR68" s="975">
        <f t="shared" si="738"/>
        <v>45292</v>
      </c>
      <c r="BS68" s="975">
        <f t="shared" si="738"/>
        <v>45323</v>
      </c>
      <c r="BT68" s="975">
        <f t="shared" si="738"/>
        <v>45352</v>
      </c>
      <c r="BU68" s="975">
        <f t="shared" si="738"/>
        <v>45383</v>
      </c>
      <c r="BV68" s="975">
        <f t="shared" si="738"/>
        <v>45413</v>
      </c>
      <c r="BW68" s="975">
        <f t="shared" si="738"/>
        <v>45444</v>
      </c>
      <c r="BX68" s="975">
        <f t="shared" si="738"/>
        <v>45474</v>
      </c>
      <c r="BY68" s="975">
        <f t="shared" si="738"/>
        <v>45505</v>
      </c>
      <c r="BZ68" s="975">
        <f t="shared" si="738"/>
        <v>45536</v>
      </c>
      <c r="CA68" s="975">
        <f t="shared" si="738"/>
        <v>45566</v>
      </c>
      <c r="CB68" s="975">
        <f t="shared" si="738"/>
        <v>45597</v>
      </c>
      <c r="CC68" s="975">
        <f t="shared" si="738"/>
        <v>45627</v>
      </c>
      <c r="CD68" s="975">
        <f t="shared" si="738"/>
        <v>45658</v>
      </c>
      <c r="CE68" s="975">
        <f t="shared" ref="CE68:DJ68" si="739">CE9</f>
        <v>45689</v>
      </c>
      <c r="CF68" s="975">
        <f t="shared" si="739"/>
        <v>45717</v>
      </c>
      <c r="CG68" s="975">
        <f t="shared" si="739"/>
        <v>45748</v>
      </c>
      <c r="CH68" s="975">
        <f t="shared" si="739"/>
        <v>45778</v>
      </c>
      <c r="CI68" s="975">
        <f t="shared" si="739"/>
        <v>45809</v>
      </c>
      <c r="CJ68" s="975">
        <f t="shared" si="739"/>
        <v>45839</v>
      </c>
      <c r="CK68" s="975">
        <f t="shared" si="739"/>
        <v>45870</v>
      </c>
      <c r="CL68" s="975">
        <f t="shared" si="739"/>
        <v>45901</v>
      </c>
      <c r="CM68" s="975">
        <f t="shared" si="739"/>
        <v>45931</v>
      </c>
      <c r="CN68" s="975">
        <f t="shared" si="739"/>
        <v>45962</v>
      </c>
      <c r="CO68" s="975">
        <f t="shared" si="739"/>
        <v>45992</v>
      </c>
      <c r="CP68" s="975">
        <f t="shared" si="739"/>
        <v>46023</v>
      </c>
      <c r="CQ68" s="975">
        <f t="shared" si="739"/>
        <v>46054</v>
      </c>
      <c r="CR68" s="975">
        <f t="shared" si="739"/>
        <v>46082</v>
      </c>
      <c r="CS68" s="975">
        <f t="shared" si="739"/>
        <v>46113</v>
      </c>
      <c r="CT68" s="975">
        <f t="shared" si="739"/>
        <v>46143</v>
      </c>
      <c r="CU68" s="975">
        <f t="shared" si="739"/>
        <v>46174</v>
      </c>
      <c r="CV68" s="975">
        <f t="shared" si="739"/>
        <v>46204</v>
      </c>
      <c r="CW68" s="975">
        <f t="shared" si="739"/>
        <v>46235</v>
      </c>
      <c r="CX68" s="975">
        <f t="shared" si="739"/>
        <v>46266</v>
      </c>
      <c r="CY68" s="975">
        <f t="shared" si="739"/>
        <v>46296</v>
      </c>
      <c r="CZ68" s="975">
        <f t="shared" si="739"/>
        <v>46327</v>
      </c>
      <c r="DA68" s="975">
        <f t="shared" si="739"/>
        <v>46357</v>
      </c>
      <c r="DB68" s="975">
        <f t="shared" si="739"/>
        <v>46388</v>
      </c>
      <c r="DC68" s="975">
        <f t="shared" si="739"/>
        <v>46419</v>
      </c>
      <c r="DD68" s="975">
        <f t="shared" si="739"/>
        <v>46447</v>
      </c>
      <c r="DE68" s="975">
        <f t="shared" si="739"/>
        <v>46478</v>
      </c>
      <c r="DF68" s="975">
        <f t="shared" si="739"/>
        <v>46508</v>
      </c>
      <c r="DG68" s="975">
        <f t="shared" si="739"/>
        <v>46539</v>
      </c>
      <c r="DH68" s="975">
        <f t="shared" si="739"/>
        <v>46569</v>
      </c>
      <c r="DI68" s="975">
        <f t="shared" si="739"/>
        <v>46600</v>
      </c>
      <c r="DJ68" s="975">
        <f t="shared" si="739"/>
        <v>46631</v>
      </c>
      <c r="DK68" s="975">
        <f t="shared" ref="DK68:EP68" si="740">DK9</f>
        <v>46661</v>
      </c>
      <c r="DL68" s="975">
        <f t="shared" si="740"/>
        <v>46692</v>
      </c>
      <c r="DM68" s="975">
        <f t="shared" si="740"/>
        <v>46722</v>
      </c>
      <c r="DN68" s="975">
        <f t="shared" si="740"/>
        <v>46753</v>
      </c>
      <c r="DO68" s="975">
        <f t="shared" si="740"/>
        <v>46784</v>
      </c>
      <c r="DP68" s="975">
        <f t="shared" si="740"/>
        <v>46813</v>
      </c>
      <c r="DQ68" s="975">
        <f t="shared" si="740"/>
        <v>46844</v>
      </c>
      <c r="DR68" s="975">
        <f t="shared" si="740"/>
        <v>46874</v>
      </c>
      <c r="DS68" s="975">
        <f t="shared" si="740"/>
        <v>46905</v>
      </c>
      <c r="DT68" s="975">
        <f t="shared" si="740"/>
        <v>46935</v>
      </c>
      <c r="DU68" s="975">
        <f t="shared" si="740"/>
        <v>46966</v>
      </c>
      <c r="DV68" s="975">
        <f t="shared" si="740"/>
        <v>46997</v>
      </c>
      <c r="DW68" s="975">
        <f t="shared" si="740"/>
        <v>47027</v>
      </c>
      <c r="DX68" s="975">
        <f t="shared" si="740"/>
        <v>47058</v>
      </c>
      <c r="DY68" s="975">
        <f t="shared" si="740"/>
        <v>47088</v>
      </c>
      <c r="DZ68" s="975">
        <f t="shared" si="740"/>
        <v>47119</v>
      </c>
      <c r="EA68" s="975">
        <f t="shared" si="740"/>
        <v>47150</v>
      </c>
      <c r="EB68" s="975">
        <f t="shared" si="740"/>
        <v>47178</v>
      </c>
      <c r="EC68" s="975">
        <f t="shared" si="740"/>
        <v>47209</v>
      </c>
      <c r="ED68" s="975">
        <f t="shared" si="740"/>
        <v>47239</v>
      </c>
      <c r="EE68" s="975">
        <f t="shared" si="740"/>
        <v>47270</v>
      </c>
      <c r="EF68" s="975">
        <f t="shared" si="740"/>
        <v>47300</v>
      </c>
      <c r="EG68" s="975">
        <f t="shared" si="740"/>
        <v>47331</v>
      </c>
      <c r="EH68" s="975">
        <f t="shared" si="740"/>
        <v>47362</v>
      </c>
      <c r="EI68" s="975">
        <f t="shared" si="740"/>
        <v>47392</v>
      </c>
      <c r="EJ68" s="975">
        <f t="shared" si="740"/>
        <v>47423</v>
      </c>
      <c r="EK68" s="975">
        <f t="shared" si="740"/>
        <v>47453</v>
      </c>
      <c r="EL68" s="975">
        <f t="shared" si="740"/>
        <v>47484</v>
      </c>
      <c r="EM68" s="975">
        <f t="shared" si="740"/>
        <v>47515</v>
      </c>
      <c r="EN68" s="975">
        <f t="shared" si="740"/>
        <v>47543</v>
      </c>
      <c r="EO68" s="975">
        <f t="shared" si="740"/>
        <v>47574</v>
      </c>
      <c r="EP68" s="975">
        <f t="shared" si="740"/>
        <v>47604</v>
      </c>
      <c r="EQ68" s="975">
        <f t="shared" ref="EQ68:FV68" si="741">EQ9</f>
        <v>47635</v>
      </c>
      <c r="ER68" s="975">
        <f t="shared" si="741"/>
        <v>47665</v>
      </c>
      <c r="ES68" s="975">
        <f t="shared" si="741"/>
        <v>47696</v>
      </c>
      <c r="ET68" s="975">
        <f t="shared" si="741"/>
        <v>47727</v>
      </c>
      <c r="EU68" s="975">
        <f t="shared" si="741"/>
        <v>47757</v>
      </c>
      <c r="EV68" s="975">
        <f t="shared" si="741"/>
        <v>47788</v>
      </c>
      <c r="EW68" s="975">
        <f t="shared" si="741"/>
        <v>47818</v>
      </c>
      <c r="EX68" s="975">
        <f t="shared" si="741"/>
        <v>47849</v>
      </c>
      <c r="EY68" s="975">
        <f t="shared" si="741"/>
        <v>47880</v>
      </c>
      <c r="EZ68" s="975">
        <f t="shared" si="741"/>
        <v>47908</v>
      </c>
      <c r="FA68" s="975">
        <f t="shared" si="741"/>
        <v>47939</v>
      </c>
      <c r="FB68" s="975">
        <f t="shared" si="741"/>
        <v>47969</v>
      </c>
      <c r="FC68" s="975">
        <f t="shared" si="741"/>
        <v>48000</v>
      </c>
      <c r="FD68" s="975">
        <f t="shared" si="741"/>
        <v>48030</v>
      </c>
      <c r="FE68" s="975">
        <f t="shared" si="741"/>
        <v>48061</v>
      </c>
      <c r="FF68" s="975">
        <f t="shared" si="741"/>
        <v>48092</v>
      </c>
      <c r="FG68" s="975">
        <f t="shared" si="741"/>
        <v>48122</v>
      </c>
      <c r="FH68" s="975">
        <f t="shared" si="741"/>
        <v>48153</v>
      </c>
      <c r="FI68" s="975">
        <f t="shared" si="741"/>
        <v>48183</v>
      </c>
      <c r="FJ68" s="975">
        <f t="shared" si="741"/>
        <v>48214</v>
      </c>
      <c r="FK68" s="975">
        <f t="shared" si="741"/>
        <v>48245</v>
      </c>
      <c r="FL68" s="975">
        <f t="shared" si="741"/>
        <v>48274</v>
      </c>
      <c r="FM68" s="975">
        <f t="shared" si="741"/>
        <v>48305</v>
      </c>
      <c r="FN68" s="975">
        <f t="shared" si="741"/>
        <v>48335</v>
      </c>
      <c r="FO68" s="975">
        <f t="shared" si="741"/>
        <v>48366</v>
      </c>
      <c r="FP68" s="975">
        <f t="shared" si="741"/>
        <v>48396</v>
      </c>
      <c r="FQ68" s="975">
        <f t="shared" si="741"/>
        <v>48427</v>
      </c>
      <c r="FR68" s="975">
        <f t="shared" si="741"/>
        <v>48458</v>
      </c>
      <c r="FS68" s="975">
        <f t="shared" si="741"/>
        <v>48488</v>
      </c>
      <c r="FT68" s="975">
        <f t="shared" si="741"/>
        <v>48519</v>
      </c>
      <c r="FU68" s="975">
        <f t="shared" si="741"/>
        <v>48549</v>
      </c>
      <c r="FV68" s="975">
        <f t="shared" si="741"/>
        <v>48580</v>
      </c>
      <c r="FW68" s="975">
        <f t="shared" ref="FW68:GT68" si="742">FW9</f>
        <v>48611</v>
      </c>
      <c r="FX68" s="975">
        <f t="shared" si="742"/>
        <v>48639</v>
      </c>
      <c r="FY68" s="975">
        <f t="shared" si="742"/>
        <v>48670</v>
      </c>
      <c r="FZ68" s="975">
        <f t="shared" si="742"/>
        <v>48700</v>
      </c>
      <c r="GA68" s="975">
        <f t="shared" si="742"/>
        <v>48731</v>
      </c>
      <c r="GB68" s="975">
        <f t="shared" si="742"/>
        <v>48761</v>
      </c>
      <c r="GC68" s="975">
        <f t="shared" si="742"/>
        <v>48792</v>
      </c>
      <c r="GD68" s="975">
        <f t="shared" si="742"/>
        <v>48823</v>
      </c>
      <c r="GE68" s="975">
        <f t="shared" si="742"/>
        <v>48853</v>
      </c>
      <c r="GF68" s="975">
        <f t="shared" si="742"/>
        <v>48884</v>
      </c>
      <c r="GG68" s="975">
        <f t="shared" si="742"/>
        <v>48914</v>
      </c>
      <c r="GH68" s="975">
        <f t="shared" si="742"/>
        <v>48945</v>
      </c>
      <c r="GI68" s="975">
        <f t="shared" si="742"/>
        <v>48976</v>
      </c>
      <c r="GJ68" s="975">
        <f t="shared" si="742"/>
        <v>49004</v>
      </c>
      <c r="GK68" s="975">
        <f t="shared" si="742"/>
        <v>49035</v>
      </c>
      <c r="GL68" s="975">
        <f t="shared" si="742"/>
        <v>49065</v>
      </c>
      <c r="GM68" s="975">
        <f t="shared" si="742"/>
        <v>49096</v>
      </c>
      <c r="GN68" s="975">
        <f t="shared" si="742"/>
        <v>49126</v>
      </c>
      <c r="GO68" s="975">
        <f t="shared" si="742"/>
        <v>49157</v>
      </c>
      <c r="GP68" s="975">
        <f t="shared" si="742"/>
        <v>49188</v>
      </c>
      <c r="GQ68" s="975">
        <f t="shared" si="742"/>
        <v>49218</v>
      </c>
      <c r="GR68" s="975">
        <f t="shared" si="742"/>
        <v>49249</v>
      </c>
      <c r="GS68" s="975">
        <f t="shared" si="742"/>
        <v>49279</v>
      </c>
      <c r="GT68" s="975">
        <f t="shared" si="742"/>
        <v>49310</v>
      </c>
    </row>
    <row r="69" spans="1:202" x14ac:dyDescent="0.25">
      <c r="B69" s="643">
        <f>B67*(1+B68)</f>
        <v>1100</v>
      </c>
      <c r="C69" s="49"/>
      <c r="F69" s="49"/>
      <c r="G69" s="49"/>
      <c r="I69" s="49" t="s">
        <v>49</v>
      </c>
      <c r="J69" s="1098"/>
      <c r="K69" s="49"/>
      <c r="L69" s="49"/>
      <c r="M69" s="49"/>
      <c r="N69" s="49"/>
      <c r="O69" s="49"/>
      <c r="P69" s="49"/>
      <c r="Q69" s="49"/>
      <c r="R69" s="1098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7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7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2711</v>
      </c>
      <c r="CS69" s="37">
        <f t="shared" si="744"/>
        <v>5486</v>
      </c>
      <c r="CT69" s="37" t="str">
        <f t="shared" si="744"/>
        <v/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 x14ac:dyDescent="0.25">
      <c r="B70" s="46" t="s">
        <v>48</v>
      </c>
      <c r="C70" s="49"/>
      <c r="F70" s="49"/>
      <c r="G70" s="49"/>
      <c r="I70" s="49" t="s">
        <v>50</v>
      </c>
      <c r="J70" s="1098"/>
      <c r="K70" s="49"/>
      <c r="L70" s="49"/>
      <c r="M70" s="49"/>
      <c r="N70" s="49"/>
      <c r="O70" s="49"/>
      <c r="P70" s="49"/>
      <c r="Q70" s="49"/>
      <c r="R70" s="1098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8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8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2832.2192818674421</v>
      </c>
      <c r="CT70" s="318" t="str">
        <f t="shared" si="747"/>
        <v/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 x14ac:dyDescent="0.25">
      <c r="B71" s="736">
        <f>AVERAGEIF(S31:GT31,"&gt;0")</f>
        <v>1155.5583913043479</v>
      </c>
      <c r="I71" s="456" t="s">
        <v>51</v>
      </c>
      <c r="J71" s="1099"/>
      <c r="R71" s="1099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9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9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-169.46799999999939</v>
      </c>
      <c r="CS71" s="457">
        <f t="shared" si="754"/>
        <v>2653.7807181325579</v>
      </c>
      <c r="CT71" s="457">
        <f t="shared" si="754"/>
        <v>0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 x14ac:dyDescent="0.25">
      <c r="S72" s="725">
        <f t="shared" ref="S72:AX72" si="759">S71/(S11+S28)</f>
        <v>0.21133920296570907</v>
      </c>
      <c r="T72" s="725">
        <f t="shared" si="759"/>
        <v>0.15507200720072015</v>
      </c>
      <c r="U72" s="725">
        <f t="shared" si="759"/>
        <v>1.3579516722157718</v>
      </c>
      <c r="V72" s="726">
        <f t="shared" si="759"/>
        <v>-4.0532652316671554E-3</v>
      </c>
      <c r="W72" s="725">
        <f t="shared" si="759"/>
        <v>9.4202898550726187E-4</v>
      </c>
      <c r="X72" s="725">
        <f t="shared" si="759"/>
        <v>-1.1921839080459695E-2</v>
      </c>
      <c r="Y72" s="725">
        <f t="shared" si="759"/>
        <v>0.16537071362372563</v>
      </c>
      <c r="Z72" s="725">
        <f t="shared" si="759"/>
        <v>0.23234916559691912</v>
      </c>
      <c r="AA72" s="725">
        <f t="shared" si="759"/>
        <v>0.10150139017608896</v>
      </c>
      <c r="AB72" s="725">
        <f t="shared" si="759"/>
        <v>0.24746212121212122</v>
      </c>
      <c r="AC72" s="725">
        <f t="shared" si="759"/>
        <v>1.6432524478502031E-3</v>
      </c>
      <c r="AD72" s="725">
        <f t="shared" si="759"/>
        <v>-0.2068109610802224</v>
      </c>
      <c r="AE72" s="725">
        <f t="shared" si="759"/>
        <v>-3.2759781236853323E-2</v>
      </c>
      <c r="AF72" s="725">
        <f t="shared" si="759"/>
        <v>-4.3964733915806198</v>
      </c>
      <c r="AG72" s="725">
        <f t="shared" si="759"/>
        <v>0.2732239988168203</v>
      </c>
      <c r="AH72" s="726">
        <f t="shared" si="759"/>
        <v>-0.20171701112877602</v>
      </c>
      <c r="AI72" s="725">
        <f t="shared" si="759"/>
        <v>0.26961330013182944</v>
      </c>
      <c r="AJ72" s="725">
        <f t="shared" si="759"/>
        <v>-1.002518783542039</v>
      </c>
      <c r="AK72" s="725">
        <f t="shared" si="759"/>
        <v>0.14805990783410147</v>
      </c>
      <c r="AL72" s="725">
        <f t="shared" si="759"/>
        <v>8.5608441850022393E-2</v>
      </c>
      <c r="AM72" s="725">
        <f t="shared" si="759"/>
        <v>-1.1530190239867705E-2</v>
      </c>
      <c r="AN72" s="725">
        <f t="shared" si="759"/>
        <v>0.59901008249312548</v>
      </c>
      <c r="AO72" s="725">
        <f t="shared" si="759"/>
        <v>-0.67092017738359211</v>
      </c>
      <c r="AP72" s="725">
        <f t="shared" si="759"/>
        <v>-0.26181588902900366</v>
      </c>
      <c r="AQ72" s="725">
        <f t="shared" si="759"/>
        <v>-0.16056839186691324</v>
      </c>
      <c r="AR72" s="725">
        <f t="shared" si="759"/>
        <v>-4.5411611785095299E-2</v>
      </c>
      <c r="AS72" s="730">
        <f t="shared" si="759"/>
        <v>0.77339100346020762</v>
      </c>
      <c r="AT72" s="725">
        <f t="shared" si="759"/>
        <v>0.76536371808434034</v>
      </c>
      <c r="AU72" s="725">
        <f t="shared" si="759"/>
        <v>-6.506331702979101</v>
      </c>
      <c r="AV72" s="725">
        <f t="shared" si="759"/>
        <v>0.2164455255786526</v>
      </c>
      <c r="AW72" s="725">
        <f t="shared" si="759"/>
        <v>0.86010460048426152</v>
      </c>
      <c r="AX72" s="725">
        <f t="shared" si="759"/>
        <v>-0.12407044137316092</v>
      </c>
      <c r="AY72" s="725">
        <f t="shared" ref="AY72:CD72" si="760">AY71/(AY11+AY28)</f>
        <v>1.2977528089887726E-2</v>
      </c>
      <c r="AZ72" s="725">
        <f t="shared" si="760"/>
        <v>-0.23310810810810811</v>
      </c>
      <c r="BA72" s="725">
        <f t="shared" si="760"/>
        <v>6.3936905790838494E-2</v>
      </c>
      <c r="BB72" s="725">
        <f t="shared" si="760"/>
        <v>-7.2871810340548508</v>
      </c>
      <c r="BC72" s="725">
        <f t="shared" si="760"/>
        <v>-1.510277033065245E-2</v>
      </c>
      <c r="BD72" s="725">
        <f t="shared" si="760"/>
        <v>2.9830960854092502E-2</v>
      </c>
      <c r="BE72" s="725">
        <f t="shared" si="760"/>
        <v>1.1384776244249268</v>
      </c>
      <c r="BF72" s="726">
        <f t="shared" si="760"/>
        <v>-0.31616557272919743</v>
      </c>
      <c r="BG72" s="725">
        <f t="shared" si="760"/>
        <v>1.9716652136006981E-2</v>
      </c>
      <c r="BH72" s="725">
        <f t="shared" si="760"/>
        <v>-6.4175365344467758E-2</v>
      </c>
      <c r="BI72" s="725">
        <f t="shared" si="760"/>
        <v>-2.0493114171479389E-2</v>
      </c>
      <c r="BJ72" s="725">
        <f t="shared" si="760"/>
        <v>-7.9159999999999855E-2</v>
      </c>
      <c r="BK72" s="725">
        <f t="shared" si="760"/>
        <v>-0.13414926699244792</v>
      </c>
      <c r="BL72" s="725">
        <f t="shared" si="760"/>
        <v>6.6311899482631206E-2</v>
      </c>
      <c r="BM72" s="725">
        <f t="shared" si="760"/>
        <v>-0.21354120745372079</v>
      </c>
      <c r="BN72" s="725">
        <f t="shared" si="760"/>
        <v>-0.21249032258064515</v>
      </c>
      <c r="BO72" s="725">
        <f t="shared" si="760"/>
        <v>-1.9853763440860154E-2</v>
      </c>
      <c r="BP72" s="725">
        <f t="shared" si="760"/>
        <v>-7.0928233777395863E-2</v>
      </c>
      <c r="BQ72" s="725">
        <f t="shared" si="760"/>
        <v>0.69712323232323259</v>
      </c>
      <c r="BR72" s="726">
        <f t="shared" si="760"/>
        <v>-0.11733413049697373</v>
      </c>
      <c r="BS72" s="725">
        <f t="shared" si="760"/>
        <v>-3.8956701030927937E-2</v>
      </c>
      <c r="BT72" s="725">
        <f t="shared" si="760"/>
        <v>1.3279393173198484</v>
      </c>
      <c r="BU72" s="725">
        <f t="shared" si="760"/>
        <v>2.6970080067425201E-2</v>
      </c>
      <c r="BV72" s="725">
        <f t="shared" si="760"/>
        <v>-2.451961569255386E-2</v>
      </c>
      <c r="BW72" s="725">
        <f t="shared" si="760"/>
        <v>-0.16282599580712795</v>
      </c>
      <c r="BX72" s="725">
        <f t="shared" si="760"/>
        <v>2.7473435655253994E-2</v>
      </c>
      <c r="BY72" s="725">
        <f t="shared" si="760"/>
        <v>-7.0640809825398332E-2</v>
      </c>
      <c r="BZ72" s="725">
        <f t="shared" si="760"/>
        <v>-0.16024909602249887</v>
      </c>
      <c r="CA72" s="725">
        <f t="shared" si="760"/>
        <v>0.72693130496791059</v>
      </c>
      <c r="CB72" s="725">
        <f t="shared" si="760"/>
        <v>-0.50756236635780483</v>
      </c>
      <c r="CC72" s="725">
        <f t="shared" si="760"/>
        <v>0.61300729442970803</v>
      </c>
      <c r="CD72" s="726">
        <f t="shared" si="760"/>
        <v>1.8821141021853727E-2</v>
      </c>
      <c r="CE72" s="725">
        <f t="shared" ref="CE72:DJ72" si="761">CE71/(CE11+CE28)</f>
        <v>4.9751773049645565E-2</v>
      </c>
      <c r="CF72" s="725">
        <f t="shared" si="761"/>
        <v>0.99490854796565875</v>
      </c>
      <c r="CG72" s="725">
        <f t="shared" si="761"/>
        <v>-2.3585106382978799E-2</v>
      </c>
      <c r="CH72" s="725">
        <f t="shared" si="761"/>
        <v>-4.4996009577015252E-2</v>
      </c>
      <c r="CI72" s="725">
        <f t="shared" si="761"/>
        <v>1.9344670261302311E-2</v>
      </c>
      <c r="CJ72" s="725">
        <f t="shared" si="761"/>
        <v>-3.7020576131687633E-2</v>
      </c>
      <c r="CK72" s="725">
        <f t="shared" si="761"/>
        <v>-7.4101598718777487E-2</v>
      </c>
      <c r="CL72" s="725">
        <f t="shared" si="761"/>
        <v>-0.25566854990583826</v>
      </c>
      <c r="CM72" s="725">
        <f t="shared" si="761"/>
        <v>1.3442028985507378E-3</v>
      </c>
      <c r="CN72" s="725">
        <f t="shared" si="761"/>
        <v>2.7330587794834076E-4</v>
      </c>
      <c r="CO72" s="725">
        <f t="shared" si="761"/>
        <v>0.53026819923371649</v>
      </c>
      <c r="CP72" s="726">
        <f t="shared" si="761"/>
        <v>-8.7321440430598668E-2</v>
      </c>
      <c r="CQ72" s="725">
        <f t="shared" si="761"/>
        <v>3.4398025066464E-2</v>
      </c>
      <c r="CR72" s="725">
        <f>CR71/(CR11+CR28)</f>
        <v>-6.2511250461084245E-2</v>
      </c>
      <c r="CS72" s="725">
        <f>CS71/(CS11+CS28)</f>
        <v>1.067490232555333</v>
      </c>
      <c r="CT72" s="725">
        <f t="shared" si="761"/>
        <v>0</v>
      </c>
      <c r="CU72" s="725">
        <f t="shared" si="761"/>
        <v>0</v>
      </c>
      <c r="CV72" s="725">
        <f t="shared" si="761"/>
        <v>0</v>
      </c>
      <c r="CW72" s="725">
        <f t="shared" si="761"/>
        <v>0</v>
      </c>
      <c r="CX72" s="725">
        <f t="shared" si="761"/>
        <v>0</v>
      </c>
      <c r="CY72" s="725">
        <f t="shared" si="761"/>
        <v>0</v>
      </c>
      <c r="CZ72" s="725">
        <f t="shared" si="761"/>
        <v>0</v>
      </c>
      <c r="DA72" s="730">
        <f t="shared" si="761"/>
        <v>0</v>
      </c>
      <c r="DB72" s="725">
        <f t="shared" si="761"/>
        <v>0</v>
      </c>
      <c r="DC72" s="725">
        <f t="shared" si="761"/>
        <v>0</v>
      </c>
      <c r="DD72" s="725">
        <f t="shared" si="761"/>
        <v>0</v>
      </c>
      <c r="DE72" s="725">
        <f t="shared" si="761"/>
        <v>0</v>
      </c>
      <c r="DF72" s="725">
        <f t="shared" si="761"/>
        <v>0</v>
      </c>
      <c r="DG72" s="725">
        <f t="shared" si="761"/>
        <v>0</v>
      </c>
      <c r="DH72" s="725">
        <f t="shared" si="761"/>
        <v>0</v>
      </c>
      <c r="DI72" s="725">
        <f t="shared" si="761"/>
        <v>0</v>
      </c>
      <c r="DJ72" s="725">
        <f t="shared" si="761"/>
        <v>0</v>
      </c>
      <c r="DK72" s="725">
        <f t="shared" ref="DK72:EP72" si="762">DK71/(DK11+DK28)</f>
        <v>0</v>
      </c>
      <c r="DL72" s="725">
        <f t="shared" si="762"/>
        <v>0</v>
      </c>
      <c r="DM72" s="730">
        <f t="shared" si="762"/>
        <v>0</v>
      </c>
      <c r="DN72" s="725">
        <f t="shared" si="762"/>
        <v>0</v>
      </c>
      <c r="DO72" s="725">
        <f t="shared" si="762"/>
        <v>0</v>
      </c>
      <c r="DP72" s="725">
        <f t="shared" si="762"/>
        <v>0</v>
      </c>
      <c r="DQ72" s="725">
        <f t="shared" si="762"/>
        <v>0</v>
      </c>
      <c r="DR72" s="725">
        <f t="shared" si="762"/>
        <v>0</v>
      </c>
      <c r="DS72" s="725">
        <f t="shared" si="762"/>
        <v>0</v>
      </c>
      <c r="DT72" s="725">
        <f t="shared" si="762"/>
        <v>0</v>
      </c>
      <c r="DU72" s="725">
        <f t="shared" si="762"/>
        <v>0</v>
      </c>
      <c r="DV72" s="725">
        <f t="shared" si="762"/>
        <v>0</v>
      </c>
      <c r="DW72" s="725">
        <f t="shared" si="762"/>
        <v>0</v>
      </c>
      <c r="DX72" s="725">
        <f t="shared" si="762"/>
        <v>0</v>
      </c>
      <c r="DY72" s="730">
        <f t="shared" si="762"/>
        <v>0</v>
      </c>
      <c r="DZ72" s="725">
        <f t="shared" si="762"/>
        <v>0</v>
      </c>
      <c r="EA72" s="725">
        <f t="shared" si="762"/>
        <v>0</v>
      </c>
      <c r="EB72" s="725">
        <f t="shared" si="762"/>
        <v>0</v>
      </c>
      <c r="EC72" s="725">
        <f t="shared" si="762"/>
        <v>0</v>
      </c>
      <c r="ED72" s="725">
        <f t="shared" si="762"/>
        <v>0</v>
      </c>
      <c r="EE72" s="725">
        <f t="shared" si="762"/>
        <v>0</v>
      </c>
      <c r="EF72" s="725">
        <f t="shared" si="762"/>
        <v>0</v>
      </c>
      <c r="EG72" s="725">
        <f t="shared" si="762"/>
        <v>0</v>
      </c>
      <c r="EH72" s="725">
        <f t="shared" si="762"/>
        <v>0</v>
      </c>
      <c r="EI72" s="725">
        <f t="shared" si="762"/>
        <v>0</v>
      </c>
      <c r="EJ72" s="725">
        <f t="shared" si="762"/>
        <v>0</v>
      </c>
      <c r="EK72" s="725">
        <f t="shared" si="762"/>
        <v>0</v>
      </c>
      <c r="EL72" s="726">
        <f t="shared" si="762"/>
        <v>0</v>
      </c>
      <c r="EM72" s="725">
        <f t="shared" si="762"/>
        <v>0</v>
      </c>
      <c r="EN72" s="725">
        <f t="shared" si="762"/>
        <v>0</v>
      </c>
      <c r="EO72" s="725">
        <f t="shared" si="762"/>
        <v>0</v>
      </c>
      <c r="EP72" s="725">
        <f t="shared" si="762"/>
        <v>0</v>
      </c>
      <c r="EQ72" s="725">
        <f t="shared" ref="EQ72:FV72" si="763">EQ71/(EQ11+EQ28)</f>
        <v>0</v>
      </c>
      <c r="ER72" s="725">
        <f t="shared" si="763"/>
        <v>0</v>
      </c>
      <c r="ES72" s="725">
        <f t="shared" si="763"/>
        <v>0</v>
      </c>
      <c r="ET72" s="725">
        <f t="shared" si="763"/>
        <v>0</v>
      </c>
      <c r="EU72" s="725">
        <f t="shared" si="763"/>
        <v>0</v>
      </c>
      <c r="EV72" s="725">
        <f t="shared" si="763"/>
        <v>0</v>
      </c>
      <c r="EW72" s="730">
        <f t="shared" si="763"/>
        <v>0</v>
      </c>
      <c r="EX72" s="725">
        <f t="shared" si="763"/>
        <v>0</v>
      </c>
      <c r="EY72" s="725">
        <f t="shared" si="763"/>
        <v>0</v>
      </c>
      <c r="EZ72" s="725">
        <f t="shared" si="763"/>
        <v>0</v>
      </c>
      <c r="FA72" s="725">
        <f t="shared" si="763"/>
        <v>0</v>
      </c>
      <c r="FB72" s="725">
        <f t="shared" si="763"/>
        <v>0</v>
      </c>
      <c r="FC72" s="725">
        <f t="shared" si="763"/>
        <v>0</v>
      </c>
      <c r="FD72" s="725">
        <f t="shared" si="763"/>
        <v>0</v>
      </c>
      <c r="FE72" s="725">
        <f t="shared" si="763"/>
        <v>0</v>
      </c>
      <c r="FF72" s="725">
        <f t="shared" si="763"/>
        <v>0</v>
      </c>
      <c r="FG72" s="725">
        <f t="shared" si="763"/>
        <v>0</v>
      </c>
      <c r="FH72" s="725">
        <f t="shared" si="763"/>
        <v>0</v>
      </c>
      <c r="FI72" s="725">
        <f t="shared" si="763"/>
        <v>0</v>
      </c>
      <c r="FJ72" s="726">
        <f t="shared" si="763"/>
        <v>0</v>
      </c>
      <c r="FK72" s="725">
        <f t="shared" si="763"/>
        <v>0</v>
      </c>
      <c r="FL72" s="725">
        <f t="shared" si="763"/>
        <v>0</v>
      </c>
      <c r="FM72" s="725">
        <f t="shared" si="763"/>
        <v>0</v>
      </c>
      <c r="FN72" s="725">
        <f t="shared" si="763"/>
        <v>0</v>
      </c>
      <c r="FO72" s="725">
        <f t="shared" si="763"/>
        <v>0</v>
      </c>
      <c r="FP72" s="725">
        <f t="shared" si="763"/>
        <v>0</v>
      </c>
      <c r="FQ72" s="725">
        <f t="shared" si="763"/>
        <v>0</v>
      </c>
      <c r="FR72" s="725">
        <f t="shared" si="763"/>
        <v>0</v>
      </c>
      <c r="FS72" s="725">
        <f t="shared" si="763"/>
        <v>0</v>
      </c>
      <c r="FT72" s="725">
        <f t="shared" si="763"/>
        <v>0</v>
      </c>
      <c r="FU72" s="725">
        <f t="shared" si="763"/>
        <v>0</v>
      </c>
      <c r="FV72" s="726">
        <f t="shared" si="763"/>
        <v>0</v>
      </c>
      <c r="FW72" s="725">
        <f t="shared" ref="FW72:GT72" si="764">FW71/(FW11+FW28)</f>
        <v>0</v>
      </c>
      <c r="FX72" s="725">
        <f t="shared" si="764"/>
        <v>0</v>
      </c>
      <c r="FY72" s="725">
        <f t="shared" si="764"/>
        <v>0</v>
      </c>
      <c r="FZ72" s="725">
        <f t="shared" si="764"/>
        <v>0</v>
      </c>
      <c r="GA72" s="725">
        <f t="shared" si="764"/>
        <v>0</v>
      </c>
      <c r="GB72" s="725">
        <f t="shared" si="764"/>
        <v>0</v>
      </c>
      <c r="GC72" s="725">
        <f t="shared" si="764"/>
        <v>0</v>
      </c>
      <c r="GD72" s="725">
        <f t="shared" si="764"/>
        <v>0</v>
      </c>
      <c r="GE72" s="725">
        <f t="shared" si="764"/>
        <v>0</v>
      </c>
      <c r="GF72" s="725">
        <f t="shared" si="764"/>
        <v>0</v>
      </c>
      <c r="GG72" s="725">
        <f t="shared" si="764"/>
        <v>0</v>
      </c>
      <c r="GH72" s="725">
        <f t="shared" si="764"/>
        <v>0</v>
      </c>
      <c r="GI72" s="725">
        <f t="shared" si="764"/>
        <v>0</v>
      </c>
      <c r="GJ72" s="725">
        <f t="shared" si="764"/>
        <v>0</v>
      </c>
      <c r="GK72" s="725">
        <f t="shared" si="764"/>
        <v>0</v>
      </c>
      <c r="GL72" s="725">
        <f t="shared" si="764"/>
        <v>0</v>
      </c>
      <c r="GM72" s="725">
        <f t="shared" si="764"/>
        <v>0</v>
      </c>
      <c r="GN72" s="725">
        <f t="shared" si="764"/>
        <v>0</v>
      </c>
      <c r="GO72" s="725">
        <f t="shared" si="764"/>
        <v>0</v>
      </c>
      <c r="GP72" s="725">
        <f t="shared" si="764"/>
        <v>0</v>
      </c>
      <c r="GQ72" s="725">
        <f t="shared" si="764"/>
        <v>0</v>
      </c>
      <c r="GR72" s="725">
        <f t="shared" si="764"/>
        <v>0</v>
      </c>
      <c r="GS72" s="725">
        <f t="shared" si="764"/>
        <v>0</v>
      </c>
      <c r="GT72" s="945">
        <f t="shared" si="764"/>
        <v>0</v>
      </c>
    </row>
    <row r="73" spans="1:202" hidden="1" x14ac:dyDescent="0.25">
      <c r="B73" s="237"/>
      <c r="C73" s="642">
        <v>2020</v>
      </c>
      <c r="D73" s="642">
        <v>2021</v>
      </c>
      <c r="E73" s="642">
        <v>2022</v>
      </c>
      <c r="F73" s="642">
        <v>2023</v>
      </c>
      <c r="G73" s="642">
        <v>2024</v>
      </c>
      <c r="H73" s="642">
        <v>2025</v>
      </c>
      <c r="I73" s="1032"/>
      <c r="J73" s="1100"/>
      <c r="K73" s="326" t="s">
        <v>2</v>
      </c>
      <c r="L73" s="326" t="s">
        <v>3</v>
      </c>
      <c r="M73" s="326" t="s">
        <v>4</v>
      </c>
      <c r="N73" s="326" t="s">
        <v>5</v>
      </c>
      <c r="O73" s="326" t="s">
        <v>24</v>
      </c>
      <c r="P73" s="326" t="s">
        <v>774</v>
      </c>
      <c r="Q73" s="18"/>
      <c r="R73" s="1100"/>
    </row>
    <row r="74" spans="1:202" hidden="1" x14ac:dyDescent="0.25">
      <c r="B74" s="333" t="s">
        <v>52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100"/>
      <c r="K74" s="336">
        <f t="shared" ref="K74:P74" si="765">C74/12</f>
        <v>1881.8491666666669</v>
      </c>
      <c r="L74" s="336">
        <f t="shared" si="765"/>
        <v>1275.2725</v>
      </c>
      <c r="M74" s="336">
        <f t="shared" si="765"/>
        <v>4116.2058333333334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100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11946.59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15568.319999999998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20381.349999999999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 t="str">
        <f t="shared" si="768"/>
        <v/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 x14ac:dyDescent="0.25">
      <c r="B75" s="51" t="s">
        <v>53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33"/>
      <c r="J75" s="1100"/>
      <c r="K75" s="261">
        <f t="shared" ref="K75:N78" si="773">C75/12</f>
        <v>1782.7641666666668</v>
      </c>
      <c r="L75" s="261">
        <f t="shared" si="773"/>
        <v>2025.9133333333332</v>
      </c>
      <c r="M75" s="261">
        <f t="shared" si="773"/>
        <v>1415.824166666667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33"/>
      <c r="R75" s="1100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1641.73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1313.42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1322.8600000000001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1657.7079999999996</v>
      </c>
      <c r="CT75" s="268" t="str">
        <f t="shared" si="777"/>
        <v/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 x14ac:dyDescent="0.25">
      <c r="B76" s="445" t="s">
        <v>54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101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101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 x14ac:dyDescent="0.25">
      <c r="B77" s="442" t="s">
        <v>55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34"/>
      <c r="J77" s="1101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34"/>
      <c r="R77" s="1101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238.85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 x14ac:dyDescent="0.25">
      <c r="B78" s="340" t="s">
        <v>51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102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102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-169.46799999999939</v>
      </c>
      <c r="CS78" s="463">
        <f t="shared" si="794"/>
        <v>-413.27928186744202</v>
      </c>
      <c r="CT78" s="463" t="str">
        <f t="shared" si="794"/>
        <v/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 x14ac:dyDescent="0.25">
      <c r="B79" s="670"/>
      <c r="C79" s="669"/>
      <c r="D79" s="669"/>
      <c r="E79" s="669"/>
      <c r="F79" s="669"/>
      <c r="G79" s="669"/>
      <c r="H79" s="669"/>
      <c r="I79" s="52"/>
      <c r="J79" s="1100"/>
      <c r="K79" s="669"/>
      <c r="L79" s="669"/>
      <c r="M79" s="669"/>
      <c r="N79" s="669"/>
      <c r="O79" s="669"/>
      <c r="P79" s="669"/>
      <c r="Q79" s="52"/>
      <c r="R79" s="1100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 x14ac:dyDescent="0.25">
      <c r="B80" s="340" t="s">
        <v>56</v>
      </c>
      <c r="C80" s="667">
        <f>SUM(V80:AG80)</f>
        <v>2170.39</v>
      </c>
      <c r="D80" s="448">
        <f>SUM(AH80:AS80)</f>
        <v>11207</v>
      </c>
      <c r="E80" s="423">
        <f>SUM(AT80:BE80)</f>
        <v>33270.18</v>
      </c>
      <c r="F80" s="667">
        <f>SUM(BF80:BQ80)</f>
        <v>1061.75</v>
      </c>
      <c r="G80" s="667">
        <f>SUM(BR80:CC80)</f>
        <v>3418.67</v>
      </c>
      <c r="H80" s="448">
        <f t="shared" si="772"/>
        <v>2188.06</v>
      </c>
      <c r="I80" s="448"/>
      <c r="J80" s="1100"/>
      <c r="K80" s="668">
        <f t="shared" ref="K80:P82" si="796">C80/12</f>
        <v>180.86583333333331</v>
      </c>
      <c r="L80" s="667">
        <f t="shared" si="796"/>
        <v>933.91666666666663</v>
      </c>
      <c r="M80" s="667">
        <f t="shared" si="796"/>
        <v>2772.5149999999999</v>
      </c>
      <c r="N80" s="448">
        <f t="shared" si="796"/>
        <v>88.479166666666671</v>
      </c>
      <c r="O80" s="667">
        <f t="shared" si="796"/>
        <v>284.88916666666665</v>
      </c>
      <c r="P80" s="667">
        <f t="shared" si="796"/>
        <v>182.33833333333334</v>
      </c>
      <c r="Q80" s="448"/>
      <c r="R80" s="1100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238.85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 x14ac:dyDescent="0.25">
      <c r="B81" s="449" t="s">
        <v>57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3058.7700000000004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5"/>
      <c r="J81" s="1100"/>
      <c r="K81" s="327">
        <f t="shared" si="796"/>
        <v>765.15083333333348</v>
      </c>
      <c r="L81" s="327">
        <f t="shared" si="796"/>
        <v>642.3175</v>
      </c>
      <c r="M81" s="327">
        <f t="shared" si="796"/>
        <v>254.89750000000004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5"/>
      <c r="R81" s="1100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672.66000000000008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90.41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43.48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 x14ac:dyDescent="0.25">
      <c r="B82" s="340" t="s">
        <v>778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30211.409999999993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102"/>
      <c r="K82" s="459">
        <f t="shared" si="796"/>
        <v>-584.28500000000008</v>
      </c>
      <c r="L82" s="461">
        <f t="shared" si="796"/>
        <v>291.59916666666669</v>
      </c>
      <c r="M82" s="461">
        <f t="shared" si="796"/>
        <v>2517.6174999999994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102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-322.66000000000008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-90.41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56.530000000000008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166.25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 x14ac:dyDescent="0.25">
      <c r="J83" s="1100"/>
      <c r="R83" s="1100"/>
    </row>
    <row r="84" spans="2:202" x14ac:dyDescent="0.25">
      <c r="J84" s="1100"/>
      <c r="R84" s="1100"/>
    </row>
    <row r="85" spans="2:202" x14ac:dyDescent="0.25">
      <c r="CM85" s="643"/>
      <c r="CN85" s="643"/>
    </row>
    <row r="86" spans="2:202" x14ac:dyDescent="0.25">
      <c r="CN86" s="643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99" priority="62" operator="lessThan">
      <formula>0</formula>
    </cfRule>
  </conditionalFormatting>
  <conditionalFormatting sqref="C32:I32 K32:Q32">
    <cfRule type="cellIs" dxfId="98" priority="82" operator="greaterThan">
      <formula>0</formula>
    </cfRule>
    <cfRule type="cellIs" dxfId="97" priority="83" operator="lessThan">
      <formula>0</formula>
    </cfRule>
  </conditionalFormatting>
  <conditionalFormatting sqref="S34:EQ35 S33:GT33">
    <cfRule type="cellIs" dxfId="96" priority="54" operator="lessThan">
      <formula>0</formula>
    </cfRule>
  </conditionalFormatting>
  <conditionalFormatting sqref="C33:I34">
    <cfRule type="cellIs" dxfId="95" priority="50" operator="lessThan">
      <formula>0</formula>
    </cfRule>
  </conditionalFormatting>
  <conditionalFormatting sqref="C14:I14">
    <cfRule type="cellIs" dxfId="94" priority="1" operator="greaterThan">
      <formula>0</formula>
    </cfRule>
    <cfRule type="cellIs" dxfId="93" priority="49" operator="lessThan">
      <formula>0</formula>
    </cfRule>
  </conditionalFormatting>
  <conditionalFormatting sqref="C73:I73">
    <cfRule type="expression" dxfId="92" priority="48">
      <formula>AU$8=$U$1</formula>
    </cfRule>
  </conditionalFormatting>
  <conditionalFormatting sqref="S82:XFD82 B82:I82 K82:Q82">
    <cfRule type="cellIs" dxfId="91" priority="40" operator="lessThan">
      <formula>0</formula>
    </cfRule>
  </conditionalFormatting>
  <conditionalFormatting sqref="C9:I9">
    <cfRule type="cellIs" dxfId="90" priority="39" operator="equal">
      <formula>$B$7</formula>
    </cfRule>
  </conditionalFormatting>
  <conditionalFormatting sqref="K33:Q33">
    <cfRule type="expression" dxfId="89" priority="8">
      <formula>INDIRECT("R7C"&amp;COLUMN(),FALSE)=TRUE</formula>
    </cfRule>
    <cfRule type="cellIs" dxfId="88" priority="35" operator="lessThan">
      <formula>0</formula>
    </cfRule>
  </conditionalFormatting>
  <conditionalFormatting sqref="S7:GT33">
    <cfRule type="expression" dxfId="87" priority="26">
      <formula>INDIRECT("R7C"&amp;COLUMN(),FALSE)=TRUE</formula>
    </cfRule>
  </conditionalFormatting>
  <conditionalFormatting sqref="Y39:GT65">
    <cfRule type="expression" dxfId="86" priority="30">
      <formula>INDIRECT("R7C"&amp;COLUMN(),FALSE)=TRUE</formula>
    </cfRule>
  </conditionalFormatting>
  <conditionalFormatting sqref="S69:GT72">
    <cfRule type="expression" dxfId="85" priority="29">
      <formula>INDIRECT("R7C"&amp;COLUMN(),FALSE)=TRUE</formula>
    </cfRule>
  </conditionalFormatting>
  <conditionalFormatting sqref="S74:GT82">
    <cfRule type="expression" dxfId="84" priority="28">
      <formula>INDIRECT("R7C"&amp;COLUMN(),FALSE)=TRUE</formula>
    </cfRule>
  </conditionalFormatting>
  <conditionalFormatting sqref="A72:XFD72">
    <cfRule type="cellIs" dxfId="83" priority="2" operator="greaterThan">
      <formula>0</formula>
    </cfRule>
    <cfRule type="cellIs" dxfId="82" priority="27" operator="lessThan">
      <formula>0</formula>
    </cfRule>
  </conditionalFormatting>
  <conditionalFormatting sqref="C39:I39">
    <cfRule type="expression" dxfId="81" priority="150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80" priority="24">
      <formula>INDIRECT("R7C"&amp;COLUMN(),FALSE)=TRUE</formula>
    </cfRule>
  </conditionalFormatting>
  <conditionalFormatting sqref="C7:I8">
    <cfRule type="expression" dxfId="79" priority="25">
      <formula>INDIRECT("R7C"&amp;COLUMN(),FALSE)=TRUE</formula>
    </cfRule>
  </conditionalFormatting>
  <conditionalFormatting sqref="C41:I41 K41:GT41 C53:I53 K53:GT53 C42:GT52 CO41:CO53">
    <cfRule type="expression" dxfId="78" priority="23">
      <formula>INDIRECT("R7C"&amp;COLUMN(),FALSE)=TRUE</formula>
    </cfRule>
  </conditionalFormatting>
  <conditionalFormatting sqref="C56:GT64">
    <cfRule type="expression" dxfId="77" priority="33">
      <formula>INDIRECT("R7C"&amp;COLUMN(),FALSE)=TRUE</formula>
    </cfRule>
  </conditionalFormatting>
  <conditionalFormatting sqref="K7:K8">
    <cfRule type="expression" dxfId="76" priority="22">
      <formula>INDIRECT("R7C"&amp;COLUMN(),FALSE)=TRUE</formula>
    </cfRule>
  </conditionalFormatting>
  <conditionalFormatting sqref="L7:L8">
    <cfRule type="expression" dxfId="75" priority="21">
      <formula>INDIRECT("R7C"&amp;COLUMN(),FALSE)=TRUE</formula>
    </cfRule>
  </conditionalFormatting>
  <conditionalFormatting sqref="M7:M8">
    <cfRule type="expression" dxfId="74" priority="20">
      <formula>INDIRECT("R7C"&amp;COLUMN(),FALSE)=TRUE</formula>
    </cfRule>
  </conditionalFormatting>
  <conditionalFormatting sqref="N7:N8">
    <cfRule type="expression" dxfId="73" priority="19">
      <formula>INDIRECT("R7C"&amp;COLUMN(),FALSE)=TRUE</formula>
    </cfRule>
  </conditionalFormatting>
  <conditionalFormatting sqref="O7:O8">
    <cfRule type="expression" dxfId="72" priority="18">
      <formula>INDIRECT("R7C"&amp;COLUMN(),FALSE)=TRUE</formula>
    </cfRule>
  </conditionalFormatting>
  <conditionalFormatting sqref="P7:P8">
    <cfRule type="expression" dxfId="71" priority="17">
      <formula>INDIRECT("R7C"&amp;COLUMN(),FALSE)=TRUE</formula>
    </cfRule>
  </conditionalFormatting>
  <conditionalFormatting sqref="Q7:Q8">
    <cfRule type="expression" dxfId="70" priority="16">
      <formula>INDIRECT("R7C"&amp;COLUMN(),FALSE)=TRUE</formula>
    </cfRule>
  </conditionalFormatting>
  <conditionalFormatting sqref="K39:Q39">
    <cfRule type="cellIs" dxfId="69" priority="11" operator="equal">
      <formula>$B$7</formula>
    </cfRule>
    <cfRule type="expression" dxfId="68" priority="15">
      <formula>INDIRECT("R7C"&amp;COLUMN(),FALSE)=TRUE</formula>
    </cfRule>
  </conditionalFormatting>
  <conditionalFormatting sqref="K40:Q40">
    <cfRule type="expression" dxfId="67" priority="13">
      <formula>INDIRECT("R7C"&amp;COLUMN(),FALSE)=TRUE</formula>
    </cfRule>
  </conditionalFormatting>
  <conditionalFormatting sqref="K9:Q9">
    <cfRule type="cellIs" dxfId="66" priority="12" operator="equal">
      <formula>$B$7</formula>
    </cfRule>
  </conditionalFormatting>
  <conditionalFormatting sqref="C32:I32">
    <cfRule type="cellIs" dxfId="65" priority="10" operator="equal">
      <formula>$B$7</formula>
    </cfRule>
  </conditionalFormatting>
  <conditionalFormatting sqref="S68:GT68">
    <cfRule type="expression" dxfId="64" priority="7">
      <formula>INDIRECT("R7C"&amp;COLUMN(),FALSE)=TRUE</formula>
    </cfRule>
  </conditionalFormatting>
  <conditionalFormatting sqref="C35:I35">
    <cfRule type="expression" dxfId="63" priority="5">
      <formula>INDIRECT("R7C"&amp;COLUMN(),FALSE)=TRUE</formula>
    </cfRule>
  </conditionalFormatting>
  <conditionalFormatting sqref="A65:XFD65">
    <cfRule type="cellIs" dxfId="62" priority="4" operator="lessThan">
      <formula>0</formula>
    </cfRule>
  </conditionalFormatting>
  <conditionalFormatting sqref="A33:XFD33">
    <cfRule type="cellIs" dxfId="61" priority="3" operator="greaterThan">
      <formula>0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zoomScaleNormal="100" workbookViewId="0">
      <selection activeCell="K31" sqref="K31"/>
    </sheetView>
  </sheetViews>
  <sheetFormatPr defaultRowHeight="15" x14ac:dyDescent="0.2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15" width="12.28515625" customWidth="1"/>
  </cols>
  <sheetData>
    <row r="1" spans="1:15" x14ac:dyDescent="0.25">
      <c r="A1" s="1392" t="s">
        <v>0</v>
      </c>
      <c r="B1" s="1341" t="s">
        <v>63</v>
      </c>
      <c r="C1" s="1341" t="s">
        <v>62</v>
      </c>
      <c r="D1" s="1393" t="s">
        <v>58</v>
      </c>
      <c r="E1" s="1393" t="s">
        <v>59</v>
      </c>
      <c r="F1" s="1393" t="s">
        <v>60</v>
      </c>
      <c r="G1" s="1341" t="s">
        <v>497</v>
      </c>
      <c r="H1" s="1343"/>
      <c r="I1" s="1426" t="s">
        <v>1217</v>
      </c>
      <c r="J1" s="1426"/>
      <c r="K1" s="1426"/>
      <c r="L1" s="1426"/>
      <c r="M1" s="1426"/>
      <c r="N1" s="1426"/>
      <c r="O1" s="1426"/>
    </row>
    <row r="2" spans="1:15" x14ac:dyDescent="0.25">
      <c r="A2" s="1390">
        <v>43709</v>
      </c>
      <c r="B2" s="1354">
        <f t="shared" ref="B2:B33" si="0">YEAR(A2)</f>
        <v>2019</v>
      </c>
      <c r="C2" s="1354">
        <f t="shared" ref="C2:C33" si="1">MONTH(A2)</f>
        <v>9</v>
      </c>
      <c r="D2" s="1394">
        <v>0</v>
      </c>
      <c r="E2" s="1395">
        <f>BILANCIO!S58</f>
        <v>340</v>
      </c>
      <c r="F2" s="1395">
        <f>8+2.8+2.8</f>
        <v>13.600000000000001</v>
      </c>
      <c r="G2" s="1396">
        <f t="shared" ref="G2:G33" si="2">D2+E2+F2</f>
        <v>353.6</v>
      </c>
      <c r="I2" s="1397" t="s">
        <v>63</v>
      </c>
      <c r="J2" s="1397" t="s">
        <v>1212</v>
      </c>
      <c r="K2" s="1397" t="s">
        <v>60</v>
      </c>
      <c r="L2" s="1397" t="s">
        <v>1213</v>
      </c>
      <c r="M2" s="1397" t="s">
        <v>397</v>
      </c>
      <c r="N2" s="1397" t="s">
        <v>1214</v>
      </c>
      <c r="O2" s="1397" t="s">
        <v>1215</v>
      </c>
    </row>
    <row r="3" spans="1:15" x14ac:dyDescent="0.25">
      <c r="A3" s="1390">
        <v>43739</v>
      </c>
      <c r="B3" s="1354">
        <f t="shared" si="0"/>
        <v>2019</v>
      </c>
      <c r="C3" s="1354">
        <f t="shared" si="1"/>
        <v>10</v>
      </c>
      <c r="D3" s="1394">
        <f>BILANCIO!S24</f>
        <v>0</v>
      </c>
      <c r="E3" s="1395">
        <f>BILANCIO!T58</f>
        <v>490</v>
      </c>
      <c r="F3" s="1395">
        <f>3.2+2.8+4+2.8+4+2.8</f>
        <v>19.600000000000001</v>
      </c>
      <c r="G3" s="1396">
        <f t="shared" si="2"/>
        <v>509.6</v>
      </c>
      <c r="I3" s="1398">
        <v>2019</v>
      </c>
      <c r="J3" s="1391">
        <f t="shared" ref="J3:J13" si="3">SUMIF($B:$B,I3,$E:$E)</f>
        <v>1470</v>
      </c>
      <c r="K3" s="1391">
        <f t="shared" ref="K3:K13" si="4">SUMIF($B:$B,I3,$F:$F)</f>
        <v>58.800000000000004</v>
      </c>
      <c r="L3" s="1391">
        <f t="shared" ref="L3:L13" si="5">SUMIF($B:$B,I3,$D:$D)</f>
        <v>0</v>
      </c>
      <c r="M3" s="1391">
        <f t="shared" ref="M3:M13" si="6">J3+K3+L3</f>
        <v>1528.8</v>
      </c>
      <c r="N3" s="1391" t="s">
        <v>1216</v>
      </c>
      <c r="O3" s="1399" t="s">
        <v>1216</v>
      </c>
    </row>
    <row r="4" spans="1:15" x14ac:dyDescent="0.25">
      <c r="A4" s="1390">
        <v>43770</v>
      </c>
      <c r="B4" s="1354">
        <f t="shared" si="0"/>
        <v>2019</v>
      </c>
      <c r="C4" s="1354">
        <f t="shared" si="1"/>
        <v>11</v>
      </c>
      <c r="D4" s="1394">
        <f>BILANCIO!T24</f>
        <v>0</v>
      </c>
      <c r="E4" s="1395">
        <f>BILANCIO!U58</f>
        <v>400</v>
      </c>
      <c r="F4" s="1395">
        <f>4+8+4</f>
        <v>16</v>
      </c>
      <c r="G4" s="1396">
        <f t="shared" si="2"/>
        <v>416</v>
      </c>
      <c r="I4" s="1398">
        <v>2020</v>
      </c>
      <c r="J4" s="1391">
        <f t="shared" si="3"/>
        <v>2680</v>
      </c>
      <c r="K4" s="1391">
        <f t="shared" si="4"/>
        <v>103.2</v>
      </c>
      <c r="L4" s="1391">
        <f t="shared" si="5"/>
        <v>0</v>
      </c>
      <c r="M4" s="1391">
        <f t="shared" si="6"/>
        <v>2783.2</v>
      </c>
      <c r="N4" s="1391">
        <f t="shared" ref="N4:N13" si="7">M4-M3</f>
        <v>1254.3999999999999</v>
      </c>
      <c r="O4" s="1399">
        <f t="shared" ref="O4:O13" si="8">IF(M3=0,"-",(M4-M3)/M3)</f>
        <v>0.82051282051282048</v>
      </c>
    </row>
    <row r="5" spans="1:15" x14ac:dyDescent="0.25">
      <c r="A5" s="1390">
        <v>43800</v>
      </c>
      <c r="B5" s="1354">
        <f t="shared" si="0"/>
        <v>2019</v>
      </c>
      <c r="C5" s="1354">
        <f t="shared" si="1"/>
        <v>12</v>
      </c>
      <c r="D5" s="1394">
        <f>BILANCIO!U24</f>
        <v>0</v>
      </c>
      <c r="E5" s="1395">
        <f>BILANCIO!V58</f>
        <v>240</v>
      </c>
      <c r="F5" s="1395">
        <f>3.6+6</f>
        <v>9.6</v>
      </c>
      <c r="G5" s="1396">
        <f t="shared" si="2"/>
        <v>249.6</v>
      </c>
      <c r="I5" s="1398">
        <v>2021</v>
      </c>
      <c r="J5" s="1391">
        <f t="shared" si="3"/>
        <v>3284.91</v>
      </c>
      <c r="K5" s="1391">
        <f t="shared" si="4"/>
        <v>134.04</v>
      </c>
      <c r="L5" s="1391">
        <f t="shared" si="5"/>
        <v>3652</v>
      </c>
      <c r="M5" s="1391">
        <f t="shared" si="6"/>
        <v>7070.95</v>
      </c>
      <c r="N5" s="1391">
        <f t="shared" si="7"/>
        <v>4287.75</v>
      </c>
      <c r="O5" s="1399">
        <f t="shared" si="8"/>
        <v>1.5405827824087381</v>
      </c>
    </row>
    <row r="6" spans="1:15" x14ac:dyDescent="0.25">
      <c r="A6" s="1390">
        <v>43831</v>
      </c>
      <c r="B6" s="1354">
        <f t="shared" si="0"/>
        <v>2020</v>
      </c>
      <c r="C6" s="1354">
        <f t="shared" si="1"/>
        <v>1</v>
      </c>
      <c r="D6" s="1394">
        <f>BILANCIO!V24</f>
        <v>0</v>
      </c>
      <c r="E6" s="1395">
        <f>BILANCIO!W58</f>
        <v>220</v>
      </c>
      <c r="F6" s="1395">
        <f>4.8+4</f>
        <v>8.8000000000000007</v>
      </c>
      <c r="G6" s="1396">
        <f t="shared" si="2"/>
        <v>228.8</v>
      </c>
      <c r="I6" s="1398">
        <v>2022</v>
      </c>
      <c r="J6" s="1391">
        <f t="shared" si="3"/>
        <v>4271.79</v>
      </c>
      <c r="K6" s="1391">
        <f t="shared" si="4"/>
        <v>192.46</v>
      </c>
      <c r="L6" s="1391">
        <f t="shared" si="5"/>
        <v>1910</v>
      </c>
      <c r="M6" s="1391">
        <f t="shared" si="6"/>
        <v>6374.25</v>
      </c>
      <c r="N6" s="1391">
        <f t="shared" si="7"/>
        <v>-696.69999999999982</v>
      </c>
      <c r="O6" s="1399">
        <f t="shared" si="8"/>
        <v>-9.8529900508418228E-2</v>
      </c>
    </row>
    <row r="7" spans="1:15" x14ac:dyDescent="0.25">
      <c r="A7" s="1390">
        <v>43862</v>
      </c>
      <c r="B7" s="1354">
        <f t="shared" si="0"/>
        <v>2020</v>
      </c>
      <c r="C7" s="1354">
        <f t="shared" si="1"/>
        <v>2</v>
      </c>
      <c r="D7" s="1394">
        <f>BILANCIO!W24</f>
        <v>0</v>
      </c>
      <c r="E7" s="1395">
        <f>BILANCIO!X58</f>
        <v>300</v>
      </c>
      <c r="F7" s="1395">
        <f>4+4</f>
        <v>8</v>
      </c>
      <c r="G7" s="1396">
        <f t="shared" si="2"/>
        <v>308</v>
      </c>
      <c r="I7" s="1398">
        <v>2023</v>
      </c>
      <c r="J7" s="1391">
        <f t="shared" si="3"/>
        <v>4930</v>
      </c>
      <c r="K7" s="1391">
        <f t="shared" si="4"/>
        <v>196.90999999999997</v>
      </c>
      <c r="L7" s="1391">
        <f t="shared" si="5"/>
        <v>220</v>
      </c>
      <c r="M7" s="1391">
        <f t="shared" si="6"/>
        <v>5346.91</v>
      </c>
      <c r="N7" s="1391">
        <f t="shared" si="7"/>
        <v>-1027.3400000000001</v>
      </c>
      <c r="O7" s="1399">
        <f t="shared" si="8"/>
        <v>-0.16117033376475667</v>
      </c>
    </row>
    <row r="8" spans="1:15" x14ac:dyDescent="0.25">
      <c r="A8" s="1390">
        <v>43891</v>
      </c>
      <c r="B8" s="1354">
        <f t="shared" si="0"/>
        <v>2020</v>
      </c>
      <c r="C8" s="1354">
        <f t="shared" si="1"/>
        <v>3</v>
      </c>
      <c r="D8" s="1394">
        <f>BILANCIO!X24</f>
        <v>0</v>
      </c>
      <c r="E8" s="1395">
        <f>BILANCIO!Y58</f>
        <v>0</v>
      </c>
      <c r="F8" s="1395"/>
      <c r="G8" s="1396">
        <f t="shared" si="2"/>
        <v>0</v>
      </c>
      <c r="I8" s="1398">
        <v>2024</v>
      </c>
      <c r="J8" s="1391">
        <f t="shared" si="3"/>
        <v>3232.9</v>
      </c>
      <c r="K8" s="1391">
        <f t="shared" si="4"/>
        <v>128.93</v>
      </c>
      <c r="L8" s="1391">
        <f t="shared" si="5"/>
        <v>442</v>
      </c>
      <c r="M8" s="1391">
        <f t="shared" si="6"/>
        <v>3803.83</v>
      </c>
      <c r="N8" s="1391">
        <f t="shared" si="7"/>
        <v>-1543.08</v>
      </c>
      <c r="O8" s="1399">
        <f t="shared" si="8"/>
        <v>-0.28859285082412084</v>
      </c>
    </row>
    <row r="9" spans="1:15" x14ac:dyDescent="0.25">
      <c r="A9" s="1390">
        <v>43922</v>
      </c>
      <c r="B9" s="1354">
        <f t="shared" si="0"/>
        <v>2020</v>
      </c>
      <c r="C9" s="1354">
        <f t="shared" si="1"/>
        <v>4</v>
      </c>
      <c r="D9" s="1394">
        <f>BILANCIO!Y24</f>
        <v>0</v>
      </c>
      <c r="E9" s="1395">
        <f>BILANCIO!Z58</f>
        <v>0</v>
      </c>
      <c r="F9" s="1395"/>
      <c r="G9" s="1396">
        <f t="shared" si="2"/>
        <v>0</v>
      </c>
      <c r="I9" s="1398">
        <v>2025</v>
      </c>
      <c r="J9" s="1391">
        <f t="shared" si="3"/>
        <v>1100</v>
      </c>
      <c r="K9" s="1391">
        <f t="shared" si="4"/>
        <v>42.069999999999993</v>
      </c>
      <c r="L9" s="1391">
        <f t="shared" si="5"/>
        <v>1030</v>
      </c>
      <c r="M9" s="1391">
        <f t="shared" si="6"/>
        <v>2172.0699999999997</v>
      </c>
      <c r="N9" s="1391">
        <f t="shared" si="7"/>
        <v>-1631.7600000000002</v>
      </c>
      <c r="O9" s="1399">
        <f t="shared" si="8"/>
        <v>-0.42897816148460899</v>
      </c>
    </row>
    <row r="10" spans="1:15" x14ac:dyDescent="0.25">
      <c r="A10" s="1390">
        <v>43952</v>
      </c>
      <c r="B10" s="1354">
        <f t="shared" si="0"/>
        <v>2020</v>
      </c>
      <c r="C10" s="1354">
        <f t="shared" si="1"/>
        <v>5</v>
      </c>
      <c r="D10" s="1394">
        <f>BILANCIO!Z24</f>
        <v>0</v>
      </c>
      <c r="E10" s="1395">
        <f>BILANCIO!AA58</f>
        <v>150</v>
      </c>
      <c r="F10" s="1395">
        <v>6</v>
      </c>
      <c r="G10" s="1396">
        <f t="shared" si="2"/>
        <v>156</v>
      </c>
      <c r="I10" s="1398">
        <v>2026</v>
      </c>
      <c r="J10" s="1391">
        <f t="shared" si="3"/>
        <v>0</v>
      </c>
      <c r="K10" s="1391">
        <f t="shared" si="4"/>
        <v>0</v>
      </c>
      <c r="L10" s="1391">
        <f t="shared" si="5"/>
        <v>72</v>
      </c>
      <c r="M10" s="1391">
        <f t="shared" si="6"/>
        <v>72</v>
      </c>
      <c r="N10" s="1391">
        <f t="shared" si="7"/>
        <v>-2100.0699999999997</v>
      </c>
      <c r="O10" s="1399">
        <f t="shared" si="8"/>
        <v>-0.96685189703830909</v>
      </c>
    </row>
    <row r="11" spans="1:15" x14ac:dyDescent="0.25">
      <c r="A11" s="1390">
        <v>43983</v>
      </c>
      <c r="B11" s="1354">
        <f t="shared" si="0"/>
        <v>2020</v>
      </c>
      <c r="C11" s="1354">
        <f t="shared" si="1"/>
        <v>6</v>
      </c>
      <c r="D11" s="1394">
        <f>BILANCIO!AA24</f>
        <v>0</v>
      </c>
      <c r="E11" s="1395">
        <f>BILANCIO!AB58</f>
        <v>200</v>
      </c>
      <c r="F11" s="1395">
        <f>4+4</f>
        <v>8</v>
      </c>
      <c r="G11" s="1396">
        <f t="shared" si="2"/>
        <v>208</v>
      </c>
      <c r="I11" s="1398">
        <v>2027</v>
      </c>
      <c r="J11" s="1391">
        <f t="shared" si="3"/>
        <v>0</v>
      </c>
      <c r="K11" s="1391">
        <f t="shared" si="4"/>
        <v>0</v>
      </c>
      <c r="L11" s="1391">
        <f t="shared" si="5"/>
        <v>0</v>
      </c>
      <c r="M11" s="1391">
        <f t="shared" si="6"/>
        <v>0</v>
      </c>
      <c r="N11" s="1391">
        <f t="shared" si="7"/>
        <v>-72</v>
      </c>
      <c r="O11" s="1399">
        <f t="shared" si="8"/>
        <v>-1</v>
      </c>
    </row>
    <row r="12" spans="1:15" x14ac:dyDescent="0.25">
      <c r="A12" s="1390">
        <v>44013</v>
      </c>
      <c r="B12" s="1354">
        <f t="shared" si="0"/>
        <v>2020</v>
      </c>
      <c r="C12" s="1354">
        <f t="shared" si="1"/>
        <v>7</v>
      </c>
      <c r="D12" s="1394">
        <f>BILANCIO!AB24</f>
        <v>0</v>
      </c>
      <c r="E12" s="1395">
        <f>BILANCIO!AC58</f>
        <v>200</v>
      </c>
      <c r="F12" s="1395">
        <f>4+4</f>
        <v>8</v>
      </c>
      <c r="G12" s="1396">
        <f t="shared" si="2"/>
        <v>208</v>
      </c>
      <c r="I12" s="1398">
        <v>2028</v>
      </c>
      <c r="J12" s="1391">
        <f t="shared" si="3"/>
        <v>0</v>
      </c>
      <c r="K12" s="1391">
        <f t="shared" si="4"/>
        <v>0</v>
      </c>
      <c r="L12" s="1391">
        <f t="shared" si="5"/>
        <v>0</v>
      </c>
      <c r="M12" s="1391">
        <f t="shared" si="6"/>
        <v>0</v>
      </c>
      <c r="N12" s="1391">
        <f t="shared" si="7"/>
        <v>0</v>
      </c>
      <c r="O12" s="1399" t="str">
        <f t="shared" si="8"/>
        <v>-</v>
      </c>
    </row>
    <row r="13" spans="1:15" x14ac:dyDescent="0.25">
      <c r="A13" s="1390">
        <v>44044</v>
      </c>
      <c r="B13" s="1354">
        <f t="shared" si="0"/>
        <v>2020</v>
      </c>
      <c r="C13" s="1354">
        <f t="shared" si="1"/>
        <v>8</v>
      </c>
      <c r="D13" s="1394">
        <f>BILANCIO!AC24</f>
        <v>0</v>
      </c>
      <c r="E13" s="1395">
        <f>BILANCIO!AD58</f>
        <v>340</v>
      </c>
      <c r="F13" s="1395">
        <f>2.8+2.8+4+4</f>
        <v>13.6</v>
      </c>
      <c r="G13" s="1396">
        <f t="shared" si="2"/>
        <v>353.6</v>
      </c>
      <c r="I13" s="1398">
        <v>2029</v>
      </c>
      <c r="J13" s="1391">
        <f t="shared" si="3"/>
        <v>0</v>
      </c>
      <c r="K13" s="1391">
        <f t="shared" si="4"/>
        <v>0</v>
      </c>
      <c r="L13" s="1391">
        <f t="shared" si="5"/>
        <v>0</v>
      </c>
      <c r="M13" s="1391">
        <f t="shared" si="6"/>
        <v>0</v>
      </c>
      <c r="N13" s="1391">
        <f t="shared" si="7"/>
        <v>0</v>
      </c>
      <c r="O13" s="1399" t="str">
        <f t="shared" si="8"/>
        <v>-</v>
      </c>
    </row>
    <row r="14" spans="1:15" x14ac:dyDescent="0.25">
      <c r="A14" s="1390">
        <v>44075</v>
      </c>
      <c r="B14" s="1354">
        <f t="shared" si="0"/>
        <v>2020</v>
      </c>
      <c r="C14" s="1354">
        <f t="shared" si="1"/>
        <v>9</v>
      </c>
      <c r="D14" s="1394">
        <f>BILANCIO!AD24</f>
        <v>0</v>
      </c>
      <c r="E14" s="1395">
        <f>BILANCIO!AE58</f>
        <v>350</v>
      </c>
      <c r="F14" s="1395">
        <f>4+4+6</f>
        <v>14</v>
      </c>
      <c r="G14" s="1396">
        <f t="shared" si="2"/>
        <v>364</v>
      </c>
      <c r="I14" s="1400" t="s">
        <v>397</v>
      </c>
      <c r="J14" s="1401">
        <f>SUM(J3:J13)</f>
        <v>20969.600000000002</v>
      </c>
      <c r="K14" s="1401">
        <f>SUM(K3:K13)</f>
        <v>856.40999999999985</v>
      </c>
      <c r="L14" s="1401">
        <f>SUM(L3:L13)</f>
        <v>7326</v>
      </c>
      <c r="M14" s="1401">
        <f>SUM(M3:M13)</f>
        <v>29152.010000000002</v>
      </c>
      <c r="N14" s="1401"/>
      <c r="O14" s="1402"/>
    </row>
    <row r="15" spans="1:15" x14ac:dyDescent="0.25">
      <c r="A15" s="1390">
        <v>44105</v>
      </c>
      <c r="B15" s="1354">
        <f t="shared" si="0"/>
        <v>2020</v>
      </c>
      <c r="C15" s="1354">
        <f t="shared" si="1"/>
        <v>10</v>
      </c>
      <c r="D15" s="1394">
        <f>BILANCIO!AE24</f>
        <v>0</v>
      </c>
      <c r="E15" s="1395">
        <f>BILANCIO!AF58</f>
        <v>340</v>
      </c>
      <c r="F15" s="1395">
        <f>5.6+4+4</f>
        <v>13.6</v>
      </c>
      <c r="G15" s="1396">
        <f t="shared" si="2"/>
        <v>353.6</v>
      </c>
    </row>
    <row r="16" spans="1:15" x14ac:dyDescent="0.25">
      <c r="A16" s="1390">
        <v>44136</v>
      </c>
      <c r="B16" s="1354">
        <f t="shared" si="0"/>
        <v>2020</v>
      </c>
      <c r="C16" s="1354">
        <f t="shared" si="1"/>
        <v>11</v>
      </c>
      <c r="D16" s="1394">
        <f>BILANCIO!AF24</f>
        <v>0</v>
      </c>
      <c r="E16" s="1395">
        <f>BILANCIO!AG58</f>
        <v>430</v>
      </c>
      <c r="F16" s="1395">
        <f>2.8+11.6+2.8</f>
        <v>17.2</v>
      </c>
      <c r="G16" s="1396">
        <f t="shared" si="2"/>
        <v>447.2</v>
      </c>
    </row>
    <row r="17" spans="1:7" x14ac:dyDescent="0.25">
      <c r="A17" s="1390">
        <v>44166</v>
      </c>
      <c r="B17" s="1354">
        <f t="shared" si="0"/>
        <v>2020</v>
      </c>
      <c r="C17" s="1354">
        <f t="shared" si="1"/>
        <v>12</v>
      </c>
      <c r="D17" s="1394">
        <f>BILANCIO!AG24</f>
        <v>0</v>
      </c>
      <c r="E17" s="1395">
        <f>BILANCIO!AH58</f>
        <v>150</v>
      </c>
      <c r="F17" s="1395">
        <v>6</v>
      </c>
      <c r="G17" s="1396">
        <f t="shared" si="2"/>
        <v>156</v>
      </c>
    </row>
    <row r="18" spans="1:7" x14ac:dyDescent="0.25">
      <c r="A18" s="1390">
        <v>44197</v>
      </c>
      <c r="B18" s="1354">
        <f t="shared" si="0"/>
        <v>2021</v>
      </c>
      <c r="C18" s="1354">
        <f t="shared" si="1"/>
        <v>1</v>
      </c>
      <c r="D18" s="1394">
        <f>BILANCIO!AH24</f>
        <v>0</v>
      </c>
      <c r="E18" s="1395">
        <f>BILANCIO!AI58</f>
        <v>100</v>
      </c>
      <c r="F18" s="1395">
        <v>4</v>
      </c>
      <c r="G18" s="1396">
        <f t="shared" si="2"/>
        <v>104</v>
      </c>
    </row>
    <row r="19" spans="1:7" x14ac:dyDescent="0.25">
      <c r="A19" s="1390">
        <v>44228</v>
      </c>
      <c r="B19" s="1354">
        <f t="shared" si="0"/>
        <v>2021</v>
      </c>
      <c r="C19" s="1354">
        <f t="shared" si="1"/>
        <v>2</v>
      </c>
      <c r="D19" s="1394">
        <f>BILANCIO!AI24</f>
        <v>0</v>
      </c>
      <c r="E19" s="1395">
        <f>BILANCIO!AJ58</f>
        <v>390</v>
      </c>
      <c r="F19" s="1395">
        <f>2.8+10+2.8</f>
        <v>15.600000000000001</v>
      </c>
      <c r="G19" s="1396">
        <f t="shared" si="2"/>
        <v>405.6</v>
      </c>
    </row>
    <row r="20" spans="1:7" x14ac:dyDescent="0.25">
      <c r="A20" s="1390">
        <v>44256</v>
      </c>
      <c r="B20" s="1354">
        <f t="shared" si="0"/>
        <v>2021</v>
      </c>
      <c r="C20" s="1354">
        <f t="shared" si="1"/>
        <v>3</v>
      </c>
      <c r="D20" s="1394">
        <f>BILANCIO!AJ24</f>
        <v>2100</v>
      </c>
      <c r="E20" s="1395">
        <f>BILANCIO!AK58</f>
        <v>0</v>
      </c>
      <c r="F20" s="1395"/>
      <c r="G20" s="1396">
        <f t="shared" si="2"/>
        <v>2100</v>
      </c>
    </row>
    <row r="21" spans="1:7" x14ac:dyDescent="0.25">
      <c r="A21" s="1390">
        <v>44287</v>
      </c>
      <c r="B21" s="1354">
        <f t="shared" si="0"/>
        <v>2021</v>
      </c>
      <c r="C21" s="1354">
        <f t="shared" si="1"/>
        <v>4</v>
      </c>
      <c r="D21" s="1394">
        <f>BILANCIO!AK24</f>
        <v>70</v>
      </c>
      <c r="E21" s="1395">
        <f>BILANCIO!AL58</f>
        <v>0</v>
      </c>
      <c r="F21" s="1395"/>
      <c r="G21" s="1396">
        <f t="shared" si="2"/>
        <v>70</v>
      </c>
    </row>
    <row r="22" spans="1:7" x14ac:dyDescent="0.25">
      <c r="A22" s="1390">
        <v>44317</v>
      </c>
      <c r="B22" s="1354">
        <f t="shared" si="0"/>
        <v>2021</v>
      </c>
      <c r="C22" s="1354">
        <f t="shared" si="1"/>
        <v>5</v>
      </c>
      <c r="D22" s="1394">
        <f>BILANCIO!AL24</f>
        <v>0</v>
      </c>
      <c r="E22" s="1395">
        <f>BILANCIO!AM58</f>
        <v>70</v>
      </c>
      <c r="F22" s="1395">
        <v>2.8</v>
      </c>
      <c r="G22" s="1396">
        <f t="shared" si="2"/>
        <v>72.8</v>
      </c>
    </row>
    <row r="23" spans="1:7" x14ac:dyDescent="0.25">
      <c r="A23" s="1390">
        <v>44348</v>
      </c>
      <c r="B23" s="1354">
        <f t="shared" si="0"/>
        <v>2021</v>
      </c>
      <c r="C23" s="1354">
        <f t="shared" si="1"/>
        <v>6</v>
      </c>
      <c r="D23" s="1394">
        <f>BILANCIO!AM24</f>
        <v>170</v>
      </c>
      <c r="E23" s="1395">
        <f>BILANCIO!AN58</f>
        <v>350</v>
      </c>
      <c r="F23" s="1395">
        <f>2.4+2.8+4+2.8+2.07</f>
        <v>14.07</v>
      </c>
      <c r="G23" s="1396">
        <f t="shared" si="2"/>
        <v>534.07000000000005</v>
      </c>
    </row>
    <row r="24" spans="1:7" x14ac:dyDescent="0.25">
      <c r="A24" s="1390">
        <v>44378</v>
      </c>
      <c r="B24" s="1354">
        <f t="shared" si="0"/>
        <v>2021</v>
      </c>
      <c r="C24" s="1354">
        <f t="shared" si="1"/>
        <v>7</v>
      </c>
      <c r="D24" s="1394">
        <f>BILANCIO!AN24</f>
        <v>350</v>
      </c>
      <c r="E24" s="1395">
        <f>BILANCIO!AO58</f>
        <v>540</v>
      </c>
      <c r="F24" s="1395">
        <f>10+10+2.07</f>
        <v>22.07</v>
      </c>
      <c r="G24" s="1396">
        <f t="shared" si="2"/>
        <v>912.07</v>
      </c>
    </row>
    <row r="25" spans="1:7" x14ac:dyDescent="0.25">
      <c r="A25" s="1390">
        <v>44409</v>
      </c>
      <c r="B25" s="1354">
        <f t="shared" si="0"/>
        <v>2021</v>
      </c>
      <c r="C25" s="1354">
        <f t="shared" si="1"/>
        <v>8</v>
      </c>
      <c r="D25" s="1394">
        <f>BILANCIO!AO24</f>
        <v>350</v>
      </c>
      <c r="E25" s="1395">
        <f>BILANCIO!AP58</f>
        <v>250</v>
      </c>
      <c r="F25" s="1395">
        <v>10</v>
      </c>
      <c r="G25" s="1396">
        <f t="shared" si="2"/>
        <v>610</v>
      </c>
    </row>
    <row r="26" spans="1:7" x14ac:dyDescent="0.25">
      <c r="A26" s="1390">
        <v>44440</v>
      </c>
      <c r="B26" s="1354">
        <f t="shared" si="0"/>
        <v>2021</v>
      </c>
      <c r="C26" s="1354">
        <f t="shared" si="1"/>
        <v>9</v>
      </c>
      <c r="D26" s="1394">
        <f>BILANCIO!AP24</f>
        <v>250</v>
      </c>
      <c r="E26" s="1395">
        <f>BILANCIO!AQ58</f>
        <v>260</v>
      </c>
      <c r="F26" s="1395">
        <f>2.07+2.07+2.07+2.07+2.4</f>
        <v>10.68</v>
      </c>
      <c r="G26" s="1396">
        <f t="shared" si="2"/>
        <v>520.67999999999995</v>
      </c>
    </row>
    <row r="27" spans="1:7" x14ac:dyDescent="0.25">
      <c r="A27" s="1390">
        <v>44470</v>
      </c>
      <c r="B27" s="1354">
        <f t="shared" si="0"/>
        <v>2021</v>
      </c>
      <c r="C27" s="1354">
        <f t="shared" si="1"/>
        <v>10</v>
      </c>
      <c r="D27" s="1394">
        <f>BILANCIO!AQ24</f>
        <v>102</v>
      </c>
      <c r="E27" s="1395">
        <f>BILANCIO!AR58</f>
        <v>430</v>
      </c>
      <c r="F27" s="1395">
        <f>2.07+4+4+3.2+2.4+2.07</f>
        <v>17.739999999999998</v>
      </c>
      <c r="G27" s="1396">
        <f t="shared" si="2"/>
        <v>549.74</v>
      </c>
    </row>
    <row r="28" spans="1:7" x14ac:dyDescent="0.25">
      <c r="A28" s="1390">
        <v>44501</v>
      </c>
      <c r="B28" s="1354">
        <f t="shared" si="0"/>
        <v>2021</v>
      </c>
      <c r="C28" s="1354">
        <f t="shared" si="1"/>
        <v>11</v>
      </c>
      <c r="D28" s="1394">
        <f>BILANCIO!AR24</f>
        <v>0</v>
      </c>
      <c r="E28" s="1395">
        <f>BILANCIO!AS58</f>
        <v>444.90999999999997</v>
      </c>
      <c r="F28" s="1395">
        <f>2.4+3.2+2.07+2.07+3.2+4+2.07</f>
        <v>19.010000000000002</v>
      </c>
      <c r="G28" s="1396">
        <f t="shared" si="2"/>
        <v>463.91999999999996</v>
      </c>
    </row>
    <row r="29" spans="1:7" x14ac:dyDescent="0.25">
      <c r="A29" s="1390">
        <v>44531</v>
      </c>
      <c r="B29" s="1354">
        <f t="shared" si="0"/>
        <v>2021</v>
      </c>
      <c r="C29" s="1354">
        <f t="shared" si="1"/>
        <v>12</v>
      </c>
      <c r="D29" s="1394">
        <f>BILANCIO!AS24</f>
        <v>260</v>
      </c>
      <c r="E29" s="1395">
        <f>BILANCIO!AT58</f>
        <v>450</v>
      </c>
      <c r="F29" s="1395">
        <f>2.07+4+2.4+7.2+2.4</f>
        <v>18.07</v>
      </c>
      <c r="G29" s="1396">
        <f t="shared" si="2"/>
        <v>728.07</v>
      </c>
    </row>
    <row r="30" spans="1:7" x14ac:dyDescent="0.25">
      <c r="A30" s="1390">
        <v>44562</v>
      </c>
      <c r="B30" s="1354">
        <f t="shared" si="0"/>
        <v>2022</v>
      </c>
      <c r="C30" s="1354">
        <f t="shared" si="1"/>
        <v>1</v>
      </c>
      <c r="D30" s="1394">
        <f>BILANCIO!AT24</f>
        <v>0</v>
      </c>
      <c r="E30" s="1395">
        <f>BILANCIO!AU58</f>
        <v>400</v>
      </c>
      <c r="F30" s="1395">
        <f>2.4+2.4+2.4+2.4+2.07+2.07+2.07+2.07</f>
        <v>17.88</v>
      </c>
      <c r="G30" s="1396">
        <f t="shared" si="2"/>
        <v>417.88</v>
      </c>
    </row>
    <row r="31" spans="1:7" x14ac:dyDescent="0.25">
      <c r="A31" s="1390">
        <v>44593</v>
      </c>
      <c r="B31" s="1354">
        <f t="shared" si="0"/>
        <v>2022</v>
      </c>
      <c r="C31" s="1354">
        <f t="shared" si="1"/>
        <v>2</v>
      </c>
      <c r="D31" s="1394">
        <f>BILANCIO!AU24</f>
        <v>280</v>
      </c>
      <c r="E31" s="1395">
        <f>BILANCIO!AV58</f>
        <v>250</v>
      </c>
      <c r="F31" s="1395">
        <f>2.4+2.07+2.07+4</f>
        <v>10.54</v>
      </c>
      <c r="G31" s="1396">
        <f t="shared" si="2"/>
        <v>540.54</v>
      </c>
    </row>
    <row r="32" spans="1:7" x14ac:dyDescent="0.25">
      <c r="A32" s="1390">
        <v>44621</v>
      </c>
      <c r="B32" s="1354">
        <f t="shared" si="0"/>
        <v>2022</v>
      </c>
      <c r="C32" s="1354">
        <f t="shared" si="1"/>
        <v>3</v>
      </c>
      <c r="D32" s="1394">
        <f>BILANCIO!AV24</f>
        <v>120</v>
      </c>
      <c r="E32" s="1395">
        <f>BILANCIO!AW58</f>
        <v>387.84000000000003</v>
      </c>
      <c r="F32" s="1395">
        <f>2.07+2.07+2.4+2.07+2.4+4+2.4</f>
        <v>17.41</v>
      </c>
      <c r="G32" s="1396">
        <f t="shared" si="2"/>
        <v>525.25</v>
      </c>
    </row>
    <row r="33" spans="1:7" x14ac:dyDescent="0.25">
      <c r="A33" s="1390">
        <v>44652</v>
      </c>
      <c r="B33" s="1354">
        <f t="shared" si="0"/>
        <v>2022</v>
      </c>
      <c r="C33" s="1354">
        <f t="shared" si="1"/>
        <v>4</v>
      </c>
      <c r="D33" s="1394">
        <f>BILANCIO!AW24</f>
        <v>280</v>
      </c>
      <c r="E33" s="1395">
        <f>BILANCIO!AX58</f>
        <v>40</v>
      </c>
      <c r="F33" s="1395">
        <v>2.0699999999999998</v>
      </c>
      <c r="G33" s="1396">
        <f t="shared" si="2"/>
        <v>322.07</v>
      </c>
    </row>
    <row r="34" spans="1:7" x14ac:dyDescent="0.25">
      <c r="A34" s="1390">
        <v>44682</v>
      </c>
      <c r="B34" s="1354">
        <f t="shared" ref="B34:B65" si="9">YEAR(A34)</f>
        <v>2022</v>
      </c>
      <c r="C34" s="1354">
        <f t="shared" ref="C34:C65" si="10">MONTH(A34)</f>
        <v>5</v>
      </c>
      <c r="D34" s="1394">
        <f>BILANCIO!AX24</f>
        <v>120</v>
      </c>
      <c r="E34" s="1395">
        <f>BILANCIO!AY58</f>
        <v>240</v>
      </c>
      <c r="F34" s="1395">
        <f>2.07+2.07+2.4+2.4+2.07</f>
        <v>11.01</v>
      </c>
      <c r="G34" s="1396">
        <f t="shared" ref="G34:G65" si="11">D34+E34+F34</f>
        <v>371.01</v>
      </c>
    </row>
    <row r="35" spans="1:7" x14ac:dyDescent="0.25">
      <c r="A35" s="1390">
        <v>44713</v>
      </c>
      <c r="B35" s="1354">
        <f t="shared" si="9"/>
        <v>2022</v>
      </c>
      <c r="C35" s="1354">
        <f t="shared" si="10"/>
        <v>6</v>
      </c>
      <c r="D35" s="1394">
        <f>BILANCIO!AY24</f>
        <v>130</v>
      </c>
      <c r="E35" s="1395">
        <f>BILANCIO!AZ58</f>
        <v>533.95000000000005</v>
      </c>
      <c r="F35" s="1395">
        <f>2.4+2.4+2.8+2.07+2.8+4.15+2.07+3.2</f>
        <v>21.889999999999997</v>
      </c>
      <c r="G35" s="1396">
        <f t="shared" si="11"/>
        <v>685.84</v>
      </c>
    </row>
    <row r="36" spans="1:7" x14ac:dyDescent="0.25">
      <c r="A36" s="1390">
        <v>44743</v>
      </c>
      <c r="B36" s="1354">
        <f t="shared" si="9"/>
        <v>2022</v>
      </c>
      <c r="C36" s="1354">
        <f t="shared" si="10"/>
        <v>7</v>
      </c>
      <c r="D36" s="1394">
        <f>BILANCIO!AZ24</f>
        <v>0</v>
      </c>
      <c r="E36" s="1395">
        <f>BILANCIO!BA58</f>
        <v>430</v>
      </c>
      <c r="F36" s="1395">
        <f>2.07+4+2.07+2.07+2.4+2.4+2.07+2.07</f>
        <v>19.150000000000002</v>
      </c>
      <c r="G36" s="1396">
        <f t="shared" si="11"/>
        <v>449.15</v>
      </c>
    </row>
    <row r="37" spans="1:7" x14ac:dyDescent="0.25">
      <c r="A37" s="1390">
        <v>44774</v>
      </c>
      <c r="B37" s="1354">
        <f t="shared" si="9"/>
        <v>2022</v>
      </c>
      <c r="C37" s="1354">
        <f t="shared" si="10"/>
        <v>8</v>
      </c>
      <c r="D37" s="1394">
        <f>BILANCIO!BA24</f>
        <v>180</v>
      </c>
      <c r="E37" s="1395">
        <f>BILANCIO!BB58</f>
        <v>410</v>
      </c>
      <c r="F37" s="1395">
        <f>3.6+2.4+2.4+4.8+3.2</f>
        <v>16.399999999999999</v>
      </c>
      <c r="G37" s="1396">
        <f t="shared" si="11"/>
        <v>606.4</v>
      </c>
    </row>
    <row r="38" spans="1:7" x14ac:dyDescent="0.25">
      <c r="A38" s="1390">
        <v>44805</v>
      </c>
      <c r="B38" s="1354">
        <f t="shared" si="9"/>
        <v>2022</v>
      </c>
      <c r="C38" s="1354">
        <f t="shared" si="10"/>
        <v>9</v>
      </c>
      <c r="D38" s="1394">
        <f>BILANCIO!BB24</f>
        <v>310</v>
      </c>
      <c r="E38" s="1395">
        <f>BILANCIO!BC58</f>
        <v>510</v>
      </c>
      <c r="F38" s="1395">
        <f>2.07+4+4+4+2.8+2.4+2.07</f>
        <v>21.34</v>
      </c>
      <c r="G38" s="1396">
        <f t="shared" si="11"/>
        <v>841.34</v>
      </c>
    </row>
    <row r="39" spans="1:7" x14ac:dyDescent="0.25">
      <c r="A39" s="1390">
        <v>44835</v>
      </c>
      <c r="B39" s="1354">
        <f t="shared" si="9"/>
        <v>2022</v>
      </c>
      <c r="C39" s="1354">
        <f t="shared" si="10"/>
        <v>10</v>
      </c>
      <c r="D39" s="1394">
        <f>BILANCIO!BC24</f>
        <v>0</v>
      </c>
      <c r="E39" s="1395">
        <f>BILANCIO!BD58</f>
        <v>420</v>
      </c>
      <c r="F39" s="1395">
        <f>2.4+2.4+3.2+2.4+2.4+2.07+2.4</f>
        <v>17.27</v>
      </c>
      <c r="G39" s="1396">
        <f t="shared" si="11"/>
        <v>437.27</v>
      </c>
    </row>
    <row r="40" spans="1:7" x14ac:dyDescent="0.25">
      <c r="A40" s="1390">
        <v>44866</v>
      </c>
      <c r="B40" s="1354">
        <f t="shared" si="9"/>
        <v>2022</v>
      </c>
      <c r="C40" s="1354">
        <f t="shared" si="10"/>
        <v>11</v>
      </c>
      <c r="D40" s="1394">
        <f>BILANCIO!BD24</f>
        <v>0</v>
      </c>
      <c r="E40" s="1395">
        <f>BILANCIO!BE58</f>
        <v>550</v>
      </c>
      <c r="F40" s="1395">
        <f>2.07+3.2+2.07+2.07+2.07+2.4+2.4+4+2.07+2.07</f>
        <v>24.42</v>
      </c>
      <c r="G40" s="1396">
        <f t="shared" si="11"/>
        <v>574.41999999999996</v>
      </c>
    </row>
    <row r="41" spans="1:7" x14ac:dyDescent="0.25">
      <c r="A41" s="1390">
        <v>44896</v>
      </c>
      <c r="B41" s="1354">
        <f t="shared" si="9"/>
        <v>2022</v>
      </c>
      <c r="C41" s="1354">
        <f t="shared" si="10"/>
        <v>12</v>
      </c>
      <c r="D41" s="1394">
        <f>BILANCIO!BE24</f>
        <v>490</v>
      </c>
      <c r="E41" s="1395">
        <f>BILANCIO!BF58</f>
        <v>100</v>
      </c>
      <c r="F41" s="1395">
        <f>BILANCIO!BG59</f>
        <v>13.08</v>
      </c>
      <c r="G41" s="1396">
        <f t="shared" si="11"/>
        <v>603.08000000000004</v>
      </c>
    </row>
    <row r="42" spans="1:7" x14ac:dyDescent="0.25">
      <c r="A42" s="1390">
        <v>44927</v>
      </c>
      <c r="B42" s="1354">
        <f t="shared" si="9"/>
        <v>2023</v>
      </c>
      <c r="C42" s="1354">
        <f t="shared" si="10"/>
        <v>1</v>
      </c>
      <c r="D42" s="1394">
        <f>BILANCIO!BF24</f>
        <v>100</v>
      </c>
      <c r="E42" s="1395">
        <f>BILANCIO!BG58</f>
        <v>280</v>
      </c>
      <c r="F42" s="1395">
        <f>BILANCIO!BH59</f>
        <v>18.940000000000001</v>
      </c>
      <c r="G42" s="1396">
        <f t="shared" si="11"/>
        <v>398.94</v>
      </c>
    </row>
    <row r="43" spans="1:7" x14ac:dyDescent="0.25">
      <c r="A43" s="1390">
        <v>44958</v>
      </c>
      <c r="B43" s="1354">
        <f t="shared" si="9"/>
        <v>2023</v>
      </c>
      <c r="C43" s="1354">
        <f t="shared" si="10"/>
        <v>2</v>
      </c>
      <c r="D43" s="1394">
        <f>BILANCIO!BG24</f>
        <v>0</v>
      </c>
      <c r="E43" s="1395">
        <f>BILANCIO!BH58</f>
        <v>450</v>
      </c>
      <c r="F43" s="1395">
        <f>BILANCIO!BI59</f>
        <v>18.47</v>
      </c>
      <c r="G43" s="1396">
        <f t="shared" si="11"/>
        <v>468.47</v>
      </c>
    </row>
    <row r="44" spans="1:7" x14ac:dyDescent="0.25">
      <c r="A44" s="1390">
        <v>44986</v>
      </c>
      <c r="B44" s="1354">
        <f t="shared" si="9"/>
        <v>2023</v>
      </c>
      <c r="C44" s="1354">
        <f t="shared" si="10"/>
        <v>3</v>
      </c>
      <c r="D44" s="1394">
        <f>BILANCIO!BH24</f>
        <v>0</v>
      </c>
      <c r="E44" s="1395">
        <f>BILANCIO!BI58</f>
        <v>460</v>
      </c>
      <c r="F44" s="1395">
        <f>BILANCIO!BJ59</f>
        <v>20.399999999999999</v>
      </c>
      <c r="G44" s="1396">
        <f t="shared" si="11"/>
        <v>480.4</v>
      </c>
    </row>
    <row r="45" spans="1:7" x14ac:dyDescent="0.25">
      <c r="A45" s="1390">
        <v>45017</v>
      </c>
      <c r="B45" s="1354">
        <f t="shared" si="9"/>
        <v>2023</v>
      </c>
      <c r="C45" s="1354">
        <f t="shared" si="10"/>
        <v>4</v>
      </c>
      <c r="D45" s="1394">
        <f>BILANCIO!BI24</f>
        <v>0</v>
      </c>
      <c r="E45" s="1395">
        <f>BILANCIO!BJ58</f>
        <v>510</v>
      </c>
      <c r="F45" s="1395">
        <f>BILANCIO!BK59</f>
        <v>26.609999999999996</v>
      </c>
      <c r="G45" s="1396">
        <f t="shared" si="11"/>
        <v>536.61</v>
      </c>
    </row>
    <row r="46" spans="1:7" x14ac:dyDescent="0.25">
      <c r="A46" s="1390">
        <v>45047</v>
      </c>
      <c r="B46" s="1354">
        <f t="shared" si="9"/>
        <v>2023</v>
      </c>
      <c r="C46" s="1354">
        <f t="shared" si="10"/>
        <v>5</v>
      </c>
      <c r="D46" s="1394">
        <f>BILANCIO!BJ24</f>
        <v>0</v>
      </c>
      <c r="E46" s="1395">
        <f>BILANCIO!BK58</f>
        <v>630</v>
      </c>
      <c r="F46" s="1395">
        <f>BILANCIO!BL59</f>
        <v>10.870000000000001</v>
      </c>
      <c r="G46" s="1396">
        <f t="shared" si="11"/>
        <v>640.87</v>
      </c>
    </row>
    <row r="47" spans="1:7" x14ac:dyDescent="0.25">
      <c r="A47" s="1390">
        <v>45078</v>
      </c>
      <c r="B47" s="1354">
        <f t="shared" si="9"/>
        <v>2023</v>
      </c>
      <c r="C47" s="1354">
        <f t="shared" si="10"/>
        <v>6</v>
      </c>
      <c r="D47" s="1394">
        <f>BILANCIO!BK24</f>
        <v>0</v>
      </c>
      <c r="E47" s="1395">
        <f>BILANCIO!BL58</f>
        <v>260</v>
      </c>
      <c r="F47" s="1395">
        <f>BILANCIO!BM59</f>
        <v>12.14</v>
      </c>
      <c r="G47" s="1396">
        <f t="shared" si="11"/>
        <v>272.14</v>
      </c>
    </row>
    <row r="48" spans="1:7" x14ac:dyDescent="0.25">
      <c r="A48" s="1390">
        <v>45108</v>
      </c>
      <c r="B48" s="1354">
        <f t="shared" si="9"/>
        <v>2023</v>
      </c>
      <c r="C48" s="1354">
        <f t="shared" si="10"/>
        <v>7</v>
      </c>
      <c r="D48" s="1394">
        <f>BILANCIO!BL24</f>
        <v>0</v>
      </c>
      <c r="E48" s="1395">
        <f>BILANCIO!BM58</f>
        <v>290</v>
      </c>
      <c r="F48" s="1395">
        <f>BILANCIO!BN59</f>
        <v>22.799999999999997</v>
      </c>
      <c r="G48" s="1396">
        <f t="shared" si="11"/>
        <v>312.8</v>
      </c>
    </row>
    <row r="49" spans="1:15" x14ac:dyDescent="0.25">
      <c r="A49" s="1390">
        <v>45139</v>
      </c>
      <c r="B49" s="1354">
        <f t="shared" si="9"/>
        <v>2023</v>
      </c>
      <c r="C49" s="1354">
        <f t="shared" si="10"/>
        <v>8</v>
      </c>
      <c r="D49" s="1394">
        <f>BILANCIO!BM24</f>
        <v>0</v>
      </c>
      <c r="E49" s="1395">
        <f>BILANCIO!BN58</f>
        <v>570</v>
      </c>
      <c r="F49" s="1395">
        <f>BILANCIO!BO59</f>
        <v>13.600000000000001</v>
      </c>
      <c r="G49" s="1396">
        <f t="shared" si="11"/>
        <v>583.6</v>
      </c>
    </row>
    <row r="50" spans="1:15" x14ac:dyDescent="0.25">
      <c r="A50" s="1390">
        <v>45170</v>
      </c>
      <c r="B50" s="1354">
        <f t="shared" si="9"/>
        <v>2023</v>
      </c>
      <c r="C50" s="1354">
        <f t="shared" si="10"/>
        <v>9</v>
      </c>
      <c r="D50" s="1394">
        <f>BILANCIO!BN24</f>
        <v>50</v>
      </c>
      <c r="E50" s="1395">
        <f>BILANCIO!BO58</f>
        <v>340</v>
      </c>
      <c r="F50" s="1395">
        <f>BILANCIO!BP59</f>
        <v>10</v>
      </c>
      <c r="G50" s="1396">
        <f t="shared" si="11"/>
        <v>400</v>
      </c>
    </row>
    <row r="51" spans="1:15" x14ac:dyDescent="0.25">
      <c r="A51" s="1390">
        <v>45200</v>
      </c>
      <c r="B51" s="1354">
        <f t="shared" si="9"/>
        <v>2023</v>
      </c>
      <c r="C51" s="1354">
        <f t="shared" si="10"/>
        <v>10</v>
      </c>
      <c r="D51" s="1394">
        <f>BILANCIO!BO24</f>
        <v>0</v>
      </c>
      <c r="E51" s="1395">
        <f>BILANCIO!BP58</f>
        <v>250</v>
      </c>
      <c r="F51" s="1395">
        <f>BILANCIO!BQ59</f>
        <v>17.34</v>
      </c>
      <c r="G51" s="1396">
        <f t="shared" si="11"/>
        <v>267.33999999999997</v>
      </c>
    </row>
    <row r="52" spans="1:15" x14ac:dyDescent="0.25">
      <c r="A52" s="1390">
        <v>45231</v>
      </c>
      <c r="B52" s="1354">
        <f t="shared" si="9"/>
        <v>2023</v>
      </c>
      <c r="C52" s="1354">
        <f t="shared" si="10"/>
        <v>11</v>
      </c>
      <c r="D52" s="1394">
        <f>BILANCIO!BP24</f>
        <v>0</v>
      </c>
      <c r="E52" s="1395">
        <f>BILANCIO!BQ58</f>
        <v>410</v>
      </c>
      <c r="F52" s="1395">
        <f>BILANCIO!BR59</f>
        <v>19.2</v>
      </c>
      <c r="G52" s="1396">
        <f t="shared" si="11"/>
        <v>429.2</v>
      </c>
    </row>
    <row r="53" spans="1:15" x14ac:dyDescent="0.25">
      <c r="A53" s="1390">
        <v>45261</v>
      </c>
      <c r="B53" s="1354">
        <f t="shared" si="9"/>
        <v>2023</v>
      </c>
      <c r="C53" s="1354">
        <f t="shared" si="10"/>
        <v>12</v>
      </c>
      <c r="D53" s="1394">
        <f>BILANCIO!BQ24</f>
        <v>70</v>
      </c>
      <c r="E53" s="1395">
        <f>BILANCIO!BR58</f>
        <v>480</v>
      </c>
      <c r="F53" s="1395">
        <f>BILANCIO!BS59</f>
        <v>6.5399999999999991</v>
      </c>
      <c r="G53" s="1396">
        <f t="shared" si="11"/>
        <v>556.54</v>
      </c>
    </row>
    <row r="54" spans="1:15" x14ac:dyDescent="0.25">
      <c r="A54" s="1390">
        <v>45292</v>
      </c>
      <c r="B54" s="1354">
        <f t="shared" si="9"/>
        <v>2024</v>
      </c>
      <c r="C54" s="1354">
        <f t="shared" si="10"/>
        <v>1</v>
      </c>
      <c r="D54" s="1394">
        <f>BILANCIO!BR24</f>
        <v>0</v>
      </c>
      <c r="E54" s="1395">
        <f>BILANCIO!BS58</f>
        <v>140</v>
      </c>
      <c r="F54" s="1395">
        <f>BILANCIO!BT59</f>
        <v>13.2</v>
      </c>
      <c r="G54" s="1396">
        <f t="shared" si="11"/>
        <v>153.19999999999999</v>
      </c>
    </row>
    <row r="55" spans="1:15" x14ac:dyDescent="0.25">
      <c r="A55" s="1390">
        <v>45323</v>
      </c>
      <c r="B55" s="1354">
        <f t="shared" si="9"/>
        <v>2024</v>
      </c>
      <c r="C55" s="1354">
        <f t="shared" si="10"/>
        <v>2</v>
      </c>
      <c r="D55" s="1394">
        <f>BILANCIO!BS24</f>
        <v>0</v>
      </c>
      <c r="E55" s="1395">
        <f>BILANCIO!BT58</f>
        <v>330</v>
      </c>
      <c r="F55" s="1395">
        <f>BILANCIO!BU59</f>
        <v>8.07</v>
      </c>
      <c r="G55" s="1394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1390">
        <v>45352</v>
      </c>
      <c r="B56" s="1354">
        <f t="shared" si="9"/>
        <v>2024</v>
      </c>
      <c r="C56" s="1354">
        <f t="shared" si="10"/>
        <v>3</v>
      </c>
      <c r="D56" s="1394">
        <f>BILANCIO!BT24</f>
        <v>92</v>
      </c>
      <c r="E56" s="1395">
        <f>BILANCIO!BU58</f>
        <v>190</v>
      </c>
      <c r="F56" s="1395">
        <f>BILANCIO!BV59</f>
        <v>9.6</v>
      </c>
      <c r="G56" s="1396">
        <f t="shared" si="11"/>
        <v>291.60000000000002</v>
      </c>
    </row>
    <row r="57" spans="1:15" x14ac:dyDescent="0.25">
      <c r="A57" s="1390">
        <v>45383</v>
      </c>
      <c r="B57" s="1354">
        <f t="shared" si="9"/>
        <v>2024</v>
      </c>
      <c r="C57" s="1354">
        <f t="shared" si="10"/>
        <v>4</v>
      </c>
      <c r="D57" s="1394">
        <f>BILANCIO!BU24</f>
        <v>0</v>
      </c>
      <c r="E57" s="1395">
        <f>BILANCIO!BV58</f>
        <v>240</v>
      </c>
      <c r="F57" s="1395">
        <f>BILANCIO!BW59</f>
        <v>22.509999999999998</v>
      </c>
      <c r="G57" s="1396">
        <f t="shared" si="11"/>
        <v>262.51</v>
      </c>
    </row>
    <row r="58" spans="1:15" x14ac:dyDescent="0.25">
      <c r="A58" s="1390">
        <v>45413</v>
      </c>
      <c r="B58" s="1354">
        <f t="shared" si="9"/>
        <v>2024</v>
      </c>
      <c r="C58" s="1354">
        <f t="shared" si="10"/>
        <v>5</v>
      </c>
      <c r="D58" s="1394">
        <f>BILANCIO!BV24</f>
        <v>0</v>
      </c>
      <c r="E58" s="1395">
        <f>BILANCIO!BW58</f>
        <v>562.9</v>
      </c>
      <c r="F58" s="1395">
        <f>BILANCIO!BX59</f>
        <v>15.600000000000001</v>
      </c>
      <c r="G58" s="1396">
        <f t="shared" si="11"/>
        <v>578.5</v>
      </c>
    </row>
    <row r="59" spans="1:15" x14ac:dyDescent="0.25">
      <c r="A59" s="1390">
        <v>45444</v>
      </c>
      <c r="B59" s="1354">
        <f t="shared" si="9"/>
        <v>2024</v>
      </c>
      <c r="C59" s="1354">
        <f t="shared" si="10"/>
        <v>6</v>
      </c>
      <c r="D59" s="1394">
        <f>BILANCIO!BW24</f>
        <v>70</v>
      </c>
      <c r="E59" s="1395">
        <f>BILANCIO!BX58</f>
        <v>390</v>
      </c>
      <c r="F59" s="1395">
        <f>BILANCIO!BY59</f>
        <v>13.41</v>
      </c>
      <c r="G59" s="1396">
        <f t="shared" si="11"/>
        <v>473.41</v>
      </c>
    </row>
    <row r="60" spans="1:15" x14ac:dyDescent="0.25">
      <c r="A60" s="1390">
        <v>45474</v>
      </c>
      <c r="B60" s="1354">
        <f t="shared" si="9"/>
        <v>2024</v>
      </c>
      <c r="C60" s="1354">
        <f t="shared" si="10"/>
        <v>7</v>
      </c>
      <c r="D60" s="1394">
        <f>BILANCIO!BX24</f>
        <v>0</v>
      </c>
      <c r="E60" s="1395">
        <f>BILANCIO!BY58</f>
        <v>300</v>
      </c>
      <c r="F60" s="1395">
        <f>BILANCIO!BZ59</f>
        <v>16.87</v>
      </c>
      <c r="G60" s="1396">
        <f t="shared" si="11"/>
        <v>316.87</v>
      </c>
    </row>
    <row r="61" spans="1:15" x14ac:dyDescent="0.25">
      <c r="A61" s="1390">
        <v>45505</v>
      </c>
      <c r="B61" s="1354">
        <f t="shared" si="9"/>
        <v>2024</v>
      </c>
      <c r="C61" s="1354">
        <f t="shared" si="10"/>
        <v>8</v>
      </c>
      <c r="D61" s="1394">
        <f>BILANCIO!BY24</f>
        <v>0</v>
      </c>
      <c r="E61" s="1395">
        <f>BILANCIO!BZ58</f>
        <v>410</v>
      </c>
      <c r="F61" s="1395">
        <f>BILANCIO!CA59</f>
        <v>10.47</v>
      </c>
      <c r="G61" s="1396">
        <f t="shared" si="11"/>
        <v>420.47</v>
      </c>
    </row>
    <row r="62" spans="1:15" x14ac:dyDescent="0.25">
      <c r="A62" s="1390">
        <v>45536</v>
      </c>
      <c r="B62" s="1354">
        <f t="shared" si="9"/>
        <v>2024</v>
      </c>
      <c r="C62" s="1354">
        <f t="shared" si="10"/>
        <v>9</v>
      </c>
      <c r="D62" s="1394">
        <f>BILANCIO!BZ24</f>
        <v>70</v>
      </c>
      <c r="E62" s="1395">
        <f>BILANCIO!CA58</f>
        <v>250</v>
      </c>
      <c r="F62" s="1395">
        <f>BILANCIO!CB59</f>
        <v>7.1999999999999993</v>
      </c>
      <c r="G62" s="1396">
        <f t="shared" si="11"/>
        <v>327.2</v>
      </c>
    </row>
    <row r="63" spans="1:15" x14ac:dyDescent="0.25">
      <c r="A63" s="1390">
        <v>45566</v>
      </c>
      <c r="B63" s="1354">
        <f t="shared" si="9"/>
        <v>2024</v>
      </c>
      <c r="C63" s="1354">
        <f t="shared" si="10"/>
        <v>10</v>
      </c>
      <c r="D63" s="1394">
        <f>BILANCIO!CA24</f>
        <v>40</v>
      </c>
      <c r="E63" s="1395">
        <f>BILANCIO!CB58</f>
        <v>180</v>
      </c>
      <c r="F63" s="1395">
        <f>BILANCIO!CC59</f>
        <v>2.4</v>
      </c>
      <c r="G63" s="1396">
        <f t="shared" si="11"/>
        <v>222.4</v>
      </c>
    </row>
    <row r="64" spans="1:15" x14ac:dyDescent="0.25">
      <c r="A64" s="1390">
        <v>45597</v>
      </c>
      <c r="B64" s="1354">
        <f t="shared" si="9"/>
        <v>2024</v>
      </c>
      <c r="C64" s="1354">
        <f t="shared" si="10"/>
        <v>11</v>
      </c>
      <c r="D64" s="1394">
        <f>BILANCIO!CB24</f>
        <v>0</v>
      </c>
      <c r="E64" s="1395">
        <f>BILANCIO!CC58</f>
        <v>60</v>
      </c>
      <c r="F64" s="1395">
        <f>BILANCIO!CD59</f>
        <v>7.1999999999999993</v>
      </c>
      <c r="G64" s="1396">
        <f t="shared" si="11"/>
        <v>67.2</v>
      </c>
    </row>
    <row r="65" spans="1:7" x14ac:dyDescent="0.25">
      <c r="A65" s="1390">
        <v>45627</v>
      </c>
      <c r="B65" s="1354">
        <f t="shared" si="9"/>
        <v>2024</v>
      </c>
      <c r="C65" s="1354">
        <f t="shared" si="10"/>
        <v>12</v>
      </c>
      <c r="D65" s="1394">
        <f>BILANCIO!CC24</f>
        <v>170</v>
      </c>
      <c r="E65" s="1395">
        <f>BILANCIO!CD58</f>
        <v>180</v>
      </c>
      <c r="F65" s="1395">
        <f>BILANCIO!CE$59</f>
        <v>2.4</v>
      </c>
      <c r="G65" s="1396">
        <f t="shared" si="11"/>
        <v>352.4</v>
      </c>
    </row>
    <row r="66" spans="1:7" x14ac:dyDescent="0.25">
      <c r="A66" s="1390">
        <v>45658</v>
      </c>
      <c r="B66" s="1354">
        <f t="shared" ref="B66:B97" si="12">YEAR(A66)</f>
        <v>2025</v>
      </c>
      <c r="C66" s="1354">
        <f t="shared" ref="C66:C97" si="13">MONTH(A66)</f>
        <v>1</v>
      </c>
      <c r="D66" s="1394">
        <f>BILANCIO!CD24</f>
        <v>210</v>
      </c>
      <c r="E66" s="1395">
        <f>BILANCIO!CE58</f>
        <v>60</v>
      </c>
      <c r="F66" s="1395">
        <f>BILANCIO!CF$59</f>
        <v>5.6</v>
      </c>
      <c r="G66" s="1396">
        <f t="shared" ref="G66:G97" si="14">D66+E66+F66</f>
        <v>275.60000000000002</v>
      </c>
    </row>
    <row r="67" spans="1:7" x14ac:dyDescent="0.25">
      <c r="A67" s="1390">
        <v>45689</v>
      </c>
      <c r="B67" s="1354">
        <f t="shared" si="12"/>
        <v>2025</v>
      </c>
      <c r="C67" s="1354">
        <f t="shared" si="13"/>
        <v>2</v>
      </c>
      <c r="D67" s="1394">
        <f>BILANCIO!CE24</f>
        <v>0</v>
      </c>
      <c r="E67" s="1395">
        <f>BILANCIO!CF58</f>
        <v>140</v>
      </c>
      <c r="F67" s="1395">
        <f>BILANCIO!CG$59</f>
        <v>2.4</v>
      </c>
      <c r="G67" s="1396">
        <f t="shared" si="14"/>
        <v>142.4</v>
      </c>
    </row>
    <row r="68" spans="1:7" x14ac:dyDescent="0.25">
      <c r="A68" s="1390">
        <v>45717</v>
      </c>
      <c r="B68" s="1354">
        <f t="shared" si="12"/>
        <v>2025</v>
      </c>
      <c r="C68" s="1354">
        <f t="shared" si="13"/>
        <v>3</v>
      </c>
      <c r="D68" s="1394">
        <f>BILANCIO!CF24</f>
        <v>90</v>
      </c>
      <c r="E68" s="1395">
        <f>BILANCIO!CG58</f>
        <v>60</v>
      </c>
      <c r="F68" s="1395">
        <f>BILANCIO!CH$59</f>
        <v>0</v>
      </c>
      <c r="G68" s="1396">
        <f t="shared" si="14"/>
        <v>150</v>
      </c>
    </row>
    <row r="69" spans="1:7" x14ac:dyDescent="0.25">
      <c r="A69" s="1390">
        <v>45748</v>
      </c>
      <c r="B69" s="1354">
        <f t="shared" si="12"/>
        <v>2025</v>
      </c>
      <c r="C69" s="1354">
        <f t="shared" si="13"/>
        <v>4</v>
      </c>
      <c r="D69" s="1394">
        <f>BILANCIO!CG24</f>
        <v>0</v>
      </c>
      <c r="E69" s="1395">
        <f>BILANCIO!CH58</f>
        <v>0</v>
      </c>
      <c r="F69" s="1395">
        <f>BILANCIO!CI$59</f>
        <v>4.8</v>
      </c>
      <c r="G69" s="1396">
        <f t="shared" si="14"/>
        <v>4.8</v>
      </c>
    </row>
    <row r="70" spans="1:7" x14ac:dyDescent="0.25">
      <c r="A70" s="1390">
        <v>45778</v>
      </c>
      <c r="B70" s="1354">
        <f t="shared" si="12"/>
        <v>2025</v>
      </c>
      <c r="C70" s="1354">
        <f t="shared" si="13"/>
        <v>5</v>
      </c>
      <c r="D70" s="1394">
        <f>BILANCIO!CH$24</f>
        <v>70</v>
      </c>
      <c r="E70" s="1395">
        <f>BILANCIO!CI58</f>
        <v>120</v>
      </c>
      <c r="F70" s="1395">
        <f>BILANCIO!CJ$59</f>
        <v>7.2</v>
      </c>
      <c r="G70" s="1396">
        <f t="shared" si="14"/>
        <v>197.2</v>
      </c>
    </row>
    <row r="71" spans="1:7" x14ac:dyDescent="0.25">
      <c r="A71" s="1390">
        <v>45809</v>
      </c>
      <c r="B71" s="1354">
        <f t="shared" si="12"/>
        <v>2025</v>
      </c>
      <c r="C71" s="1354">
        <f t="shared" si="13"/>
        <v>6</v>
      </c>
      <c r="D71" s="1394">
        <f>BILANCIO!CI$24</f>
        <v>0</v>
      </c>
      <c r="E71" s="1395">
        <f>BILANCIO!CJ58</f>
        <v>180</v>
      </c>
      <c r="F71" s="1395">
        <f>BILANCIO!CK$59</f>
        <v>4.47</v>
      </c>
      <c r="G71" s="1396">
        <f t="shared" si="14"/>
        <v>184.47</v>
      </c>
    </row>
    <row r="72" spans="1:7" x14ac:dyDescent="0.25">
      <c r="A72" s="1390">
        <v>45839</v>
      </c>
      <c r="B72" s="1354">
        <f t="shared" si="12"/>
        <v>2025</v>
      </c>
      <c r="C72" s="1354">
        <f t="shared" si="13"/>
        <v>7</v>
      </c>
      <c r="D72" s="1394">
        <f>BILANCIO!CJ$24</f>
        <v>70</v>
      </c>
      <c r="E72" s="1395">
        <f>BILANCIO!CK58</f>
        <v>100</v>
      </c>
      <c r="F72" s="1395">
        <f>BILANCIO!CL$59</f>
        <v>8.4</v>
      </c>
      <c r="G72" s="1396">
        <f t="shared" si="14"/>
        <v>178.4</v>
      </c>
    </row>
    <row r="73" spans="1:7" x14ac:dyDescent="0.25">
      <c r="A73" s="1390">
        <v>45870</v>
      </c>
      <c r="B73" s="1354">
        <f t="shared" si="12"/>
        <v>2025</v>
      </c>
      <c r="C73" s="1354">
        <f t="shared" si="13"/>
        <v>8</v>
      </c>
      <c r="D73" s="1394">
        <f>BILANCIO!CK$24</f>
        <v>110</v>
      </c>
      <c r="E73" s="1395">
        <f>BILANCIO!CL58</f>
        <v>210</v>
      </c>
      <c r="F73" s="1395">
        <f>BILANCIO!CM$59</f>
        <v>9.1999999999999993</v>
      </c>
      <c r="G73" s="1396">
        <f t="shared" si="14"/>
        <v>329.2</v>
      </c>
    </row>
    <row r="74" spans="1:7" x14ac:dyDescent="0.25">
      <c r="A74" s="1390">
        <v>45901</v>
      </c>
      <c r="B74" s="1354">
        <f t="shared" si="12"/>
        <v>2025</v>
      </c>
      <c r="C74" s="1354">
        <f t="shared" si="13"/>
        <v>9</v>
      </c>
      <c r="D74" s="1394">
        <f>BILANCIO!CL$24</f>
        <v>0</v>
      </c>
      <c r="E74" s="1395">
        <f>BILANCIO!CM58</f>
        <v>230</v>
      </c>
      <c r="F74" s="1395">
        <f>BILANCIO!CN$59</f>
        <v>0</v>
      </c>
      <c r="G74" s="1396">
        <f t="shared" si="14"/>
        <v>230</v>
      </c>
    </row>
    <row r="75" spans="1:7" x14ac:dyDescent="0.25">
      <c r="A75" s="1390">
        <v>45931</v>
      </c>
      <c r="B75" s="1354">
        <f t="shared" si="12"/>
        <v>2025</v>
      </c>
      <c r="C75" s="1354">
        <f t="shared" si="13"/>
        <v>10</v>
      </c>
      <c r="D75" s="1394">
        <f>BILANCIO!CM$24</f>
        <v>140</v>
      </c>
      <c r="E75" s="1395">
        <f>BILANCIO!CN58</f>
        <v>0</v>
      </c>
      <c r="F75" s="1395">
        <f>BILANCIO!CO$59</f>
        <v>0</v>
      </c>
      <c r="G75" s="1396">
        <f t="shared" si="14"/>
        <v>140</v>
      </c>
    </row>
    <row r="76" spans="1:7" x14ac:dyDescent="0.25">
      <c r="A76" s="1390">
        <v>45962</v>
      </c>
      <c r="B76" s="1354">
        <f t="shared" si="12"/>
        <v>2025</v>
      </c>
      <c r="C76" s="1354">
        <f t="shared" si="13"/>
        <v>11</v>
      </c>
      <c r="D76" s="1394">
        <f>BILANCIO!CN$24</f>
        <v>0</v>
      </c>
      <c r="E76" s="1395">
        <f>BILANCIO!CO58</f>
        <v>0</v>
      </c>
      <c r="F76" s="1395">
        <f>BILANCIO!CP$59</f>
        <v>0</v>
      </c>
      <c r="G76" s="1396">
        <f t="shared" si="14"/>
        <v>0</v>
      </c>
    </row>
    <row r="77" spans="1:7" x14ac:dyDescent="0.25">
      <c r="A77" s="1390">
        <v>45992</v>
      </c>
      <c r="B77" s="1354">
        <f t="shared" si="12"/>
        <v>2025</v>
      </c>
      <c r="C77" s="1354">
        <f t="shared" si="13"/>
        <v>12</v>
      </c>
      <c r="D77" s="1394">
        <f>BILANCIO!CO$24</f>
        <v>340</v>
      </c>
      <c r="E77" s="1395">
        <f>BILANCIO!CP58</f>
        <v>0</v>
      </c>
      <c r="F77" s="1395">
        <f>BILANCIO!CQ$59</f>
        <v>0</v>
      </c>
      <c r="G77" s="1396">
        <f t="shared" si="14"/>
        <v>340</v>
      </c>
    </row>
    <row r="78" spans="1:7" x14ac:dyDescent="0.25">
      <c r="A78" s="1390">
        <v>46023</v>
      </c>
      <c r="B78" s="1354">
        <f t="shared" si="12"/>
        <v>2026</v>
      </c>
      <c r="C78" s="1354">
        <f t="shared" si="13"/>
        <v>1</v>
      </c>
      <c r="D78" s="1394">
        <f>BILANCIO!CP$24</f>
        <v>0</v>
      </c>
      <c r="E78" s="1395">
        <f>BILANCIO!CQ58</f>
        <v>0</v>
      </c>
      <c r="F78" s="1395">
        <f>BILANCIO!CR$59</f>
        <v>0</v>
      </c>
      <c r="G78" s="1396">
        <f t="shared" si="14"/>
        <v>0</v>
      </c>
    </row>
    <row r="79" spans="1:7" x14ac:dyDescent="0.25">
      <c r="A79" s="1390">
        <v>46054</v>
      </c>
      <c r="B79" s="1354">
        <f t="shared" si="12"/>
        <v>2026</v>
      </c>
      <c r="C79" s="1354">
        <f t="shared" si="13"/>
        <v>2</v>
      </c>
      <c r="D79" s="1394">
        <f>BILANCIO!CQ$24</f>
        <v>0</v>
      </c>
      <c r="E79" s="1395">
        <f>BILANCIO!CR58</f>
        <v>0</v>
      </c>
      <c r="F79" s="1395">
        <f>BILANCIO!CS$59</f>
        <v>0</v>
      </c>
      <c r="G79" s="1396">
        <f t="shared" si="14"/>
        <v>0</v>
      </c>
    </row>
    <row r="80" spans="1:7" x14ac:dyDescent="0.25">
      <c r="A80" s="1390">
        <v>46082</v>
      </c>
      <c r="B80" s="1354">
        <f t="shared" si="12"/>
        <v>2026</v>
      </c>
      <c r="C80" s="1354">
        <f t="shared" si="13"/>
        <v>3</v>
      </c>
      <c r="D80" s="1394">
        <f>BILANCIO!CR$24</f>
        <v>72</v>
      </c>
      <c r="E80" s="1395">
        <f>BILANCIO!CS58</f>
        <v>0</v>
      </c>
      <c r="F80" s="1395">
        <f>BILANCIO!CT$59</f>
        <v>0</v>
      </c>
      <c r="G80" s="1396">
        <f t="shared" si="14"/>
        <v>72</v>
      </c>
    </row>
    <row r="81" spans="1:7" x14ac:dyDescent="0.25">
      <c r="A81" s="1390">
        <v>46113</v>
      </c>
      <c r="B81" s="1354">
        <f t="shared" si="12"/>
        <v>2026</v>
      </c>
      <c r="C81" s="1354">
        <f t="shared" si="13"/>
        <v>4</v>
      </c>
      <c r="D81" s="1394">
        <f>BILANCIO!CS$24</f>
        <v>0</v>
      </c>
      <c r="E81" s="1395">
        <f>BILANCIO!CT58</f>
        <v>0</v>
      </c>
      <c r="F81" s="1395">
        <f>BILANCIO!CU$59</f>
        <v>0</v>
      </c>
      <c r="G81" s="1396">
        <f t="shared" si="14"/>
        <v>0</v>
      </c>
    </row>
    <row r="82" spans="1:7" x14ac:dyDescent="0.25">
      <c r="A82" s="1390">
        <v>46143</v>
      </c>
      <c r="B82" s="1354">
        <f t="shared" si="12"/>
        <v>2026</v>
      </c>
      <c r="C82" s="1354">
        <f t="shared" si="13"/>
        <v>5</v>
      </c>
      <c r="D82" s="1394">
        <f>BILANCIO!CT$24</f>
        <v>0</v>
      </c>
      <c r="E82" s="1395">
        <f>BILANCIO!CU58</f>
        <v>0</v>
      </c>
      <c r="F82" s="1395">
        <f>BILANCIO!CV$59</f>
        <v>0</v>
      </c>
      <c r="G82" s="1396">
        <f t="shared" si="14"/>
        <v>0</v>
      </c>
    </row>
    <row r="83" spans="1:7" x14ac:dyDescent="0.25">
      <c r="A83" s="1390">
        <v>46174</v>
      </c>
      <c r="B83" s="1354">
        <f t="shared" si="12"/>
        <v>2026</v>
      </c>
      <c r="C83" s="1354">
        <f t="shared" si="13"/>
        <v>6</v>
      </c>
      <c r="D83" s="1394">
        <f>BILANCIO!CU$24</f>
        <v>0</v>
      </c>
      <c r="E83" s="1395">
        <f>BILANCIO!CV58</f>
        <v>0</v>
      </c>
      <c r="F83" s="1395">
        <f>BILANCIO!CW$59</f>
        <v>0</v>
      </c>
      <c r="G83" s="1396">
        <f t="shared" si="14"/>
        <v>0</v>
      </c>
    </row>
    <row r="84" spans="1:7" x14ac:dyDescent="0.25">
      <c r="A84" s="1390">
        <v>46204</v>
      </c>
      <c r="B84" s="1354">
        <f t="shared" si="12"/>
        <v>2026</v>
      </c>
      <c r="C84" s="1354">
        <f t="shared" si="13"/>
        <v>7</v>
      </c>
      <c r="D84" s="1394">
        <f>BILANCIO!CV$24</f>
        <v>0</v>
      </c>
      <c r="E84" s="1395">
        <f>BILANCIO!CW58</f>
        <v>0</v>
      </c>
      <c r="F84" s="1395">
        <f>BILANCIO!CX$59</f>
        <v>0</v>
      </c>
      <c r="G84" s="1396">
        <f t="shared" si="14"/>
        <v>0</v>
      </c>
    </row>
    <row r="85" spans="1:7" x14ac:dyDescent="0.25">
      <c r="A85" s="1390">
        <v>46235</v>
      </c>
      <c r="B85" s="1354">
        <f t="shared" si="12"/>
        <v>2026</v>
      </c>
      <c r="C85" s="1354">
        <f t="shared" si="13"/>
        <v>8</v>
      </c>
      <c r="D85" s="1394">
        <f>BILANCIO!CW$24</f>
        <v>0</v>
      </c>
      <c r="E85" s="1395">
        <f>BILANCIO!CX58</f>
        <v>0</v>
      </c>
      <c r="F85" s="1395">
        <f>BILANCIO!CY$59</f>
        <v>0</v>
      </c>
      <c r="G85" s="1396">
        <f t="shared" si="14"/>
        <v>0</v>
      </c>
    </row>
    <row r="86" spans="1:7" x14ac:dyDescent="0.25">
      <c r="A86" s="1390">
        <v>46266</v>
      </c>
      <c r="B86" s="1354">
        <f t="shared" si="12"/>
        <v>2026</v>
      </c>
      <c r="C86" s="1354">
        <f t="shared" si="13"/>
        <v>9</v>
      </c>
      <c r="D86" s="1394">
        <f>BILANCIO!CX$24</f>
        <v>0</v>
      </c>
      <c r="E86" s="1395">
        <f>BILANCIO!CY58</f>
        <v>0</v>
      </c>
      <c r="F86" s="1395">
        <f>BILANCIO!CZ$59</f>
        <v>0</v>
      </c>
      <c r="G86" s="1396">
        <f t="shared" si="14"/>
        <v>0</v>
      </c>
    </row>
    <row r="87" spans="1:7" x14ac:dyDescent="0.25">
      <c r="A87" s="1390">
        <v>46296</v>
      </c>
      <c r="B87" s="1354">
        <f t="shared" si="12"/>
        <v>2026</v>
      </c>
      <c r="C87" s="1354">
        <f t="shared" si="13"/>
        <v>10</v>
      </c>
      <c r="D87" s="1394">
        <f>BILANCIO!CY$24</f>
        <v>0</v>
      </c>
      <c r="E87" s="1395">
        <f>BILANCIO!CZ58</f>
        <v>0</v>
      </c>
      <c r="F87" s="1395">
        <f>BILANCIO!DA$59</f>
        <v>0</v>
      </c>
      <c r="G87" s="1396">
        <f t="shared" si="14"/>
        <v>0</v>
      </c>
    </row>
    <row r="88" spans="1:7" x14ac:dyDescent="0.25">
      <c r="A88" s="1390">
        <v>46327</v>
      </c>
      <c r="B88" s="1354">
        <f t="shared" si="12"/>
        <v>2026</v>
      </c>
      <c r="C88" s="1354">
        <f t="shared" si="13"/>
        <v>11</v>
      </c>
      <c r="D88" s="1394">
        <f>BILANCIO!CZ$24</f>
        <v>0</v>
      </c>
      <c r="E88" s="1395">
        <f>BILANCIO!DA58</f>
        <v>0</v>
      </c>
      <c r="F88" s="1395">
        <f>BILANCIO!DB$59</f>
        <v>0</v>
      </c>
      <c r="G88" s="1396">
        <f t="shared" si="14"/>
        <v>0</v>
      </c>
    </row>
    <row r="89" spans="1:7" x14ac:dyDescent="0.25">
      <c r="A89" s="1390">
        <v>46357</v>
      </c>
      <c r="B89" s="1354">
        <f t="shared" si="12"/>
        <v>2026</v>
      </c>
      <c r="C89" s="1354">
        <f t="shared" si="13"/>
        <v>12</v>
      </c>
      <c r="D89" s="1394">
        <f>BILANCIO!DA$24</f>
        <v>0</v>
      </c>
      <c r="E89" s="1395">
        <f>BILANCIO!DB58</f>
        <v>0</v>
      </c>
      <c r="F89" s="1395">
        <f>BILANCIO!DC$59</f>
        <v>0</v>
      </c>
      <c r="G89" s="1396">
        <f t="shared" si="14"/>
        <v>0</v>
      </c>
    </row>
    <row r="90" spans="1:7" x14ac:dyDescent="0.25">
      <c r="A90" s="1390">
        <v>46388</v>
      </c>
      <c r="B90" s="1354">
        <f t="shared" si="12"/>
        <v>2027</v>
      </c>
      <c r="C90" s="1354">
        <f t="shared" si="13"/>
        <v>1</v>
      </c>
      <c r="D90" s="1394">
        <f>BILANCIO!DB$24</f>
        <v>0</v>
      </c>
      <c r="E90" s="1395">
        <f>BILANCIO!DC58</f>
        <v>0</v>
      </c>
      <c r="F90" s="1395">
        <f>BILANCIO!DD$59</f>
        <v>0</v>
      </c>
      <c r="G90" s="1396">
        <f t="shared" si="14"/>
        <v>0</v>
      </c>
    </row>
    <row r="91" spans="1:7" x14ac:dyDescent="0.25">
      <c r="A91" s="1390">
        <v>46419</v>
      </c>
      <c r="B91" s="1354">
        <f t="shared" si="12"/>
        <v>2027</v>
      </c>
      <c r="C91" s="1354">
        <f t="shared" si="13"/>
        <v>2</v>
      </c>
      <c r="D91" s="1394">
        <f>BILANCIO!DC$24</f>
        <v>0</v>
      </c>
      <c r="E91" s="1395">
        <f>BILANCIO!DD58</f>
        <v>0</v>
      </c>
      <c r="F91" s="1395">
        <f>BILANCIO!DE$59</f>
        <v>0</v>
      </c>
      <c r="G91" s="1396">
        <f t="shared" si="14"/>
        <v>0</v>
      </c>
    </row>
    <row r="92" spans="1:7" x14ac:dyDescent="0.25">
      <c r="A92" s="1390">
        <v>46447</v>
      </c>
      <c r="B92" s="1354">
        <f t="shared" si="12"/>
        <v>2027</v>
      </c>
      <c r="C92" s="1354">
        <f t="shared" si="13"/>
        <v>3</v>
      </c>
      <c r="D92" s="1394">
        <f>BILANCIO!DD$24</f>
        <v>0</v>
      </c>
      <c r="E92" s="1395">
        <f>BILANCIO!DE58</f>
        <v>0</v>
      </c>
      <c r="F92" s="1395">
        <f>BILANCIO!DF$59</f>
        <v>0</v>
      </c>
      <c r="G92" s="1396">
        <f t="shared" si="14"/>
        <v>0</v>
      </c>
    </row>
    <row r="93" spans="1:7" x14ac:dyDescent="0.25">
      <c r="A93" s="1390">
        <v>46478</v>
      </c>
      <c r="B93" s="1354">
        <f t="shared" si="12"/>
        <v>2027</v>
      </c>
      <c r="C93" s="1354">
        <f t="shared" si="13"/>
        <v>4</v>
      </c>
      <c r="D93" s="1394">
        <f>BILANCIO!DE$24</f>
        <v>0</v>
      </c>
      <c r="E93" s="1395">
        <f>BILANCIO!DF58</f>
        <v>0</v>
      </c>
      <c r="F93" s="1395">
        <f>BILANCIO!DG$59</f>
        <v>0</v>
      </c>
      <c r="G93" s="1396">
        <f t="shared" si="14"/>
        <v>0</v>
      </c>
    </row>
    <row r="94" spans="1:7" x14ac:dyDescent="0.25">
      <c r="A94" s="1390">
        <v>46508</v>
      </c>
      <c r="B94" s="1354">
        <f t="shared" si="12"/>
        <v>2027</v>
      </c>
      <c r="C94" s="1354">
        <f t="shared" si="13"/>
        <v>5</v>
      </c>
      <c r="D94" s="1394">
        <f>BILANCIO!DF$24</f>
        <v>0</v>
      </c>
      <c r="E94" s="1395">
        <f>BILANCIO!DG58</f>
        <v>0</v>
      </c>
      <c r="F94" s="1395">
        <f>BILANCIO!DH$59</f>
        <v>0</v>
      </c>
      <c r="G94" s="1396">
        <f t="shared" si="14"/>
        <v>0</v>
      </c>
    </row>
    <row r="95" spans="1:7" x14ac:dyDescent="0.25">
      <c r="A95" s="1390">
        <v>46539</v>
      </c>
      <c r="B95" s="1354">
        <f t="shared" si="12"/>
        <v>2027</v>
      </c>
      <c r="C95" s="1354">
        <f t="shared" si="13"/>
        <v>6</v>
      </c>
      <c r="D95" s="1394">
        <f>BILANCIO!DG$24</f>
        <v>0</v>
      </c>
      <c r="E95" s="1395">
        <f>BILANCIO!DH58</f>
        <v>0</v>
      </c>
      <c r="F95" s="1395">
        <f>BILANCIO!DI$59</f>
        <v>0</v>
      </c>
      <c r="G95" s="1396">
        <f t="shared" si="14"/>
        <v>0</v>
      </c>
    </row>
    <row r="96" spans="1:7" x14ac:dyDescent="0.25">
      <c r="A96" s="1390">
        <v>46569</v>
      </c>
      <c r="B96" s="1354">
        <f t="shared" si="12"/>
        <v>2027</v>
      </c>
      <c r="C96" s="1354">
        <f t="shared" si="13"/>
        <v>7</v>
      </c>
      <c r="D96" s="1394">
        <f>BILANCIO!DH$24</f>
        <v>0</v>
      </c>
      <c r="E96" s="1395">
        <f>BILANCIO!DI58</f>
        <v>0</v>
      </c>
      <c r="F96" s="1395">
        <f>BILANCIO!DJ$59</f>
        <v>0</v>
      </c>
      <c r="G96" s="1396">
        <f t="shared" si="14"/>
        <v>0</v>
      </c>
    </row>
    <row r="97" spans="1:7" x14ac:dyDescent="0.25">
      <c r="A97" s="1390">
        <v>46600</v>
      </c>
      <c r="B97" s="1354">
        <f t="shared" si="12"/>
        <v>2027</v>
      </c>
      <c r="C97" s="1354">
        <f t="shared" si="13"/>
        <v>8</v>
      </c>
      <c r="D97" s="1394">
        <f>BILANCIO!DI$24</f>
        <v>0</v>
      </c>
      <c r="E97" s="1395">
        <f>BILANCIO!DJ58</f>
        <v>0</v>
      </c>
      <c r="F97" s="1395">
        <f>BILANCIO!DK$59</f>
        <v>0</v>
      </c>
      <c r="G97" s="1396">
        <f t="shared" si="14"/>
        <v>0</v>
      </c>
    </row>
    <row r="98" spans="1:7" x14ac:dyDescent="0.25">
      <c r="A98" s="1390">
        <v>46631</v>
      </c>
      <c r="B98" s="1354">
        <f t="shared" ref="B98:B125" si="15">YEAR(A98)</f>
        <v>2027</v>
      </c>
      <c r="C98" s="1354">
        <f t="shared" ref="C98:C125" si="16">MONTH(A98)</f>
        <v>9</v>
      </c>
      <c r="D98" s="1394">
        <f>BILANCIO!DJ$24</f>
        <v>0</v>
      </c>
      <c r="E98" s="1395">
        <f>BILANCIO!DK58</f>
        <v>0</v>
      </c>
      <c r="F98" s="1395">
        <f>BILANCIO!DL$59</f>
        <v>0</v>
      </c>
      <c r="G98" s="1396">
        <f t="shared" ref="G98:G125" si="17">D98+E98+F98</f>
        <v>0</v>
      </c>
    </row>
    <row r="99" spans="1:7" x14ac:dyDescent="0.25">
      <c r="A99" s="1390">
        <v>46661</v>
      </c>
      <c r="B99" s="1354">
        <f t="shared" si="15"/>
        <v>2027</v>
      </c>
      <c r="C99" s="1354">
        <f t="shared" si="16"/>
        <v>10</v>
      </c>
      <c r="D99" s="1394">
        <f>BILANCIO!DK$24</f>
        <v>0</v>
      </c>
      <c r="E99" s="1395">
        <f>BILANCIO!DL58</f>
        <v>0</v>
      </c>
      <c r="F99" s="1395">
        <f>BILANCIO!DM$59</f>
        <v>0</v>
      </c>
      <c r="G99" s="1396">
        <f t="shared" si="17"/>
        <v>0</v>
      </c>
    </row>
    <row r="100" spans="1:7" x14ac:dyDescent="0.25">
      <c r="A100" s="1390">
        <v>46692</v>
      </c>
      <c r="B100" s="1354">
        <f t="shared" si="15"/>
        <v>2027</v>
      </c>
      <c r="C100" s="1354">
        <f t="shared" si="16"/>
        <v>11</v>
      </c>
      <c r="D100" s="1394">
        <f>BILANCIO!DL$24</f>
        <v>0</v>
      </c>
      <c r="E100" s="1395">
        <f>BILANCIO!DM58</f>
        <v>0</v>
      </c>
      <c r="F100" s="1395">
        <f>BILANCIO!DN$59</f>
        <v>0</v>
      </c>
      <c r="G100" s="1396">
        <f t="shared" si="17"/>
        <v>0</v>
      </c>
    </row>
    <row r="101" spans="1:7" x14ac:dyDescent="0.25">
      <c r="A101" s="1390">
        <v>46722</v>
      </c>
      <c r="B101" s="1354">
        <f t="shared" si="15"/>
        <v>2027</v>
      </c>
      <c r="C101" s="1354">
        <f t="shared" si="16"/>
        <v>12</v>
      </c>
      <c r="D101" s="1394">
        <f>BILANCIO!DM$24</f>
        <v>0</v>
      </c>
      <c r="E101" s="1395">
        <f>BILANCIO!DN58</f>
        <v>0</v>
      </c>
      <c r="F101" s="1395">
        <f>BILANCIO!DO$59</f>
        <v>0</v>
      </c>
      <c r="G101" s="1396">
        <f t="shared" si="17"/>
        <v>0</v>
      </c>
    </row>
    <row r="102" spans="1:7" x14ac:dyDescent="0.25">
      <c r="A102" s="1390">
        <v>46753</v>
      </c>
      <c r="B102" s="1354">
        <f t="shared" si="15"/>
        <v>2028</v>
      </c>
      <c r="C102" s="1354">
        <f t="shared" si="16"/>
        <v>1</v>
      </c>
      <c r="D102" s="1394">
        <f>BILANCIO!DN$24</f>
        <v>0</v>
      </c>
      <c r="E102" s="1395">
        <f>BILANCIO!DO58</f>
        <v>0</v>
      </c>
      <c r="F102" s="1395">
        <f>BILANCIO!DP$59</f>
        <v>0</v>
      </c>
      <c r="G102" s="1396">
        <f t="shared" si="17"/>
        <v>0</v>
      </c>
    </row>
    <row r="103" spans="1:7" x14ac:dyDescent="0.25">
      <c r="A103" s="1390">
        <v>46784</v>
      </c>
      <c r="B103" s="1354">
        <f t="shared" si="15"/>
        <v>2028</v>
      </c>
      <c r="C103" s="1354">
        <f t="shared" si="16"/>
        <v>2</v>
      </c>
      <c r="D103" s="1394">
        <f>BILANCIO!DO$24</f>
        <v>0</v>
      </c>
      <c r="E103" s="1395">
        <f>BILANCIO!DP58</f>
        <v>0</v>
      </c>
      <c r="F103" s="1395">
        <f>BILANCIO!DQ$59</f>
        <v>0</v>
      </c>
      <c r="G103" s="1396">
        <f t="shared" si="17"/>
        <v>0</v>
      </c>
    </row>
    <row r="104" spans="1:7" x14ac:dyDescent="0.25">
      <c r="A104" s="1390">
        <v>46813</v>
      </c>
      <c r="B104" s="1354">
        <f t="shared" si="15"/>
        <v>2028</v>
      </c>
      <c r="C104" s="1354">
        <f t="shared" si="16"/>
        <v>3</v>
      </c>
      <c r="D104" s="1394">
        <f>BILANCIO!DP$24</f>
        <v>0</v>
      </c>
      <c r="E104" s="1395">
        <f>BILANCIO!DQ58</f>
        <v>0</v>
      </c>
      <c r="F104" s="1395">
        <f>BILANCIO!DR$59</f>
        <v>0</v>
      </c>
      <c r="G104" s="1396">
        <f t="shared" si="17"/>
        <v>0</v>
      </c>
    </row>
    <row r="105" spans="1:7" x14ac:dyDescent="0.25">
      <c r="A105" s="1390">
        <v>46844</v>
      </c>
      <c r="B105" s="1354">
        <f t="shared" si="15"/>
        <v>2028</v>
      </c>
      <c r="C105" s="1354">
        <f t="shared" si="16"/>
        <v>4</v>
      </c>
      <c r="D105" s="1394">
        <f>BILANCIO!DQ$24</f>
        <v>0</v>
      </c>
      <c r="E105" s="1395">
        <f>BILANCIO!DR58</f>
        <v>0</v>
      </c>
      <c r="F105" s="1395">
        <f>BILANCIO!DS$59</f>
        <v>0</v>
      </c>
      <c r="G105" s="1396">
        <f t="shared" si="17"/>
        <v>0</v>
      </c>
    </row>
    <row r="106" spans="1:7" x14ac:dyDescent="0.25">
      <c r="A106" s="1390">
        <v>46874</v>
      </c>
      <c r="B106" s="1354">
        <f t="shared" si="15"/>
        <v>2028</v>
      </c>
      <c r="C106" s="1354">
        <f t="shared" si="16"/>
        <v>5</v>
      </c>
      <c r="D106" s="1394">
        <f>BILANCIO!DR$24</f>
        <v>0</v>
      </c>
      <c r="E106" s="1395">
        <f>BILANCIO!DS58</f>
        <v>0</v>
      </c>
      <c r="F106" s="1395">
        <f>BILANCIO!DT$59</f>
        <v>0</v>
      </c>
      <c r="G106" s="1396">
        <f t="shared" si="17"/>
        <v>0</v>
      </c>
    </row>
    <row r="107" spans="1:7" x14ac:dyDescent="0.25">
      <c r="A107" s="1390">
        <v>46905</v>
      </c>
      <c r="B107" s="1354">
        <f t="shared" si="15"/>
        <v>2028</v>
      </c>
      <c r="C107" s="1354">
        <f t="shared" si="16"/>
        <v>6</v>
      </c>
      <c r="D107" s="1394">
        <f>BILANCIO!DS$24</f>
        <v>0</v>
      </c>
      <c r="E107" s="1395">
        <f>BILANCIO!DT58</f>
        <v>0</v>
      </c>
      <c r="F107" s="1395">
        <f>BILANCIO!DU$59</f>
        <v>0</v>
      </c>
      <c r="G107" s="1396">
        <f t="shared" si="17"/>
        <v>0</v>
      </c>
    </row>
    <row r="108" spans="1:7" x14ac:dyDescent="0.25">
      <c r="A108" s="1390">
        <v>46935</v>
      </c>
      <c r="B108" s="1354">
        <f t="shared" si="15"/>
        <v>2028</v>
      </c>
      <c r="C108" s="1354">
        <f t="shared" si="16"/>
        <v>7</v>
      </c>
      <c r="D108" s="1394">
        <f>BILANCIO!DT$24</f>
        <v>0</v>
      </c>
      <c r="E108" s="1395">
        <f>BILANCIO!DU58</f>
        <v>0</v>
      </c>
      <c r="F108" s="1395">
        <f>BILANCIO!DV$59</f>
        <v>0</v>
      </c>
      <c r="G108" s="1396">
        <f t="shared" si="17"/>
        <v>0</v>
      </c>
    </row>
    <row r="109" spans="1:7" x14ac:dyDescent="0.25">
      <c r="A109" s="1390">
        <v>46966</v>
      </c>
      <c r="B109" s="1354">
        <f t="shared" si="15"/>
        <v>2028</v>
      </c>
      <c r="C109" s="1354">
        <f t="shared" si="16"/>
        <v>8</v>
      </c>
      <c r="D109" s="1394">
        <f>BILANCIO!DU$24</f>
        <v>0</v>
      </c>
      <c r="E109" s="1395">
        <f>BILANCIO!DV58</f>
        <v>0</v>
      </c>
      <c r="F109" s="1395">
        <f>BILANCIO!DW$59</f>
        <v>0</v>
      </c>
      <c r="G109" s="1396">
        <f t="shared" si="17"/>
        <v>0</v>
      </c>
    </row>
    <row r="110" spans="1:7" x14ac:dyDescent="0.25">
      <c r="A110" s="1390">
        <v>46997</v>
      </c>
      <c r="B110" s="1354">
        <f t="shared" si="15"/>
        <v>2028</v>
      </c>
      <c r="C110" s="1354">
        <f t="shared" si="16"/>
        <v>9</v>
      </c>
      <c r="D110" s="1394">
        <f>BILANCIO!DV$24</f>
        <v>0</v>
      </c>
      <c r="E110" s="1395">
        <f>BILANCIO!DW58</f>
        <v>0</v>
      </c>
      <c r="F110" s="1395">
        <f>BILANCIO!DX$59</f>
        <v>0</v>
      </c>
      <c r="G110" s="1396">
        <f t="shared" si="17"/>
        <v>0</v>
      </c>
    </row>
    <row r="111" spans="1:7" x14ac:dyDescent="0.25">
      <c r="A111" s="1390">
        <v>47027</v>
      </c>
      <c r="B111" s="1354">
        <f t="shared" si="15"/>
        <v>2028</v>
      </c>
      <c r="C111" s="1354">
        <f t="shared" si="16"/>
        <v>10</v>
      </c>
      <c r="D111" s="1394">
        <f>BILANCIO!DW$24</f>
        <v>0</v>
      </c>
      <c r="E111" s="1395">
        <f>BILANCIO!DX58</f>
        <v>0</v>
      </c>
      <c r="F111" s="1395">
        <f>BILANCIO!DY$59</f>
        <v>0</v>
      </c>
      <c r="G111" s="1396">
        <f t="shared" si="17"/>
        <v>0</v>
      </c>
    </row>
    <row r="112" spans="1:7" x14ac:dyDescent="0.25">
      <c r="A112" s="1390">
        <v>47058</v>
      </c>
      <c r="B112" s="1354">
        <f t="shared" si="15"/>
        <v>2028</v>
      </c>
      <c r="C112" s="1354">
        <f t="shared" si="16"/>
        <v>11</v>
      </c>
      <c r="D112" s="1394">
        <f>BILANCIO!DX$24</f>
        <v>0</v>
      </c>
      <c r="E112" s="1395">
        <f>BILANCIO!DY58</f>
        <v>0</v>
      </c>
      <c r="F112" s="1395">
        <f>BILANCIO!DZ$59</f>
        <v>0</v>
      </c>
      <c r="G112" s="1396">
        <f t="shared" si="17"/>
        <v>0</v>
      </c>
    </row>
    <row r="113" spans="1:7" x14ac:dyDescent="0.25">
      <c r="A113" s="1390">
        <v>47088</v>
      </c>
      <c r="B113" s="1354">
        <f t="shared" si="15"/>
        <v>2028</v>
      </c>
      <c r="C113" s="1354">
        <f t="shared" si="16"/>
        <v>12</v>
      </c>
      <c r="D113" s="1394">
        <f>BILANCIO!DY$24</f>
        <v>0</v>
      </c>
      <c r="E113" s="1395">
        <f>BILANCIO!DZ58</f>
        <v>0</v>
      </c>
      <c r="F113" s="1395">
        <f>BILANCIO!EA$59</f>
        <v>0</v>
      </c>
      <c r="G113" s="1396">
        <f t="shared" si="17"/>
        <v>0</v>
      </c>
    </row>
    <row r="114" spans="1:7" x14ac:dyDescent="0.25">
      <c r="A114" s="1390">
        <v>47119</v>
      </c>
      <c r="B114" s="1354">
        <f t="shared" si="15"/>
        <v>2029</v>
      </c>
      <c r="C114" s="1354">
        <f t="shared" si="16"/>
        <v>1</v>
      </c>
      <c r="D114" s="1394">
        <f>BILANCIO!DZ$24</f>
        <v>0</v>
      </c>
      <c r="E114" s="1395">
        <f>BILANCIO!EA58</f>
        <v>0</v>
      </c>
      <c r="F114" s="1395">
        <f>BILANCIO!EB$59</f>
        <v>0</v>
      </c>
      <c r="G114" s="1396">
        <f t="shared" si="17"/>
        <v>0</v>
      </c>
    </row>
    <row r="115" spans="1:7" x14ac:dyDescent="0.25">
      <c r="A115" s="1390">
        <v>47150</v>
      </c>
      <c r="B115" s="1354">
        <f t="shared" si="15"/>
        <v>2029</v>
      </c>
      <c r="C115" s="1354">
        <f t="shared" si="16"/>
        <v>2</v>
      </c>
      <c r="D115" s="1394">
        <f>BILANCIO!EA$24</f>
        <v>0</v>
      </c>
      <c r="E115" s="1395">
        <f>BILANCIO!EB58</f>
        <v>0</v>
      </c>
      <c r="F115" s="1395">
        <f>BILANCIO!EC$59</f>
        <v>0</v>
      </c>
      <c r="G115" s="1396">
        <f t="shared" si="17"/>
        <v>0</v>
      </c>
    </row>
    <row r="116" spans="1:7" x14ac:dyDescent="0.25">
      <c r="A116" s="1390">
        <v>47178</v>
      </c>
      <c r="B116" s="1354">
        <f t="shared" si="15"/>
        <v>2029</v>
      </c>
      <c r="C116" s="1354">
        <f t="shared" si="16"/>
        <v>3</v>
      </c>
      <c r="D116" s="1394">
        <f>BILANCIO!EB$24</f>
        <v>0</v>
      </c>
      <c r="E116" s="1395">
        <f>BILANCIO!EC58</f>
        <v>0</v>
      </c>
      <c r="F116" s="1395">
        <f>BILANCIO!ED$59</f>
        <v>0</v>
      </c>
      <c r="G116" s="1396">
        <f t="shared" si="17"/>
        <v>0</v>
      </c>
    </row>
    <row r="117" spans="1:7" x14ac:dyDescent="0.25">
      <c r="A117" s="1390">
        <v>47209</v>
      </c>
      <c r="B117" s="1354">
        <f t="shared" si="15"/>
        <v>2029</v>
      </c>
      <c r="C117" s="1354">
        <f t="shared" si="16"/>
        <v>4</v>
      </c>
      <c r="D117" s="1394">
        <f>BILANCIO!EC$24</f>
        <v>0</v>
      </c>
      <c r="E117" s="1395">
        <f>BILANCIO!ED58</f>
        <v>0</v>
      </c>
      <c r="F117" s="1395">
        <f>BILANCIO!EE$59</f>
        <v>0</v>
      </c>
      <c r="G117" s="1396">
        <f t="shared" si="17"/>
        <v>0</v>
      </c>
    </row>
    <row r="118" spans="1:7" x14ac:dyDescent="0.25">
      <c r="A118" s="1390">
        <v>47239</v>
      </c>
      <c r="B118" s="1354">
        <f t="shared" si="15"/>
        <v>2029</v>
      </c>
      <c r="C118" s="1354">
        <f t="shared" si="16"/>
        <v>5</v>
      </c>
      <c r="D118" s="1394">
        <f>BILANCIO!ED$24</f>
        <v>0</v>
      </c>
      <c r="E118" s="1395">
        <f>BILANCIO!EE58</f>
        <v>0</v>
      </c>
      <c r="F118" s="1395">
        <f>BILANCIO!EF$59</f>
        <v>0</v>
      </c>
      <c r="G118" s="1396">
        <f t="shared" si="17"/>
        <v>0</v>
      </c>
    </row>
    <row r="119" spans="1:7" x14ac:dyDescent="0.25">
      <c r="A119" s="1390">
        <v>47270</v>
      </c>
      <c r="B119" s="1354">
        <f t="shared" si="15"/>
        <v>2029</v>
      </c>
      <c r="C119" s="1354">
        <f t="shared" si="16"/>
        <v>6</v>
      </c>
      <c r="D119" s="1394">
        <f>BILANCIO!EE$24</f>
        <v>0</v>
      </c>
      <c r="E119" s="1395">
        <f>BILANCIO!EF58</f>
        <v>0</v>
      </c>
      <c r="F119" s="1395">
        <f>BILANCIO!EG$59</f>
        <v>0</v>
      </c>
      <c r="G119" s="1396">
        <f t="shared" si="17"/>
        <v>0</v>
      </c>
    </row>
    <row r="120" spans="1:7" x14ac:dyDescent="0.25">
      <c r="A120" s="1390">
        <v>47300</v>
      </c>
      <c r="B120" s="1354">
        <f t="shared" si="15"/>
        <v>2029</v>
      </c>
      <c r="C120" s="1354">
        <f t="shared" si="16"/>
        <v>7</v>
      </c>
      <c r="D120" s="1394">
        <f>BILANCIO!EF$24</f>
        <v>0</v>
      </c>
      <c r="E120" s="1395">
        <f>BILANCIO!EG58</f>
        <v>0</v>
      </c>
      <c r="F120" s="1395">
        <f>BILANCIO!EH$59</f>
        <v>0</v>
      </c>
      <c r="G120" s="1396">
        <f t="shared" si="17"/>
        <v>0</v>
      </c>
    </row>
    <row r="121" spans="1:7" x14ac:dyDescent="0.25">
      <c r="A121" s="1390">
        <v>47331</v>
      </c>
      <c r="B121" s="1354">
        <f t="shared" si="15"/>
        <v>2029</v>
      </c>
      <c r="C121" s="1354">
        <f t="shared" si="16"/>
        <v>8</v>
      </c>
      <c r="D121" s="1394">
        <f>BILANCIO!EG$24</f>
        <v>0</v>
      </c>
      <c r="E121" s="1395">
        <f>BILANCIO!EH58</f>
        <v>0</v>
      </c>
      <c r="F121" s="1395">
        <f>BILANCIO!EI$59</f>
        <v>0</v>
      </c>
      <c r="G121" s="1396">
        <f t="shared" si="17"/>
        <v>0</v>
      </c>
    </row>
    <row r="122" spans="1:7" x14ac:dyDescent="0.25">
      <c r="A122" s="1390">
        <v>47362</v>
      </c>
      <c r="B122" s="1354">
        <f t="shared" si="15"/>
        <v>2029</v>
      </c>
      <c r="C122" s="1354">
        <f t="shared" si="16"/>
        <v>9</v>
      </c>
      <c r="D122" s="1394">
        <f>BILANCIO!EH$24</f>
        <v>0</v>
      </c>
      <c r="E122" s="1395">
        <f>BILANCIO!EI58</f>
        <v>0</v>
      </c>
      <c r="F122" s="1395">
        <f>BILANCIO!EJ$59</f>
        <v>0</v>
      </c>
      <c r="G122" s="1396">
        <f t="shared" si="17"/>
        <v>0</v>
      </c>
    </row>
    <row r="123" spans="1:7" x14ac:dyDescent="0.25">
      <c r="A123" s="1390">
        <v>47392</v>
      </c>
      <c r="B123" s="1354">
        <f t="shared" si="15"/>
        <v>2029</v>
      </c>
      <c r="C123" s="1354">
        <f t="shared" si="16"/>
        <v>10</v>
      </c>
      <c r="D123" s="1394">
        <f>BILANCIO!EI$24</f>
        <v>0</v>
      </c>
      <c r="E123" s="1395">
        <f>BILANCIO!EJ58</f>
        <v>0</v>
      </c>
      <c r="F123" s="1395">
        <f>BILANCIO!EK$59</f>
        <v>0</v>
      </c>
      <c r="G123" s="1396">
        <f t="shared" si="17"/>
        <v>0</v>
      </c>
    </row>
    <row r="124" spans="1:7" x14ac:dyDescent="0.25">
      <c r="A124" s="1390">
        <v>47423</v>
      </c>
      <c r="B124" s="1354">
        <f t="shared" si="15"/>
        <v>2029</v>
      </c>
      <c r="C124" s="1354">
        <f t="shared" si="16"/>
        <v>11</v>
      </c>
      <c r="D124" s="1394">
        <f>BILANCIO!EJ$24</f>
        <v>0</v>
      </c>
      <c r="E124" s="1395">
        <f>BILANCIO!EK58</f>
        <v>0</v>
      </c>
      <c r="F124" s="1395">
        <f>BILANCIO!EL$59</f>
        <v>0</v>
      </c>
      <c r="G124" s="1396">
        <f t="shared" si="17"/>
        <v>0</v>
      </c>
    </row>
    <row r="125" spans="1:7" x14ac:dyDescent="0.25">
      <c r="A125" s="1390">
        <v>47453</v>
      </c>
      <c r="B125" s="1354">
        <f t="shared" si="15"/>
        <v>2029</v>
      </c>
      <c r="C125" s="1354">
        <f t="shared" si="16"/>
        <v>12</v>
      </c>
      <c r="D125" s="1394">
        <f>BILANCIO!EK$24</f>
        <v>0</v>
      </c>
      <c r="E125" s="1395">
        <f>BILANCIO!EK58</f>
        <v>0</v>
      </c>
      <c r="F125" s="1395">
        <f>BILANCIO!EM$59</f>
        <v>0</v>
      </c>
      <c r="G125" s="1396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510"/>
  <sheetViews>
    <sheetView showGridLines="0" zoomScale="85" zoomScaleNormal="85" workbookViewId="0">
      <pane ySplit="1" topLeftCell="A2" activePane="bottomLeft" state="frozen"/>
      <selection pane="bottomLeft" activeCell="G3" sqref="G3"/>
    </sheetView>
  </sheetViews>
  <sheetFormatPr defaultColWidth="9.140625" defaultRowHeight="15" x14ac:dyDescent="0.2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5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 x14ac:dyDescent="0.25">
      <c r="A1" s="53" t="s">
        <v>61</v>
      </c>
      <c r="B1" s="53" t="s">
        <v>62</v>
      </c>
      <c r="C1" s="53" t="s">
        <v>63</v>
      </c>
      <c r="D1" s="53" t="s">
        <v>62</v>
      </c>
      <c r="E1" s="53" t="s">
        <v>64</v>
      </c>
      <c r="F1" s="53" t="s">
        <v>64</v>
      </c>
      <c r="G1" s="54" t="s">
        <v>65</v>
      </c>
      <c r="H1" s="1337" t="s">
        <v>61</v>
      </c>
      <c r="I1" s="962" t="s">
        <v>428</v>
      </c>
      <c r="J1" s="55" t="s">
        <v>985</v>
      </c>
      <c r="K1" s="55" t="s">
        <v>66</v>
      </c>
    </row>
    <row r="2" spans="1:11" x14ac:dyDescent="0.25">
      <c r="A2" s="57" t="s">
        <v>83</v>
      </c>
      <c r="B2" s="57" t="s">
        <v>168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17.36</v>
      </c>
      <c r="H2" s="1338" t="s">
        <v>77</v>
      </c>
      <c r="I2" s="960"/>
      <c r="J2" s="59"/>
      <c r="K2" s="59"/>
    </row>
    <row r="3" spans="1:11" x14ac:dyDescent="0.25">
      <c r="A3" s="57" t="s">
        <v>173</v>
      </c>
      <c r="B3" s="57" t="s">
        <v>168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ref="E3" si="2">CONCATENATE(,B3," ",C3)</f>
        <v>MARZO 2026</v>
      </c>
      <c r="F3" s="57" t="str">
        <f t="shared" ref="F3" si="3">CONCATENATE(D3," ",E3)</f>
        <v>3 MARZO 2026</v>
      </c>
      <c r="G3" s="59">
        <v>50</v>
      </c>
      <c r="H3" s="1338" t="s">
        <v>1137</v>
      </c>
      <c r="I3" s="960"/>
      <c r="J3" s="59" t="s">
        <v>173</v>
      </c>
      <c r="K3" s="59" t="s">
        <v>1136</v>
      </c>
    </row>
    <row r="4" spans="1:11" x14ac:dyDescent="0.25">
      <c r="A4" s="57" t="s">
        <v>67</v>
      </c>
      <c r="B4" s="57" t="s">
        <v>168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ref="E4" si="4">CONCATENATE(,B4," ",C4)</f>
        <v>MARZO 2026</v>
      </c>
      <c r="F4" s="57" t="str">
        <f t="shared" ref="F4" si="5">CONCATENATE(D4," ",E4)</f>
        <v>3 MARZO 2026</v>
      </c>
      <c r="G4" s="59">
        <v>30</v>
      </c>
      <c r="H4" s="1338" t="s">
        <v>69</v>
      </c>
      <c r="I4" s="57"/>
      <c r="J4" s="57"/>
      <c r="K4" s="59"/>
    </row>
    <row r="5" spans="1:11" x14ac:dyDescent="0.25">
      <c r="A5" s="57" t="s">
        <v>67</v>
      </c>
      <c r="B5" s="57" t="s">
        <v>168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ref="E5" si="6">CONCATENATE(,B5," ",C5)</f>
        <v>MARZO 2026</v>
      </c>
      <c r="F5" s="57" t="str">
        <f t="shared" ref="F5" si="7">CONCATENATE(D5," ",E5)</f>
        <v>3 MARZO 2026</v>
      </c>
      <c r="G5" s="59">
        <v>7</v>
      </c>
      <c r="H5" s="1338" t="s">
        <v>776</v>
      </c>
      <c r="I5" s="57"/>
      <c r="J5" s="57"/>
      <c r="K5" s="59"/>
    </row>
    <row r="6" spans="1:11" x14ac:dyDescent="0.25">
      <c r="A6" s="57" t="s">
        <v>108</v>
      </c>
      <c r="B6" s="57" t="s">
        <v>168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ref="E6" si="8">CONCATENATE(,B6," ",C6)</f>
        <v>MARZO 2026</v>
      </c>
      <c r="F6" s="57" t="str">
        <f t="shared" ref="F6" si="9">CONCATENATE(D6," ",E6)</f>
        <v>3 MARZO 2026</v>
      </c>
      <c r="G6" s="59">
        <v>15.99</v>
      </c>
      <c r="H6" s="1338" t="s">
        <v>75</v>
      </c>
      <c r="I6" s="960"/>
      <c r="J6" s="59"/>
      <c r="K6" s="59"/>
    </row>
    <row r="7" spans="1:11" x14ac:dyDescent="0.25">
      <c r="A7" s="57" t="s">
        <v>121</v>
      </c>
      <c r="B7" s="57" t="s">
        <v>168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ref="E7" si="10">CONCATENATE(,B7," ",C7)</f>
        <v>MARZO 2026</v>
      </c>
      <c r="F7" s="57" t="str">
        <f t="shared" ref="F7" si="11">CONCATENATE(D7," ",E7)</f>
        <v>3 MARZO 2026</v>
      </c>
      <c r="G7" s="59">
        <v>0.4</v>
      </c>
      <c r="H7" s="1338" t="s">
        <v>777</v>
      </c>
      <c r="I7" s="960"/>
      <c r="J7" s="59"/>
      <c r="K7" s="59"/>
    </row>
    <row r="8" spans="1:11" x14ac:dyDescent="0.25">
      <c r="A8" s="57" t="s">
        <v>121</v>
      </c>
      <c r="B8" s="57" t="s">
        <v>168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ref="E8" si="12">CONCATENATE(,B8," ",C8)</f>
        <v>MARZO 2026</v>
      </c>
      <c r="F8" s="57" t="str">
        <f t="shared" ref="F8" si="13">CONCATENATE(D8," ",E8)</f>
        <v>3 MARZO 2026</v>
      </c>
      <c r="G8" s="59">
        <v>0.4</v>
      </c>
      <c r="H8" s="1338" t="s">
        <v>777</v>
      </c>
      <c r="I8" s="960"/>
      <c r="J8" s="59"/>
      <c r="K8" s="59"/>
    </row>
    <row r="9" spans="1:11" x14ac:dyDescent="0.25">
      <c r="A9" s="57" t="s">
        <v>122</v>
      </c>
      <c r="B9" s="57" t="s">
        <v>168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ref="E9:E12" si="14">CONCATENATE(,B9," ",C9)</f>
        <v>MARZO 2026</v>
      </c>
      <c r="F9" s="57" t="str">
        <f t="shared" ref="F9:F12" si="15">CONCATENATE(D9," ",E9)</f>
        <v>3 MARZO 2026</v>
      </c>
      <c r="G9" s="59">
        <v>3.4</v>
      </c>
      <c r="H9" s="1338" t="s">
        <v>77</v>
      </c>
      <c r="I9" s="960"/>
      <c r="J9" s="59"/>
      <c r="K9" s="59"/>
    </row>
    <row r="10" spans="1:11" x14ac:dyDescent="0.25">
      <c r="A10" s="57" t="s">
        <v>121</v>
      </c>
      <c r="B10" s="57" t="s">
        <v>168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si="14"/>
        <v>MARZO 2026</v>
      </c>
      <c r="F10" s="57" t="str">
        <f t="shared" si="15"/>
        <v>3 MARZO 2026</v>
      </c>
      <c r="G10" s="59">
        <v>0.4</v>
      </c>
      <c r="H10" s="1338" t="s">
        <v>777</v>
      </c>
      <c r="I10" s="960"/>
      <c r="J10" s="59"/>
      <c r="K10" s="59"/>
    </row>
    <row r="11" spans="1:11" x14ac:dyDescent="0.25">
      <c r="A11" s="57" t="s">
        <v>67</v>
      </c>
      <c r="B11" s="57" t="s">
        <v>168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ref="E11" si="16">CONCATENATE(,B11," ",C11)</f>
        <v>MARZO 2026</v>
      </c>
      <c r="F11" s="57" t="str">
        <f t="shared" ref="F11" si="17">CONCATENATE(D11," ",E11)</f>
        <v>3 MARZO 2026</v>
      </c>
      <c r="G11" s="59">
        <v>3</v>
      </c>
      <c r="H11" s="1338" t="s">
        <v>69</v>
      </c>
      <c r="I11" s="57"/>
      <c r="J11" s="57"/>
      <c r="K11" s="59"/>
    </row>
    <row r="12" spans="1:11" x14ac:dyDescent="0.25">
      <c r="A12" s="57" t="s">
        <v>67</v>
      </c>
      <c r="B12" s="57" t="s">
        <v>168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si="14"/>
        <v>MARZO 2026</v>
      </c>
      <c r="F12" s="57" t="str">
        <f t="shared" si="15"/>
        <v>3 MARZO 2026</v>
      </c>
      <c r="G12" s="59">
        <v>7</v>
      </c>
      <c r="H12" s="1338" t="s">
        <v>776</v>
      </c>
      <c r="I12" s="57"/>
      <c r="J12" s="57"/>
      <c r="K12" s="59"/>
    </row>
    <row r="13" spans="1:11" x14ac:dyDescent="0.25">
      <c r="A13" s="57" t="s">
        <v>108</v>
      </c>
      <c r="B13" s="57" t="s">
        <v>168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" si="18">CONCATENATE(,B13," ",C13)</f>
        <v>MARZO 2026</v>
      </c>
      <c r="F13" s="57" t="str">
        <f t="shared" ref="F13" si="19">CONCATENATE(D13," ",E13)</f>
        <v>3 MARZO 2026</v>
      </c>
      <c r="G13" s="59">
        <v>28.49</v>
      </c>
      <c r="H13" s="1338" t="s">
        <v>75</v>
      </c>
      <c r="I13" s="960"/>
      <c r="J13" s="59"/>
      <c r="K13" s="59"/>
    </row>
    <row r="14" spans="1:11" x14ac:dyDescent="0.25">
      <c r="A14" s="57" t="s">
        <v>83</v>
      </c>
      <c r="B14" s="57" t="s">
        <v>168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:E21" si="20">CONCATENATE(,B14," ",C14)</f>
        <v>MARZO 2026</v>
      </c>
      <c r="F14" s="57" t="str">
        <f t="shared" ref="F14:F21" si="21">CONCATENATE(D14," ",E14)</f>
        <v>3 MARZO 2026</v>
      </c>
      <c r="G14" s="59">
        <v>18.850000000000001</v>
      </c>
      <c r="H14" s="1338" t="s">
        <v>77</v>
      </c>
      <c r="I14" s="960"/>
      <c r="J14" s="59"/>
      <c r="K14" s="59"/>
    </row>
    <row r="15" spans="1:11" x14ac:dyDescent="0.25">
      <c r="A15" s="57" t="s">
        <v>1237</v>
      </c>
      <c r="B15" s="57" t="s">
        <v>168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si="20"/>
        <v>MARZO 2026</v>
      </c>
      <c r="F15" s="57" t="str">
        <f t="shared" si="21"/>
        <v>3 MARZO 2026</v>
      </c>
      <c r="G15" s="59">
        <v>103</v>
      </c>
      <c r="H15" s="1338" t="s">
        <v>69</v>
      </c>
      <c r="I15" s="960"/>
      <c r="J15" s="59"/>
      <c r="K15" s="59"/>
    </row>
    <row r="16" spans="1:11" x14ac:dyDescent="0.25">
      <c r="A16" s="57" t="s">
        <v>1129</v>
      </c>
      <c r="B16" s="57" t="s">
        <v>168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si="20"/>
        <v>MARZO 2026</v>
      </c>
      <c r="F16" s="57" t="str">
        <f t="shared" si="21"/>
        <v>3 MARZO 2026</v>
      </c>
      <c r="G16" s="59">
        <v>39</v>
      </c>
      <c r="H16" s="1338" t="s">
        <v>69</v>
      </c>
      <c r="I16" s="960"/>
      <c r="J16" s="59"/>
      <c r="K16" s="59"/>
    </row>
    <row r="17" spans="1:11" x14ac:dyDescent="0.25">
      <c r="A17" s="57" t="s">
        <v>76</v>
      </c>
      <c r="B17" s="57" t="s">
        <v>168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si="20"/>
        <v>MARZO 2026</v>
      </c>
      <c r="F17" s="57" t="str">
        <f t="shared" si="21"/>
        <v>3 MARZO 2026</v>
      </c>
      <c r="G17" s="59">
        <v>10.63</v>
      </c>
      <c r="H17" s="1338" t="s">
        <v>77</v>
      </c>
      <c r="I17" s="960"/>
      <c r="J17" s="59"/>
      <c r="K17" s="59"/>
    </row>
    <row r="18" spans="1:11" x14ac:dyDescent="0.25">
      <c r="A18" s="57" t="s">
        <v>67</v>
      </c>
      <c r="B18" s="57" t="s">
        <v>168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si="20"/>
        <v>MARZO 2026</v>
      </c>
      <c r="F18" s="57" t="str">
        <f t="shared" si="21"/>
        <v>3 MARZO 2026</v>
      </c>
      <c r="G18" s="59">
        <v>7</v>
      </c>
      <c r="H18" s="1338" t="s">
        <v>776</v>
      </c>
      <c r="I18" s="57"/>
      <c r="J18" s="57"/>
      <c r="K18" s="59"/>
    </row>
    <row r="19" spans="1:11" x14ac:dyDescent="0.25">
      <c r="A19" s="57" t="s">
        <v>67</v>
      </c>
      <c r="B19" s="57" t="s">
        <v>168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si="20"/>
        <v>MARZO 2026</v>
      </c>
      <c r="F19" s="57" t="str">
        <f t="shared" si="21"/>
        <v>3 MARZO 2026</v>
      </c>
      <c r="G19" s="59">
        <v>8.5</v>
      </c>
      <c r="H19" s="1338" t="s">
        <v>776</v>
      </c>
      <c r="I19" s="57"/>
      <c r="J19" s="57"/>
      <c r="K19" s="59"/>
    </row>
    <row r="20" spans="1:11" x14ac:dyDescent="0.25">
      <c r="A20" s="57" t="s">
        <v>108</v>
      </c>
      <c r="B20" s="57" t="s">
        <v>168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si="20"/>
        <v>MARZO 2026</v>
      </c>
      <c r="F20" s="57" t="str">
        <f t="shared" si="21"/>
        <v>3 MARZO 2026</v>
      </c>
      <c r="G20" s="59">
        <v>55.52</v>
      </c>
      <c r="H20" s="1338" t="s">
        <v>75</v>
      </c>
      <c r="I20" s="960"/>
      <c r="J20" s="59"/>
      <c r="K20" s="59"/>
    </row>
    <row r="21" spans="1:11" x14ac:dyDescent="0.25">
      <c r="A21" s="57" t="s">
        <v>67</v>
      </c>
      <c r="B21" s="57" t="s">
        <v>168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si="20"/>
        <v>MARZO 2026</v>
      </c>
      <c r="F21" s="57" t="str">
        <f t="shared" si="21"/>
        <v>3 MARZO 2026</v>
      </c>
      <c r="G21" s="59">
        <v>7</v>
      </c>
      <c r="H21" s="1338" t="s">
        <v>776</v>
      </c>
      <c r="I21" s="57"/>
      <c r="J21" s="57"/>
      <c r="K21" s="59"/>
    </row>
    <row r="22" spans="1:11" x14ac:dyDescent="0.25">
      <c r="A22" s="57" t="s">
        <v>113</v>
      </c>
      <c r="B22" s="57" t="s">
        <v>168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" si="22">CONCATENATE(,B22," ",C22)</f>
        <v>MARZO 2026</v>
      </c>
      <c r="F22" s="57" t="str">
        <f t="shared" ref="F22" si="23">CONCATENATE(D22," ",E22)</f>
        <v>3 MARZO 2026</v>
      </c>
      <c r="G22" s="59">
        <v>33</v>
      </c>
      <c r="H22" s="1338" t="s">
        <v>114</v>
      </c>
      <c r="I22" s="960"/>
      <c r="J22" s="59"/>
      <c r="K22" s="59"/>
    </row>
    <row r="23" spans="1:11" x14ac:dyDescent="0.25">
      <c r="A23" s="57" t="s">
        <v>108</v>
      </c>
      <c r="B23" s="57" t="s">
        <v>168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ref="E23" si="24">CONCATENATE(,B23," ",C23)</f>
        <v>MARZO 2026</v>
      </c>
      <c r="F23" s="57" t="str">
        <f t="shared" ref="F23" si="25">CONCATENATE(D23," ",E23)</f>
        <v>3 MARZO 2026</v>
      </c>
      <c r="G23" s="59">
        <v>139.56</v>
      </c>
      <c r="H23" s="1338" t="s">
        <v>137</v>
      </c>
      <c r="I23" s="960"/>
      <c r="J23" s="59"/>
      <c r="K23" s="59"/>
    </row>
    <row r="24" spans="1:11" x14ac:dyDescent="0.25">
      <c r="A24" s="57" t="s">
        <v>228</v>
      </c>
      <c r="B24" s="57" t="s">
        <v>168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ref="E24" si="26">CONCATENATE(,B24," ",C24)</f>
        <v>MARZO 2026</v>
      </c>
      <c r="F24" s="57" t="str">
        <f t="shared" ref="F24" si="27">CONCATENATE(D24," ",E24)</f>
        <v>3 MARZO 2026</v>
      </c>
      <c r="G24" s="59">
        <v>28.8</v>
      </c>
      <c r="H24" s="1338" t="s">
        <v>69</v>
      </c>
      <c r="I24" s="960"/>
      <c r="J24" s="59"/>
      <c r="K24" s="59"/>
    </row>
    <row r="25" spans="1:11" x14ac:dyDescent="0.25">
      <c r="A25" s="57" t="s">
        <v>341</v>
      </c>
      <c r="B25" s="57" t="s">
        <v>168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ref="E25" si="28">CONCATENATE(,B25," ",C25)</f>
        <v>MARZO 2026</v>
      </c>
      <c r="F25" s="57" t="str">
        <f t="shared" ref="F25" si="29">CONCATENATE(D25," ",E25)</f>
        <v>3 MARZO 2026</v>
      </c>
      <c r="G25" s="59">
        <v>4.3099999999999996</v>
      </c>
      <c r="H25" s="1338" t="s">
        <v>91</v>
      </c>
      <c r="I25" s="960"/>
      <c r="J25" s="59" t="s">
        <v>768</v>
      </c>
      <c r="K25" s="59"/>
    </row>
    <row r="26" spans="1:11" x14ac:dyDescent="0.25">
      <c r="A26" s="57" t="s">
        <v>122</v>
      </c>
      <c r="B26" s="57" t="s">
        <v>168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ref="E26" si="30">CONCATENATE(,B26," ",C26)</f>
        <v>MARZO 2026</v>
      </c>
      <c r="F26" s="57" t="str">
        <f t="shared" ref="F26" si="31">CONCATENATE(D26," ",E26)</f>
        <v>3 MARZO 2026</v>
      </c>
      <c r="G26" s="59">
        <v>15.39</v>
      </c>
      <c r="H26" s="1338" t="s">
        <v>77</v>
      </c>
      <c r="I26" s="960"/>
      <c r="J26" s="59"/>
      <c r="K26" s="59"/>
    </row>
    <row r="27" spans="1:11" x14ac:dyDescent="0.25">
      <c r="A27" s="57" t="s">
        <v>83</v>
      </c>
      <c r="B27" s="57" t="s">
        <v>168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32">CONCATENATE(,B27," ",C27)</f>
        <v>MARZO 2026</v>
      </c>
      <c r="F27" s="57" t="str">
        <f t="shared" ref="F27" si="33">CONCATENATE(D27," ",E27)</f>
        <v>3 MARZO 2026</v>
      </c>
      <c r="G27" s="59">
        <v>34.96</v>
      </c>
      <c r="H27" s="1338" t="s">
        <v>77</v>
      </c>
      <c r="I27" s="960"/>
      <c r="J27" s="59"/>
      <c r="K27" s="59"/>
    </row>
    <row r="28" spans="1:11" x14ac:dyDescent="0.25">
      <c r="A28" s="57" t="s">
        <v>173</v>
      </c>
      <c r="B28" s="57" t="s">
        <v>168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" si="34">CONCATENATE(,B28," ",C28)</f>
        <v>MARZO 2026</v>
      </c>
      <c r="F28" s="57" t="str">
        <f t="shared" ref="F28" si="35">CONCATENATE(D28," ",E28)</f>
        <v>3 MARZO 2026</v>
      </c>
      <c r="G28" s="59">
        <v>100</v>
      </c>
      <c r="H28" s="1338" t="s">
        <v>1137</v>
      </c>
      <c r="I28" s="960"/>
      <c r="J28" s="59" t="s">
        <v>173</v>
      </c>
      <c r="K28" s="59" t="s">
        <v>1136</v>
      </c>
    </row>
    <row r="29" spans="1:11" x14ac:dyDescent="0.25">
      <c r="A29" s="57" t="s">
        <v>121</v>
      </c>
      <c r="B29" s="57" t="s">
        <v>168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36">CONCATENATE(,B29," ",C29)</f>
        <v>MARZO 2026</v>
      </c>
      <c r="F29" s="57" t="str">
        <f t="shared" ref="F29" si="37">CONCATENATE(D29," ",E29)</f>
        <v>3 MARZO 2026</v>
      </c>
      <c r="G29" s="59">
        <v>0.4</v>
      </c>
      <c r="H29" s="1338" t="s">
        <v>777</v>
      </c>
      <c r="I29" s="960"/>
      <c r="J29" s="59"/>
      <c r="K29" s="59"/>
    </row>
    <row r="30" spans="1:11" x14ac:dyDescent="0.25">
      <c r="A30" s="57" t="s">
        <v>67</v>
      </c>
      <c r="B30" s="57" t="s">
        <v>168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" si="38">CONCATENATE(,B30," ",C30)</f>
        <v>MARZO 2026</v>
      </c>
      <c r="F30" s="57" t="str">
        <f t="shared" ref="F30" si="39">CONCATENATE(D30," ",E30)</f>
        <v>3 MARZO 2026</v>
      </c>
      <c r="G30" s="59">
        <v>9</v>
      </c>
      <c r="H30" s="1338" t="s">
        <v>776</v>
      </c>
      <c r="I30" s="57"/>
      <c r="J30" s="57"/>
      <c r="K30" s="59"/>
    </row>
    <row r="31" spans="1:11" x14ac:dyDescent="0.25">
      <c r="A31" s="57" t="s">
        <v>121</v>
      </c>
      <c r="B31" s="57" t="s">
        <v>168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ref="E31:E32" si="40">CONCATENATE(,B31," ",C31)</f>
        <v>MARZO 2026</v>
      </c>
      <c r="F31" s="57" t="str">
        <f t="shared" ref="F31:F32" si="41">CONCATENATE(D31," ",E31)</f>
        <v>3 MARZO 2026</v>
      </c>
      <c r="G31" s="59">
        <v>0.4</v>
      </c>
      <c r="H31" s="1338" t="s">
        <v>777</v>
      </c>
      <c r="I31" s="960"/>
      <c r="J31" s="59"/>
      <c r="K31" s="59"/>
    </row>
    <row r="32" spans="1:11" x14ac:dyDescent="0.25">
      <c r="A32" s="57" t="s">
        <v>121</v>
      </c>
      <c r="B32" s="57" t="s">
        <v>168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si="40"/>
        <v>MARZO 2026</v>
      </c>
      <c r="F32" s="57" t="str">
        <f t="shared" si="41"/>
        <v>3 MARZO 2026</v>
      </c>
      <c r="G32" s="59">
        <v>1.3</v>
      </c>
      <c r="H32" s="1338" t="s">
        <v>777</v>
      </c>
      <c r="I32" s="960"/>
      <c r="J32" s="59"/>
      <c r="K32" s="59"/>
    </row>
    <row r="33" spans="1:11" x14ac:dyDescent="0.25">
      <c r="A33" s="57" t="s">
        <v>121</v>
      </c>
      <c r="B33" s="57" t="s">
        <v>168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ref="E33:E35" si="42">CONCATENATE(,B33," ",C33)</f>
        <v>MARZO 2026</v>
      </c>
      <c r="F33" s="57" t="str">
        <f t="shared" ref="F33:F35" si="43">CONCATENATE(D33," ",E33)</f>
        <v>3 MARZO 2026</v>
      </c>
      <c r="G33" s="59">
        <v>0.4</v>
      </c>
      <c r="H33" s="1338" t="s">
        <v>777</v>
      </c>
      <c r="I33" s="960"/>
      <c r="J33" s="59"/>
      <c r="K33" s="59"/>
    </row>
    <row r="34" spans="1:11" x14ac:dyDescent="0.25">
      <c r="A34" s="57" t="s">
        <v>121</v>
      </c>
      <c r="B34" s="57" t="s">
        <v>168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si="42"/>
        <v>MARZO 2026</v>
      </c>
      <c r="F34" s="57" t="str">
        <f t="shared" si="43"/>
        <v>3 MARZO 2026</v>
      </c>
      <c r="G34" s="59">
        <v>0.4</v>
      </c>
      <c r="H34" s="1338" t="s">
        <v>777</v>
      </c>
      <c r="I34" s="960"/>
      <c r="J34" s="59"/>
      <c r="K34" s="59"/>
    </row>
    <row r="35" spans="1:11" x14ac:dyDescent="0.25">
      <c r="A35" s="57" t="s">
        <v>121</v>
      </c>
      <c r="B35" s="57" t="s">
        <v>168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si="42"/>
        <v>MARZO 2026</v>
      </c>
      <c r="F35" s="57" t="str">
        <f t="shared" si="43"/>
        <v>3 MARZO 2026</v>
      </c>
      <c r="G35" s="59">
        <v>0.4</v>
      </c>
      <c r="H35" s="1338" t="s">
        <v>777</v>
      </c>
      <c r="I35" s="960"/>
      <c r="J35" s="59"/>
      <c r="K35" s="59"/>
    </row>
    <row r="36" spans="1:11" x14ac:dyDescent="0.25">
      <c r="A36" s="57" t="s">
        <v>1198</v>
      </c>
      <c r="B36" s="57" t="s">
        <v>168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44">CONCATENATE(,B36," ",C36)</f>
        <v>MARZO 2026</v>
      </c>
      <c r="F36" s="57" t="str">
        <f t="shared" ref="F36" si="45">CONCATENATE(D36," ",E36)</f>
        <v>3 MARZO 2026</v>
      </c>
      <c r="G36" s="59">
        <v>23.18</v>
      </c>
      <c r="H36" s="1338" t="s">
        <v>75</v>
      </c>
      <c r="I36" s="960"/>
      <c r="J36" s="59"/>
      <c r="K36" s="59" t="s">
        <v>1199</v>
      </c>
    </row>
    <row r="37" spans="1:11" x14ac:dyDescent="0.25">
      <c r="A37" s="57" t="s">
        <v>108</v>
      </c>
      <c r="B37" s="57" t="s">
        <v>168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46">CONCATENATE(,B37," ",C37)</f>
        <v>MARZO 2026</v>
      </c>
      <c r="F37" s="57" t="str">
        <f t="shared" ref="F37" si="47">CONCATENATE(D37," ",E37)</f>
        <v>3 MARZO 2026</v>
      </c>
      <c r="G37" s="59">
        <v>29</v>
      </c>
      <c r="H37" s="1338" t="s">
        <v>75</v>
      </c>
      <c r="I37" s="960"/>
      <c r="J37" s="59"/>
      <c r="K37" s="59"/>
    </row>
    <row r="38" spans="1:11" x14ac:dyDescent="0.25">
      <c r="A38" s="57" t="s">
        <v>296</v>
      </c>
      <c r="B38" s="57" t="s">
        <v>168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8">CONCATENATE(,B38," ",C38)</f>
        <v>MARZO 2026</v>
      </c>
      <c r="F38" s="57" t="str">
        <f t="shared" ref="F38" si="49">CONCATENATE(D38," ",E38)</f>
        <v>3 MARZO 2026</v>
      </c>
      <c r="G38" s="59">
        <v>18.48</v>
      </c>
      <c r="H38" s="1338" t="s">
        <v>166</v>
      </c>
      <c r="I38" s="960"/>
      <c r="J38" s="59"/>
      <c r="K38" s="59"/>
    </row>
    <row r="39" spans="1:11" x14ac:dyDescent="0.25">
      <c r="A39" s="57" t="s">
        <v>121</v>
      </c>
      <c r="B39" s="57" t="s">
        <v>168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:E42" si="50">CONCATENATE(,B39," ",C39)</f>
        <v>MARZO 2026</v>
      </c>
      <c r="F39" s="57" t="str">
        <f t="shared" ref="F39:F42" si="51">CONCATENATE(D39," ",E39)</f>
        <v>3 MARZO 2026</v>
      </c>
      <c r="G39" s="59">
        <v>0.4</v>
      </c>
      <c r="H39" s="1338" t="s">
        <v>777</v>
      </c>
      <c r="I39" s="960"/>
      <c r="J39" s="59"/>
      <c r="K39" s="59"/>
    </row>
    <row r="40" spans="1:11" x14ac:dyDescent="0.25">
      <c r="A40" s="57" t="s">
        <v>121</v>
      </c>
      <c r="B40" s="57" t="s">
        <v>168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si="50"/>
        <v>MARZO 2026</v>
      </c>
      <c r="F40" s="57" t="str">
        <f t="shared" si="51"/>
        <v>3 MARZO 2026</v>
      </c>
      <c r="G40" s="59">
        <v>0.4</v>
      </c>
      <c r="H40" s="1338" t="s">
        <v>777</v>
      </c>
      <c r="I40" s="960"/>
      <c r="J40" s="59"/>
      <c r="K40" s="59"/>
    </row>
    <row r="41" spans="1:11" x14ac:dyDescent="0.25">
      <c r="A41" s="57" t="s">
        <v>121</v>
      </c>
      <c r="B41" s="57" t="s">
        <v>168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si="50"/>
        <v>MARZO 2026</v>
      </c>
      <c r="F41" s="57" t="str">
        <f t="shared" si="51"/>
        <v>3 MARZO 2026</v>
      </c>
      <c r="G41" s="59">
        <v>0.4</v>
      </c>
      <c r="H41" s="1338" t="s">
        <v>777</v>
      </c>
      <c r="I41" s="960"/>
      <c r="J41" s="59"/>
      <c r="K41" s="59"/>
    </row>
    <row r="42" spans="1:11" x14ac:dyDescent="0.25">
      <c r="A42" s="57" t="s">
        <v>67</v>
      </c>
      <c r="B42" s="57" t="s">
        <v>168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si="50"/>
        <v>MARZO 2026</v>
      </c>
      <c r="F42" s="57" t="str">
        <f t="shared" si="51"/>
        <v>3 MARZO 2026</v>
      </c>
      <c r="G42" s="59">
        <v>7</v>
      </c>
      <c r="H42" s="1338" t="s">
        <v>776</v>
      </c>
      <c r="I42" s="57"/>
      <c r="J42" s="57"/>
      <c r="K42" s="59"/>
    </row>
    <row r="43" spans="1:11" x14ac:dyDescent="0.25">
      <c r="A43" s="57" t="s">
        <v>849</v>
      </c>
      <c r="B43" s="57" t="s">
        <v>168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2">CONCATENATE(,B43," ",C43)</f>
        <v>MARZO 2026</v>
      </c>
      <c r="F43" s="57" t="str">
        <f t="shared" ref="F43" si="53">CONCATENATE(D43," ",E43)</f>
        <v>3 MARZO 2026</v>
      </c>
      <c r="G43" s="59">
        <v>8</v>
      </c>
      <c r="H43" s="1338" t="s">
        <v>69</v>
      </c>
      <c r="I43" s="960"/>
      <c r="J43" s="59"/>
      <c r="K43" s="59"/>
    </row>
    <row r="44" spans="1:11" x14ac:dyDescent="0.25">
      <c r="A44" s="57" t="s">
        <v>849</v>
      </c>
      <c r="B44" s="57" t="s">
        <v>168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54">CONCATENATE(,B44," ",C44)</f>
        <v>MARZO 2026</v>
      </c>
      <c r="F44" s="57" t="str">
        <f t="shared" ref="F44" si="55">CONCATENATE(D44," ",E44)</f>
        <v>3 MARZO 2026</v>
      </c>
      <c r="G44" s="59">
        <v>18</v>
      </c>
      <c r="H44" s="1338" t="s">
        <v>69</v>
      </c>
      <c r="I44" s="960"/>
      <c r="J44" s="59"/>
      <c r="K44" s="59"/>
    </row>
    <row r="45" spans="1:11" x14ac:dyDescent="0.25">
      <c r="A45" s="57" t="s">
        <v>121</v>
      </c>
      <c r="B45" s="57" t="s">
        <v>168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" si="56">CONCATENATE(,B45," ",C45)</f>
        <v>MARZO 2026</v>
      </c>
      <c r="F45" s="57" t="str">
        <f t="shared" ref="F45" si="57">CONCATENATE(D45," ",E45)</f>
        <v>3 MARZO 2026</v>
      </c>
      <c r="G45" s="59">
        <v>0.4</v>
      </c>
      <c r="H45" s="1338" t="s">
        <v>777</v>
      </c>
      <c r="I45" s="960"/>
      <c r="J45" s="59"/>
      <c r="K45" s="59"/>
    </row>
    <row r="46" spans="1:11" x14ac:dyDescent="0.25">
      <c r="A46" s="57" t="s">
        <v>121</v>
      </c>
      <c r="B46" s="57" t="s">
        <v>168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58">CONCATENATE(,B46," ",C46)</f>
        <v>MARZO 2026</v>
      </c>
      <c r="F46" s="57" t="str">
        <f t="shared" ref="F46" si="59">CONCATENATE(D46," ",E46)</f>
        <v>3 MARZO 2026</v>
      </c>
      <c r="G46" s="59">
        <v>0.4</v>
      </c>
      <c r="H46" s="1338" t="s">
        <v>777</v>
      </c>
      <c r="I46" s="960"/>
      <c r="J46" s="59"/>
      <c r="K46" s="59"/>
    </row>
    <row r="47" spans="1:11" x14ac:dyDescent="0.25">
      <c r="A47" s="57" t="s">
        <v>121</v>
      </c>
      <c r="B47" s="57" t="s">
        <v>168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" si="60">CONCATENATE(,B47," ",C47)</f>
        <v>MARZO 2026</v>
      </c>
      <c r="F47" s="57" t="str">
        <f t="shared" ref="F47" si="61">CONCATENATE(D47," ",E47)</f>
        <v>3 MARZO 2026</v>
      </c>
      <c r="G47" s="59">
        <v>0.4</v>
      </c>
      <c r="H47" s="1338" t="s">
        <v>777</v>
      </c>
      <c r="I47" s="960"/>
      <c r="J47" s="59"/>
      <c r="K47" s="59"/>
    </row>
    <row r="48" spans="1:11" x14ac:dyDescent="0.25">
      <c r="A48" s="57" t="s">
        <v>83</v>
      </c>
      <c r="B48" s="57" t="s">
        <v>168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62">CONCATENATE(,B48," ",C48)</f>
        <v>MARZO 2026</v>
      </c>
      <c r="F48" s="57" t="str">
        <f t="shared" ref="F48" si="63">CONCATENATE(D48," ",E48)</f>
        <v>3 MARZO 2026</v>
      </c>
      <c r="G48" s="59">
        <v>26.02</v>
      </c>
      <c r="H48" s="1338" t="s">
        <v>77</v>
      </c>
      <c r="I48" s="960"/>
      <c r="J48" s="59"/>
      <c r="K48" s="59"/>
    </row>
    <row r="49" spans="1:11" x14ac:dyDescent="0.25">
      <c r="A49" s="57" t="s">
        <v>1196</v>
      </c>
      <c r="B49" s="57" t="s">
        <v>168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ref="E49" si="64">CONCATENATE(,B49," ",C49)</f>
        <v>MARZO 2026</v>
      </c>
      <c r="F49" s="57" t="str">
        <f t="shared" ref="F49" si="65">CONCATENATE(D49," ",E49)</f>
        <v>3 MARZO 2026</v>
      </c>
      <c r="G49" s="59">
        <v>20.95</v>
      </c>
      <c r="H49" s="1338" t="s">
        <v>137</v>
      </c>
      <c r="I49" s="960"/>
      <c r="J49" s="59"/>
      <c r="K49" s="59"/>
    </row>
    <row r="50" spans="1:11" x14ac:dyDescent="0.25">
      <c r="A50" s="57" t="s">
        <v>136</v>
      </c>
      <c r="B50" s="57" t="s">
        <v>168</v>
      </c>
      <c r="C50" s="57">
        <v>2026</v>
      </c>
      <c r="D50" s="58">
        <f>MATCH(B50,{"GENNAIO","FEBBRAIO","MARZO","APRILE","MAGGIO","GIUGNO","LUGLIO","AGOSTO","SETTEMBRE","OTTOBRE","NOVEMBRE","DICEMBRE"},0)</f>
        <v>3</v>
      </c>
      <c r="E50" s="57" t="str">
        <f t="shared" ref="E50" si="66">CONCATENATE(,B50," ",C50)</f>
        <v>MARZO 2026</v>
      </c>
      <c r="F50" s="57" t="str">
        <f t="shared" ref="F50" si="67">CONCATENATE(D50," ",E50)</f>
        <v>3 MARZO 2026</v>
      </c>
      <c r="G50" s="59">
        <v>59.8</v>
      </c>
      <c r="H50" s="1338" t="s">
        <v>137</v>
      </c>
      <c r="I50" s="960"/>
      <c r="J50" s="59"/>
      <c r="K50" s="59"/>
    </row>
    <row r="51" spans="1:11" x14ac:dyDescent="0.25">
      <c r="A51" s="57" t="s">
        <v>73</v>
      </c>
      <c r="B51" s="57" t="s">
        <v>168</v>
      </c>
      <c r="C51" s="57">
        <v>2026</v>
      </c>
      <c r="D51" s="58">
        <f>MATCH(B51,{"GENNAIO","FEBBRAIO","MARZO","APRILE","MAGGIO","GIUGNO","LUGLIO","AGOSTO","SETTEMBRE","OTTOBRE","NOVEMBRE","DICEMBRE"},0)</f>
        <v>3</v>
      </c>
      <c r="E51" s="57" t="str">
        <f t="shared" ref="E51" si="68">CONCATENATE(,B51," ",C51)</f>
        <v>MARZO 2026</v>
      </c>
      <c r="F51" s="57" t="str">
        <f t="shared" ref="F51" si="69">CONCATENATE(D51," ",E51)</f>
        <v>3 MARZO 2026</v>
      </c>
      <c r="G51" s="59">
        <v>12</v>
      </c>
      <c r="H51" s="1338" t="s">
        <v>74</v>
      </c>
      <c r="I51" s="960"/>
      <c r="J51" s="59"/>
      <c r="K51" s="59"/>
    </row>
    <row r="52" spans="1:11" x14ac:dyDescent="0.25">
      <c r="A52" s="57" t="s">
        <v>108</v>
      </c>
      <c r="B52" s="57" t="s">
        <v>168</v>
      </c>
      <c r="C52" s="57">
        <v>2026</v>
      </c>
      <c r="D52" s="58">
        <f>MATCH(B52,{"GENNAIO","FEBBRAIO","MARZO","APRILE","MAGGIO","GIUGNO","LUGLIO","AGOSTO","SETTEMBRE","OTTOBRE","NOVEMBRE","DICEMBRE"},0)</f>
        <v>3</v>
      </c>
      <c r="E52" s="57" t="str">
        <f t="shared" ref="E52" si="70">CONCATENATE(,B52," ",C52)</f>
        <v>MARZO 2026</v>
      </c>
      <c r="F52" s="57" t="str">
        <f t="shared" ref="F52" si="71">CONCATENATE(D52," ",E52)</f>
        <v>3 MARZO 2026</v>
      </c>
      <c r="G52" s="59">
        <v>42.5</v>
      </c>
      <c r="H52" s="1338" t="s">
        <v>75</v>
      </c>
      <c r="I52" s="960"/>
      <c r="J52" s="59"/>
      <c r="K52" s="59"/>
    </row>
    <row r="53" spans="1:11" x14ac:dyDescent="0.25">
      <c r="A53" s="57" t="s">
        <v>173</v>
      </c>
      <c r="B53" s="57" t="s">
        <v>168</v>
      </c>
      <c r="C53" s="57">
        <v>2026</v>
      </c>
      <c r="D53" s="58">
        <f>MATCH(B53,{"GENNAIO","FEBBRAIO","MARZO","APRILE","MAGGIO","GIUGNO","LUGLIO","AGOSTO","SETTEMBRE","OTTOBRE","NOVEMBRE","DICEMBRE"},0)</f>
        <v>3</v>
      </c>
      <c r="E53" s="57" t="str">
        <f t="shared" ref="E53" si="72">CONCATENATE(,B53," ",C53)</f>
        <v>MARZO 2026</v>
      </c>
      <c r="F53" s="57" t="str">
        <f t="shared" ref="F53" si="73">CONCATENATE(D53," ",E53)</f>
        <v>3 MARZO 2026</v>
      </c>
      <c r="G53" s="59">
        <v>90</v>
      </c>
      <c r="H53" s="1338" t="s">
        <v>1137</v>
      </c>
      <c r="I53" s="960"/>
      <c r="J53" s="59" t="s">
        <v>173</v>
      </c>
      <c r="K53" s="59" t="s">
        <v>1195</v>
      </c>
    </row>
    <row r="54" spans="1:11" x14ac:dyDescent="0.25">
      <c r="A54" s="57" t="s">
        <v>1186</v>
      </c>
      <c r="B54" s="57" t="s">
        <v>168</v>
      </c>
      <c r="C54" s="57">
        <v>2026</v>
      </c>
      <c r="D54" s="58">
        <f>MATCH(B54,{"GENNAIO","FEBBRAIO","MARZO","APRILE","MAGGIO","GIUGNO","LUGLIO","AGOSTO","SETTEMBRE","OTTOBRE","NOVEMBRE","DICEMBRE"},0)</f>
        <v>3</v>
      </c>
      <c r="E54" s="57" t="str">
        <f t="shared" ref="E54" si="74">CONCATENATE(,B54," ",C54)</f>
        <v>MARZO 2026</v>
      </c>
      <c r="F54" s="57" t="str">
        <f t="shared" ref="F54" si="75">CONCATENATE(D54," ",E54)</f>
        <v>3 MARZO 2026</v>
      </c>
      <c r="G54" s="59">
        <v>68.92</v>
      </c>
      <c r="H54" s="1338" t="s">
        <v>75</v>
      </c>
      <c r="I54" s="960" t="s">
        <v>988</v>
      </c>
      <c r="J54" s="59" t="s">
        <v>768</v>
      </c>
      <c r="K54" s="59" t="s">
        <v>1188</v>
      </c>
    </row>
    <row r="55" spans="1:11" x14ac:dyDescent="0.25">
      <c r="A55" s="57" t="s">
        <v>108</v>
      </c>
      <c r="B55" s="57" t="s">
        <v>168</v>
      </c>
      <c r="C55" s="57">
        <v>2026</v>
      </c>
      <c r="D55" s="58">
        <f>MATCH(B55,{"GENNAIO","FEBBRAIO","MARZO","APRILE","MAGGIO","GIUGNO","LUGLIO","AGOSTO","SETTEMBRE","OTTOBRE","NOVEMBRE","DICEMBRE"},0)</f>
        <v>3</v>
      </c>
      <c r="E55" s="57" t="str">
        <f t="shared" ref="E55" si="76">CONCATENATE(,B55," ",C55)</f>
        <v>MARZO 2026</v>
      </c>
      <c r="F55" s="57" t="str">
        <f t="shared" ref="F55" si="77">CONCATENATE(D55," ",E55)</f>
        <v>3 MARZO 2026</v>
      </c>
      <c r="G55" s="59">
        <f>178.99/5</f>
        <v>35.798000000000002</v>
      </c>
      <c r="H55" s="1338" t="s">
        <v>75</v>
      </c>
      <c r="I55" s="960" t="s">
        <v>1046</v>
      </c>
      <c r="J55" s="59" t="s">
        <v>108</v>
      </c>
      <c r="K55" s="59" t="s">
        <v>1182</v>
      </c>
    </row>
    <row r="56" spans="1:11" x14ac:dyDescent="0.25">
      <c r="A56" s="57" t="s">
        <v>108</v>
      </c>
      <c r="B56" s="57" t="s">
        <v>168</v>
      </c>
      <c r="C56" s="57">
        <v>2026</v>
      </c>
      <c r="D56" s="58">
        <f>MATCH(B56,{"GENNAIO","FEBBRAIO","MARZO","APRILE","MAGGIO","GIUGNO","LUGLIO","AGOSTO","SETTEMBRE","OTTOBRE","NOVEMBRE","DICEMBRE"},0)</f>
        <v>3</v>
      </c>
      <c r="E56" s="57" t="str">
        <f t="shared" ref="E56:E58" si="78">CONCATENATE(,B56," ",C56)</f>
        <v>MARZO 2026</v>
      </c>
      <c r="F56" s="57" t="str">
        <f t="shared" ref="F56:F58" si="79">CONCATENATE(D56," ",E56)</f>
        <v>3 MARZO 2026</v>
      </c>
      <c r="G56" s="59">
        <v>38.799999999999997</v>
      </c>
      <c r="H56" s="1338" t="s">
        <v>75</v>
      </c>
      <c r="I56" s="960" t="s">
        <v>1046</v>
      </c>
      <c r="J56" s="59" t="s">
        <v>108</v>
      </c>
      <c r="K56" s="59" t="s">
        <v>1174</v>
      </c>
    </row>
    <row r="57" spans="1:11" x14ac:dyDescent="0.25">
      <c r="A57" s="57" t="s">
        <v>121</v>
      </c>
      <c r="B57" s="57" t="s">
        <v>168</v>
      </c>
      <c r="C57" s="57">
        <v>2026</v>
      </c>
      <c r="D57" s="58">
        <f>MATCH(B57,{"GENNAIO","FEBBRAIO","MARZO","APRILE","MAGGIO","GIUGNO","LUGLIO","AGOSTO","SETTEMBRE","OTTOBRE","NOVEMBRE","DICEMBRE"},0)</f>
        <v>3</v>
      </c>
      <c r="E57" s="57" t="str">
        <f t="shared" ref="E57" si="80">CONCATENATE(,B57," ",C57)</f>
        <v>MARZO 2026</v>
      </c>
      <c r="F57" s="57" t="str">
        <f t="shared" ref="F57" si="81">CONCATENATE(D57," ",E57)</f>
        <v>3 MARZO 2026</v>
      </c>
      <c r="G57" s="59">
        <v>1.5</v>
      </c>
      <c r="H57" s="1338" t="s">
        <v>777</v>
      </c>
      <c r="I57" s="960"/>
      <c r="J57" s="59"/>
      <c r="K57" s="59"/>
    </row>
    <row r="58" spans="1:11" x14ac:dyDescent="0.25">
      <c r="A58" s="57" t="s">
        <v>121</v>
      </c>
      <c r="B58" s="57" t="s">
        <v>168</v>
      </c>
      <c r="C58" s="57">
        <v>2026</v>
      </c>
      <c r="D58" s="58">
        <f>MATCH(B58,{"GENNAIO","FEBBRAIO","MARZO","APRILE","MAGGIO","GIUGNO","LUGLIO","AGOSTO","SETTEMBRE","OTTOBRE","NOVEMBRE","DICEMBRE"},0)</f>
        <v>3</v>
      </c>
      <c r="E58" s="57" t="str">
        <f t="shared" si="78"/>
        <v>MARZO 2026</v>
      </c>
      <c r="F58" s="57" t="str">
        <f t="shared" si="79"/>
        <v>3 MARZO 2026</v>
      </c>
      <c r="G58" s="59">
        <v>1.5</v>
      </c>
      <c r="H58" s="1338" t="s">
        <v>777</v>
      </c>
      <c r="I58" s="960"/>
      <c r="J58" s="59"/>
      <c r="K58" s="59"/>
    </row>
    <row r="59" spans="1:11" x14ac:dyDescent="0.25">
      <c r="A59" s="57" t="s">
        <v>108</v>
      </c>
      <c r="B59" s="57" t="s">
        <v>176</v>
      </c>
      <c r="C59" s="57">
        <v>2026</v>
      </c>
      <c r="D59" s="58">
        <f>MATCH(B59,{"GENNAIO","FEBBRAIO","MARZO","APRILE","MAGGIO","GIUGNO","LUGLIO","AGOSTO","SETTEMBRE","OTTOBRE","NOVEMBRE","DICEMBRE"},0)</f>
        <v>2</v>
      </c>
      <c r="E59" s="57" t="str">
        <f t="shared" ref="E59:E61" si="82">CONCATENATE(,B59," ",C59)</f>
        <v>FEBBRAIO 2026</v>
      </c>
      <c r="F59" s="57" t="str">
        <f t="shared" ref="F59:F61" si="83">CONCATENATE(D59," ",E59)</f>
        <v>2 FEBBRAIO 2026</v>
      </c>
      <c r="G59" s="59">
        <v>8.99</v>
      </c>
      <c r="H59" s="1338" t="s">
        <v>75</v>
      </c>
      <c r="I59" s="960"/>
      <c r="J59" s="59"/>
      <c r="K59" s="59"/>
    </row>
    <row r="60" spans="1:11" x14ac:dyDescent="0.25">
      <c r="A60" s="57" t="s">
        <v>121</v>
      </c>
      <c r="B60" s="57" t="s">
        <v>176</v>
      </c>
      <c r="C60" s="57">
        <v>2026</v>
      </c>
      <c r="D60" s="58">
        <f>MATCH(B60,{"GENNAIO","FEBBRAIO","MARZO","APRILE","MAGGIO","GIUGNO","LUGLIO","AGOSTO","SETTEMBRE","OTTOBRE","NOVEMBRE","DICEMBRE"},0)</f>
        <v>2</v>
      </c>
      <c r="E60" s="57" t="str">
        <f t="shared" si="82"/>
        <v>FEBBRAIO 2026</v>
      </c>
      <c r="F60" s="57" t="str">
        <f t="shared" si="83"/>
        <v>2 FEBBRAIO 2026</v>
      </c>
      <c r="G60" s="59">
        <v>0.4</v>
      </c>
      <c r="H60" s="1338" t="s">
        <v>777</v>
      </c>
      <c r="I60" s="960"/>
      <c r="J60" s="59"/>
      <c r="K60" s="59"/>
    </row>
    <row r="61" spans="1:11" x14ac:dyDescent="0.25">
      <c r="A61" s="57" t="s">
        <v>121</v>
      </c>
      <c r="B61" s="57" t="s">
        <v>176</v>
      </c>
      <c r="C61" s="57">
        <v>2026</v>
      </c>
      <c r="D61" s="58">
        <f>MATCH(B61,{"GENNAIO","FEBBRAIO","MARZO","APRILE","MAGGIO","GIUGNO","LUGLIO","AGOSTO","SETTEMBRE","OTTOBRE","NOVEMBRE","DICEMBRE"},0)</f>
        <v>2</v>
      </c>
      <c r="E61" s="57" t="str">
        <f t="shared" si="82"/>
        <v>FEBBRAIO 2026</v>
      </c>
      <c r="F61" s="57" t="str">
        <f t="shared" si="83"/>
        <v>2 FEBBRAIO 2026</v>
      </c>
      <c r="G61" s="59">
        <v>0.4</v>
      </c>
      <c r="H61" s="1338" t="s">
        <v>777</v>
      </c>
      <c r="I61" s="960"/>
      <c r="J61" s="59"/>
      <c r="K61" s="59"/>
    </row>
    <row r="62" spans="1:11" x14ac:dyDescent="0.25">
      <c r="A62" s="57" t="s">
        <v>67</v>
      </c>
      <c r="B62" s="57" t="s">
        <v>176</v>
      </c>
      <c r="C62" s="57">
        <v>2026</v>
      </c>
      <c r="D62" s="58">
        <f>MATCH(B62,{"GENNAIO","FEBBRAIO","MARZO","APRILE","MAGGIO","GIUGNO","LUGLIO","AGOSTO","SETTEMBRE","OTTOBRE","NOVEMBRE","DICEMBRE"},0)</f>
        <v>2</v>
      </c>
      <c r="E62" s="57" t="str">
        <f t="shared" ref="E62" si="84">CONCATENATE(,B62," ",C62)</f>
        <v>FEBBRAIO 2026</v>
      </c>
      <c r="F62" s="57" t="str">
        <f t="shared" ref="F62" si="85">CONCATENATE(D62," ",E62)</f>
        <v>2 FEBBRAIO 2026</v>
      </c>
      <c r="G62" s="59">
        <v>4.5</v>
      </c>
      <c r="H62" s="1338" t="s">
        <v>69</v>
      </c>
      <c r="I62" s="57"/>
      <c r="J62" s="57"/>
      <c r="K62" s="59"/>
    </row>
    <row r="63" spans="1:11" x14ac:dyDescent="0.25">
      <c r="A63" s="57" t="s">
        <v>122</v>
      </c>
      <c r="B63" s="57" t="s">
        <v>176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ref="E63" si="86">CONCATENATE(,B63," ",C63)</f>
        <v>FEBBRAIO 2026</v>
      </c>
      <c r="F63" s="57" t="str">
        <f t="shared" ref="F63" si="87">CONCATENATE(D63," ",E63)</f>
        <v>2 FEBBRAIO 2026</v>
      </c>
      <c r="G63" s="59">
        <v>10.119999999999999</v>
      </c>
      <c r="H63" s="1338" t="s">
        <v>77</v>
      </c>
      <c r="I63" s="960"/>
      <c r="J63" s="59"/>
      <c r="K63" s="59"/>
    </row>
    <row r="64" spans="1:11" x14ac:dyDescent="0.25">
      <c r="A64" s="57" t="s">
        <v>138</v>
      </c>
      <c r="B64" s="57" t="s">
        <v>176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ref="E64" si="88">CONCATENATE(,B64," ",C64)</f>
        <v>FEBBRAIO 2026</v>
      </c>
      <c r="F64" s="57" t="str">
        <f t="shared" ref="F64" si="89">CONCATENATE(D64," ",E64)</f>
        <v>2 FEBBRAIO 2026</v>
      </c>
      <c r="G64" s="59">
        <v>20.5</v>
      </c>
      <c r="H64" s="1338" t="s">
        <v>69</v>
      </c>
      <c r="I64" s="960"/>
      <c r="J64" s="59"/>
      <c r="K64" s="59"/>
    </row>
    <row r="65" spans="1:11" x14ac:dyDescent="0.25">
      <c r="A65" s="57" t="s">
        <v>138</v>
      </c>
      <c r="B65" s="57" t="s">
        <v>176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ref="E65" si="90">CONCATENATE(,B65," ",C65)</f>
        <v>FEBBRAIO 2026</v>
      </c>
      <c r="F65" s="57" t="str">
        <f t="shared" ref="F65" si="91">CONCATENATE(D65," ",E65)</f>
        <v>2 FEBBRAIO 2026</v>
      </c>
      <c r="G65" s="59">
        <v>20</v>
      </c>
      <c r="H65" s="1338" t="s">
        <v>69</v>
      </c>
      <c r="I65" s="960"/>
      <c r="J65" s="59"/>
      <c r="K65" s="59"/>
    </row>
    <row r="66" spans="1:11" x14ac:dyDescent="0.25">
      <c r="A66" s="57" t="s">
        <v>171</v>
      </c>
      <c r="B66" s="57" t="s">
        <v>176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2">CONCATENATE(,B66," ",C66)</f>
        <v>FEBBRAIO 2026</v>
      </c>
      <c r="F66" s="57" t="str">
        <f t="shared" ref="F66" si="93">CONCATENATE(D66," ",E66)</f>
        <v>2 FEBBRAIO 2026</v>
      </c>
      <c r="G66" s="59">
        <v>70</v>
      </c>
      <c r="H66" s="1338" t="s">
        <v>81</v>
      </c>
      <c r="I66" s="960"/>
      <c r="J66" s="59"/>
      <c r="K66" s="59"/>
    </row>
    <row r="67" spans="1:11" x14ac:dyDescent="0.25">
      <c r="A67" s="57" t="s">
        <v>171</v>
      </c>
      <c r="B67" s="57" t="s">
        <v>176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4">CONCATENATE(,B67," ",C67)</f>
        <v>FEBBRAIO 2026</v>
      </c>
      <c r="F67" s="57" t="str">
        <f t="shared" ref="F67" si="95">CONCATENATE(D67," ",E67)</f>
        <v>2 FEBBRAIO 2026</v>
      </c>
      <c r="G67" s="59">
        <v>22.9</v>
      </c>
      <c r="H67" s="1338" t="s">
        <v>81</v>
      </c>
      <c r="I67" s="960"/>
      <c r="J67" s="59"/>
      <c r="K67" s="59"/>
    </row>
    <row r="68" spans="1:11" x14ac:dyDescent="0.25">
      <c r="A68" s="57" t="s">
        <v>221</v>
      </c>
      <c r="B68" s="57" t="s">
        <v>176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96">CONCATENATE(,B68," ",C68)</f>
        <v>FEBBRAIO 2026</v>
      </c>
      <c r="F68" s="57" t="str">
        <f t="shared" ref="F68" si="97">CONCATENATE(D68," ",E68)</f>
        <v>2 FEBBRAIO 2026</v>
      </c>
      <c r="G68" s="59">
        <v>65</v>
      </c>
      <c r="H68" s="1338" t="s">
        <v>137</v>
      </c>
      <c r="I68" s="960"/>
      <c r="J68" s="59"/>
      <c r="K68" s="59"/>
    </row>
    <row r="69" spans="1:11" x14ac:dyDescent="0.25">
      <c r="A69" s="57" t="s">
        <v>256</v>
      </c>
      <c r="B69" s="57" t="s">
        <v>176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" si="98">CONCATENATE(,B69," ",C69)</f>
        <v>FEBBRAIO 2026</v>
      </c>
      <c r="F69" s="57" t="str">
        <f t="shared" ref="F69" si="99">CONCATENATE(D69," ",E69)</f>
        <v>2 FEBBRAIO 2026</v>
      </c>
      <c r="G69" s="59">
        <v>21</v>
      </c>
      <c r="H69" s="1338" t="s">
        <v>69</v>
      </c>
      <c r="I69" s="57"/>
      <c r="J69" s="57"/>
      <c r="K69" s="59"/>
    </row>
    <row r="70" spans="1:11" x14ac:dyDescent="0.25">
      <c r="A70" s="57" t="s">
        <v>79</v>
      </c>
      <c r="B70" s="57" t="s">
        <v>176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ref="E70" si="100">CONCATENATE(,B70," ",C70)</f>
        <v>FEBBRAIO 2026</v>
      </c>
      <c r="F70" s="57" t="str">
        <f t="shared" ref="F70" si="101">CONCATENATE(D70," ",E70)</f>
        <v>2 FEBBRAIO 2026</v>
      </c>
      <c r="G70" s="59">
        <v>6</v>
      </c>
      <c r="H70" s="1338" t="s">
        <v>81</v>
      </c>
      <c r="I70" s="960"/>
      <c r="J70" s="59"/>
      <c r="K70" s="59"/>
    </row>
    <row r="71" spans="1:11" x14ac:dyDescent="0.25">
      <c r="A71" s="57" t="s">
        <v>121</v>
      </c>
      <c r="B71" s="57" t="s">
        <v>176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" si="102">CONCATENATE(,B71," ",C71)</f>
        <v>FEBBRAIO 2026</v>
      </c>
      <c r="F71" s="57" t="str">
        <f t="shared" ref="F71" si="103">CONCATENATE(D71," ",E71)</f>
        <v>2 FEBBRAIO 2026</v>
      </c>
      <c r="G71" s="59">
        <v>0.4</v>
      </c>
      <c r="H71" s="1338" t="s">
        <v>777</v>
      </c>
      <c r="I71" s="960"/>
      <c r="J71" s="59"/>
      <c r="K71" s="59"/>
    </row>
    <row r="72" spans="1:11" x14ac:dyDescent="0.25">
      <c r="A72" s="57" t="s">
        <v>121</v>
      </c>
      <c r="B72" s="57" t="s">
        <v>176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ref="E72" si="104">CONCATENATE(,B72," ",C72)</f>
        <v>FEBBRAIO 2026</v>
      </c>
      <c r="F72" s="57" t="str">
        <f t="shared" ref="F72" si="105">CONCATENATE(D72," ",E72)</f>
        <v>2 FEBBRAIO 2026</v>
      </c>
      <c r="G72" s="59">
        <v>0.4</v>
      </c>
      <c r="H72" s="1338" t="s">
        <v>777</v>
      </c>
      <c r="I72" s="960"/>
      <c r="J72" s="59"/>
      <c r="K72" s="59"/>
    </row>
    <row r="73" spans="1:11" x14ac:dyDescent="0.25">
      <c r="A73" s="57" t="s">
        <v>341</v>
      </c>
      <c r="B73" s="57" t="s">
        <v>176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" si="106">CONCATENATE(,B73," ",C73)</f>
        <v>FEBBRAIO 2026</v>
      </c>
      <c r="F73" s="57" t="str">
        <f t="shared" ref="F73" si="107">CONCATENATE(D73," ",E73)</f>
        <v>2 FEBBRAIO 2026</v>
      </c>
      <c r="G73" s="59">
        <v>0.85</v>
      </c>
      <c r="H73" s="1338" t="s">
        <v>91</v>
      </c>
      <c r="I73" s="960"/>
      <c r="J73" s="59" t="s">
        <v>768</v>
      </c>
      <c r="K73" s="59" t="s">
        <v>1191</v>
      </c>
    </row>
    <row r="74" spans="1:11" x14ac:dyDescent="0.25">
      <c r="A74" s="57" t="s">
        <v>108</v>
      </c>
      <c r="B74" s="57" t="s">
        <v>176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ref="E74" si="108">CONCATENATE(,B74," ",C74)</f>
        <v>FEBBRAIO 2026</v>
      </c>
      <c r="F74" s="57" t="str">
        <f t="shared" ref="F74" si="109">CONCATENATE(D74," ",E74)</f>
        <v>2 FEBBRAIO 2026</v>
      </c>
      <c r="G74" s="59">
        <v>19.989999999999998</v>
      </c>
      <c r="H74" s="1338" t="s">
        <v>75</v>
      </c>
      <c r="I74" s="960"/>
      <c r="J74" s="59"/>
      <c r="K74" s="59"/>
    </row>
    <row r="75" spans="1:11" x14ac:dyDescent="0.25">
      <c r="A75" s="57" t="s">
        <v>67</v>
      </c>
      <c r="B75" s="57" t="s">
        <v>176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0">CONCATENATE(,B75," ",C75)</f>
        <v>FEBBRAIO 2026</v>
      </c>
      <c r="F75" s="57" t="str">
        <f t="shared" ref="F75" si="111">CONCATENATE(D75," ",E75)</f>
        <v>2 FEBBRAIO 2026</v>
      </c>
      <c r="G75" s="59">
        <v>9</v>
      </c>
      <c r="H75" s="1338" t="s">
        <v>776</v>
      </c>
      <c r="I75" s="57"/>
      <c r="J75" s="57"/>
      <c r="K75" s="59"/>
    </row>
    <row r="76" spans="1:11" x14ac:dyDescent="0.25">
      <c r="A76" s="57" t="s">
        <v>173</v>
      </c>
      <c r="B76" s="57" t="s">
        <v>176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2">CONCATENATE(,B76," ",C76)</f>
        <v>FEBBRAIO 2026</v>
      </c>
      <c r="F76" s="57" t="str">
        <f t="shared" ref="F76" si="113">CONCATENATE(D76," ",E76)</f>
        <v>2 FEBBRAIO 2026</v>
      </c>
      <c r="G76" s="59">
        <v>20</v>
      </c>
      <c r="H76" s="1338" t="s">
        <v>1137</v>
      </c>
      <c r="I76" s="960"/>
      <c r="J76" s="59" t="s">
        <v>173</v>
      </c>
      <c r="K76" s="59" t="s">
        <v>1189</v>
      </c>
    </row>
    <row r="77" spans="1:11" x14ac:dyDescent="0.25">
      <c r="A77" s="57" t="s">
        <v>79</v>
      </c>
      <c r="B77" s="57" t="s">
        <v>176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4">CONCATENATE(,B77," ",C77)</f>
        <v>FEBBRAIO 2026</v>
      </c>
      <c r="F77" s="57" t="str">
        <f t="shared" ref="F77" si="115">CONCATENATE(D77," ",E77)</f>
        <v>2 FEBBRAIO 2026</v>
      </c>
      <c r="G77" s="59">
        <v>7.9</v>
      </c>
      <c r="H77" s="1338" t="s">
        <v>81</v>
      </c>
      <c r="I77" s="960"/>
      <c r="J77" s="59"/>
      <c r="K77" s="59"/>
    </row>
    <row r="78" spans="1:11" x14ac:dyDescent="0.25">
      <c r="A78" s="57" t="s">
        <v>83</v>
      </c>
      <c r="B78" s="57" t="s">
        <v>176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6">CONCATENATE(,B78," ",C78)</f>
        <v>FEBBRAIO 2026</v>
      </c>
      <c r="F78" s="57" t="str">
        <f t="shared" ref="F78" si="117">CONCATENATE(D78," ",E78)</f>
        <v>2 FEBBRAIO 2026</v>
      </c>
      <c r="G78" s="59">
        <v>5.57</v>
      </c>
      <c r="H78" s="1338" t="s">
        <v>77</v>
      </c>
      <c r="I78" s="960"/>
      <c r="J78" s="59"/>
      <c r="K78" s="59"/>
    </row>
    <row r="79" spans="1:11" x14ac:dyDescent="0.25">
      <c r="A79" s="57" t="s">
        <v>341</v>
      </c>
      <c r="B79" s="57" t="s">
        <v>176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8">CONCATENATE(,B79," ",C79)</f>
        <v>FEBBRAIO 2026</v>
      </c>
      <c r="F79" s="57" t="str">
        <f t="shared" ref="F79" si="119">CONCATENATE(D79," ",E79)</f>
        <v>2 FEBBRAIO 2026</v>
      </c>
      <c r="G79" s="59">
        <v>0.79</v>
      </c>
      <c r="H79" s="1338" t="s">
        <v>91</v>
      </c>
      <c r="I79" s="960"/>
      <c r="J79" s="59" t="s">
        <v>768</v>
      </c>
      <c r="K79" s="59"/>
    </row>
    <row r="80" spans="1:11" x14ac:dyDescent="0.25">
      <c r="A80" s="57" t="s">
        <v>108</v>
      </c>
      <c r="B80" s="57" t="s">
        <v>176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:E81" si="120">CONCATENATE(,B80," ",C80)</f>
        <v>FEBBRAIO 2026</v>
      </c>
      <c r="F80" s="57" t="str">
        <f t="shared" ref="F80:F81" si="121">CONCATENATE(D80," ",E80)</f>
        <v>2 FEBBRAIO 2026</v>
      </c>
      <c r="G80" s="59">
        <v>15.99</v>
      </c>
      <c r="H80" s="1338" t="s">
        <v>75</v>
      </c>
      <c r="I80" s="960"/>
      <c r="J80" s="59"/>
      <c r="K80" s="59"/>
    </row>
    <row r="81" spans="1:11" x14ac:dyDescent="0.25">
      <c r="A81" s="57" t="s">
        <v>1186</v>
      </c>
      <c r="B81" s="57" t="s">
        <v>176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si="120"/>
        <v>FEBBRAIO 2026</v>
      </c>
      <c r="F81" s="57" t="str">
        <f t="shared" si="121"/>
        <v>2 FEBBRAIO 2026</v>
      </c>
      <c r="G81" s="59">
        <v>68.92</v>
      </c>
      <c r="H81" s="1338" t="s">
        <v>75</v>
      </c>
      <c r="I81" s="960" t="s">
        <v>993</v>
      </c>
      <c r="J81" s="59" t="s">
        <v>768</v>
      </c>
      <c r="K81" s="59" t="s">
        <v>1188</v>
      </c>
    </row>
    <row r="82" spans="1:11" x14ac:dyDescent="0.25">
      <c r="A82" s="57" t="s">
        <v>1186</v>
      </c>
      <c r="B82" s="57" t="s">
        <v>176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22">CONCATENATE(,B82," ",C82)</f>
        <v>FEBBRAIO 2026</v>
      </c>
      <c r="F82" s="57" t="str">
        <f t="shared" ref="F82" si="123">CONCATENATE(D82," ",E82)</f>
        <v>2 FEBBRAIO 2026</v>
      </c>
      <c r="G82" s="59">
        <v>65.59</v>
      </c>
      <c r="H82" s="1338" t="s">
        <v>75</v>
      </c>
      <c r="I82" s="960"/>
      <c r="J82" s="59" t="s">
        <v>768</v>
      </c>
      <c r="K82" s="59" t="s">
        <v>1190</v>
      </c>
    </row>
    <row r="83" spans="1:11" x14ac:dyDescent="0.25">
      <c r="A83" s="57" t="s">
        <v>1185</v>
      </c>
      <c r="B83" s="57" t="s">
        <v>176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4">CONCATENATE(,B83," ",C83)</f>
        <v>FEBBRAIO 2026</v>
      </c>
      <c r="F83" s="57" t="str">
        <f t="shared" ref="F83" si="125">CONCATENATE(D83," ",E83)</f>
        <v>2 FEBBRAIO 2026</v>
      </c>
      <c r="G83" s="59">
        <v>62.5</v>
      </c>
      <c r="H83" s="1338" t="s">
        <v>69</v>
      </c>
      <c r="I83" s="57"/>
      <c r="J83" s="57"/>
      <c r="K83" s="59"/>
    </row>
    <row r="84" spans="1:11" x14ac:dyDescent="0.25">
      <c r="A84" s="57" t="s">
        <v>73</v>
      </c>
      <c r="B84" s="57" t="s">
        <v>176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26">CONCATENATE(,B84," ",C84)</f>
        <v>FEBBRAIO 2026</v>
      </c>
      <c r="F84" s="57" t="str">
        <f t="shared" ref="F84" si="127">CONCATENATE(D84," ",E84)</f>
        <v>2 FEBBRAIO 2026</v>
      </c>
      <c r="G84" s="59">
        <v>10</v>
      </c>
      <c r="H84" s="1338" t="s">
        <v>74</v>
      </c>
      <c r="I84" s="960"/>
      <c r="J84" s="59"/>
      <c r="K84" s="59"/>
    </row>
    <row r="85" spans="1:11" x14ac:dyDescent="0.25">
      <c r="A85" s="57" t="s">
        <v>1184</v>
      </c>
      <c r="B85" s="57" t="s">
        <v>176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28">CONCATENATE(,B85," ",C85)</f>
        <v>FEBBRAIO 2026</v>
      </c>
      <c r="F85" s="57" t="str">
        <f t="shared" ref="F85" si="129">CONCATENATE(D85," ",E85)</f>
        <v>2 FEBBRAIO 2026</v>
      </c>
      <c r="G85" s="59">
        <v>40</v>
      </c>
      <c r="H85" s="1338" t="s">
        <v>69</v>
      </c>
      <c r="I85" s="57"/>
      <c r="J85" s="57"/>
      <c r="K85" s="59"/>
    </row>
    <row r="86" spans="1:11" x14ac:dyDescent="0.25">
      <c r="A86" s="57" t="s">
        <v>67</v>
      </c>
      <c r="B86" s="57" t="s">
        <v>176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0">CONCATENATE(,B86," ",C86)</f>
        <v>FEBBRAIO 2026</v>
      </c>
      <c r="F86" s="57" t="str">
        <f t="shared" ref="F86" si="131">CONCATENATE(D86," ",E86)</f>
        <v>2 FEBBRAIO 2026</v>
      </c>
      <c r="G86" s="59">
        <v>7</v>
      </c>
      <c r="H86" s="1338" t="s">
        <v>776</v>
      </c>
      <c r="I86" s="57"/>
      <c r="J86" s="57"/>
      <c r="K86" s="59"/>
    </row>
    <row r="87" spans="1:11" x14ac:dyDescent="0.25">
      <c r="A87" s="57" t="s">
        <v>341</v>
      </c>
      <c r="B87" s="57" t="s">
        <v>176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2">CONCATENATE(,B87," ",C87)</f>
        <v>FEBBRAIO 2026</v>
      </c>
      <c r="F87" s="57" t="str">
        <f t="shared" ref="F87" si="133">CONCATENATE(D87," ",E87)</f>
        <v>2 FEBBRAIO 2026</v>
      </c>
      <c r="G87" s="59">
        <v>0.73</v>
      </c>
      <c r="H87" s="1338" t="s">
        <v>91</v>
      </c>
      <c r="I87" s="960"/>
      <c r="J87" s="59" t="s">
        <v>768</v>
      </c>
      <c r="K87" s="59"/>
    </row>
    <row r="88" spans="1:11" x14ac:dyDescent="0.25">
      <c r="A88" s="57" t="s">
        <v>108</v>
      </c>
      <c r="B88" s="57" t="s">
        <v>176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4">CONCATENATE(,B88," ",C88)</f>
        <v>FEBBRAIO 2026</v>
      </c>
      <c r="F88" s="57" t="str">
        <f t="shared" ref="F88" si="135">CONCATENATE(D88," ",E88)</f>
        <v>2 FEBBRAIO 2026</v>
      </c>
      <c r="G88" s="59">
        <v>10.44</v>
      </c>
      <c r="H88" s="1338" t="s">
        <v>75</v>
      </c>
      <c r="I88" s="960"/>
      <c r="J88" s="59"/>
      <c r="K88" s="59"/>
    </row>
    <row r="89" spans="1:11" x14ac:dyDescent="0.25">
      <c r="A89" s="57" t="s">
        <v>173</v>
      </c>
      <c r="B89" s="57" t="s">
        <v>176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6">CONCATENATE(,B89," ",C89)</f>
        <v>FEBBRAIO 2026</v>
      </c>
      <c r="F89" s="57" t="str">
        <f t="shared" ref="F89" si="137">CONCATENATE(D89," ",E89)</f>
        <v>2 FEBBRAIO 2026</v>
      </c>
      <c r="G89" s="59">
        <v>22</v>
      </c>
      <c r="H89" s="1338" t="s">
        <v>1137</v>
      </c>
      <c r="I89" s="960"/>
      <c r="J89" s="59" t="s">
        <v>173</v>
      </c>
      <c r="K89" s="59" t="s">
        <v>1179</v>
      </c>
    </row>
    <row r="90" spans="1:11" x14ac:dyDescent="0.25">
      <c r="A90" s="57" t="s">
        <v>79</v>
      </c>
      <c r="B90" s="57" t="s">
        <v>176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38">CONCATENATE(,B90," ",C90)</f>
        <v>FEBBRAIO 2026</v>
      </c>
      <c r="F90" s="57" t="str">
        <f t="shared" ref="F90" si="139">CONCATENATE(D90," ",E90)</f>
        <v>2 FEBBRAIO 2026</v>
      </c>
      <c r="G90" s="59">
        <v>18.14</v>
      </c>
      <c r="H90" s="1338" t="s">
        <v>81</v>
      </c>
      <c r="I90" s="960"/>
      <c r="J90" s="59"/>
      <c r="K90" s="59"/>
    </row>
    <row r="91" spans="1:11" x14ac:dyDescent="0.25">
      <c r="A91" s="57" t="s">
        <v>122</v>
      </c>
      <c r="B91" s="57" t="s">
        <v>176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0">CONCATENATE(,B91," ",C91)</f>
        <v>FEBBRAIO 2026</v>
      </c>
      <c r="F91" s="57" t="str">
        <f t="shared" ref="F91" si="141">CONCATENATE(D91," ",E91)</f>
        <v>2 FEBBRAIO 2026</v>
      </c>
      <c r="G91" s="59">
        <v>5.63</v>
      </c>
      <c r="H91" s="1338" t="s">
        <v>77</v>
      </c>
      <c r="I91" s="960"/>
      <c r="J91" s="59"/>
      <c r="K91" s="59"/>
    </row>
    <row r="92" spans="1:11" x14ac:dyDescent="0.25">
      <c r="A92" s="57" t="s">
        <v>83</v>
      </c>
      <c r="B92" s="57" t="s">
        <v>176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2">CONCATENATE(,B92," ",C92)</f>
        <v>FEBBRAIO 2026</v>
      </c>
      <c r="F92" s="57" t="str">
        <f t="shared" ref="F92" si="143">CONCATENATE(D92," ",E92)</f>
        <v>2 FEBBRAIO 2026</v>
      </c>
      <c r="G92" s="59">
        <v>24.38</v>
      </c>
      <c r="H92" s="1338" t="s">
        <v>77</v>
      </c>
      <c r="I92" s="960"/>
      <c r="J92" s="59"/>
      <c r="K92" s="59"/>
    </row>
    <row r="93" spans="1:11" x14ac:dyDescent="0.25">
      <c r="A93" s="57" t="s">
        <v>341</v>
      </c>
      <c r="B93" s="57" t="s">
        <v>176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4">CONCATENATE(,B93," ",C93)</f>
        <v>FEBBRAIO 2026</v>
      </c>
      <c r="F93" s="57" t="str">
        <f t="shared" ref="F93" si="145">CONCATENATE(D93," ",E93)</f>
        <v>2 FEBBRAIO 2026</v>
      </c>
      <c r="G93" s="59">
        <v>0.98</v>
      </c>
      <c r="H93" s="1338" t="s">
        <v>91</v>
      </c>
      <c r="I93" s="960"/>
      <c r="J93" s="59" t="s">
        <v>768</v>
      </c>
      <c r="K93" s="59"/>
    </row>
    <row r="94" spans="1:11" x14ac:dyDescent="0.25">
      <c r="A94" s="57" t="s">
        <v>341</v>
      </c>
      <c r="B94" s="57" t="s">
        <v>176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46">CONCATENATE(,B94," ",C94)</f>
        <v>FEBBRAIO 2026</v>
      </c>
      <c r="F94" s="57" t="str">
        <f t="shared" ref="F94" si="147">CONCATENATE(D94," ",E94)</f>
        <v>2 FEBBRAIO 2026</v>
      </c>
      <c r="G94" s="59">
        <v>0.8</v>
      </c>
      <c r="H94" s="1338" t="s">
        <v>91</v>
      </c>
      <c r="I94" s="960"/>
      <c r="J94" s="59" t="s">
        <v>768</v>
      </c>
      <c r="K94" s="59"/>
    </row>
    <row r="95" spans="1:11" x14ac:dyDescent="0.25">
      <c r="A95" s="57" t="s">
        <v>1005</v>
      </c>
      <c r="B95" s="57" t="s">
        <v>176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" si="148">CONCATENATE(,B95," ",C95)</f>
        <v>FEBBRAIO 2026</v>
      </c>
      <c r="F95" s="57" t="str">
        <f t="shared" ref="F95" si="149">CONCATENATE(D95," ",E95)</f>
        <v>2 FEBBRAIO 2026</v>
      </c>
      <c r="G95" s="59">
        <v>22</v>
      </c>
      <c r="H95" s="1338" t="s">
        <v>77</v>
      </c>
      <c r="I95" s="960"/>
      <c r="J95" s="59" t="s">
        <v>768</v>
      </c>
      <c r="K95" s="59" t="s">
        <v>1004</v>
      </c>
    </row>
    <row r="96" spans="1:11" x14ac:dyDescent="0.25">
      <c r="A96" s="57" t="s">
        <v>108</v>
      </c>
      <c r="B96" s="57" t="s">
        <v>176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ref="E96" si="150">CONCATENATE(,B96," ",C96)</f>
        <v>FEBBRAIO 2026</v>
      </c>
      <c r="F96" s="57" t="str">
        <f t="shared" ref="F96" si="151">CONCATENATE(D96," ",E96)</f>
        <v>2 FEBBRAIO 2026</v>
      </c>
      <c r="G96" s="59">
        <f>178.99/5</f>
        <v>35.798000000000002</v>
      </c>
      <c r="H96" s="1338" t="s">
        <v>75</v>
      </c>
      <c r="I96" s="960" t="s">
        <v>1027</v>
      </c>
      <c r="J96" s="59" t="s">
        <v>108</v>
      </c>
      <c r="K96" s="59" t="s">
        <v>1182</v>
      </c>
    </row>
    <row r="97" spans="1:11" x14ac:dyDescent="0.25">
      <c r="A97" s="57" t="s">
        <v>1181</v>
      </c>
      <c r="B97" s="57" t="s">
        <v>176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52">CONCATENATE(,B97," ",C97)</f>
        <v>FEBBRAIO 2026</v>
      </c>
      <c r="F97" s="57" t="str">
        <f t="shared" ref="F97" si="153">CONCATENATE(D97," ",E97)</f>
        <v>2 FEBBRAIO 2026</v>
      </c>
      <c r="G97" s="59">
        <v>63</v>
      </c>
      <c r="H97" s="1338" t="s">
        <v>69</v>
      </c>
      <c r="I97" s="57"/>
      <c r="J97" s="57"/>
      <c r="K97" s="59"/>
    </row>
    <row r="98" spans="1:11" x14ac:dyDescent="0.25">
      <c r="A98" s="57" t="s">
        <v>1180</v>
      </c>
      <c r="B98" s="57" t="s">
        <v>176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" si="154">CONCATENATE(,B98," ",C98)</f>
        <v>FEBBRAIO 2026</v>
      </c>
      <c r="F98" s="57" t="str">
        <f t="shared" ref="F98" si="155">CONCATENATE(D98," ",E98)</f>
        <v>2 FEBBRAIO 2026</v>
      </c>
      <c r="G98" s="59">
        <v>21</v>
      </c>
      <c r="H98" s="1338" t="s">
        <v>69</v>
      </c>
      <c r="I98" s="57"/>
      <c r="J98" s="57"/>
      <c r="K98" s="59"/>
    </row>
    <row r="99" spans="1:11" x14ac:dyDescent="0.25">
      <c r="A99" s="57" t="s">
        <v>67</v>
      </c>
      <c r="B99" s="57" t="s">
        <v>176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ref="E99" si="156">CONCATENATE(,B99," ",C99)</f>
        <v>FEBBRAIO 2026</v>
      </c>
      <c r="F99" s="57" t="str">
        <f t="shared" ref="F99" si="157">CONCATENATE(D99," ",E99)</f>
        <v>2 FEBBRAIO 2026</v>
      </c>
      <c r="G99" s="59">
        <v>17.5</v>
      </c>
      <c r="H99" s="1338" t="s">
        <v>69</v>
      </c>
      <c r="I99" s="57"/>
      <c r="J99" s="57"/>
      <c r="K99" s="59"/>
    </row>
    <row r="100" spans="1:11" x14ac:dyDescent="0.25">
      <c r="A100" s="57" t="s">
        <v>341</v>
      </c>
      <c r="B100" s="57" t="s">
        <v>176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" si="158">CONCATENATE(,B100," ",C100)</f>
        <v>FEBBRAIO 2026</v>
      </c>
      <c r="F100" s="57" t="str">
        <f t="shared" ref="F100" si="159">CONCATENATE(D100," ",E100)</f>
        <v>2 FEBBRAIO 2026</v>
      </c>
      <c r="G100" s="59">
        <v>0.84</v>
      </c>
      <c r="H100" s="1338" t="s">
        <v>91</v>
      </c>
      <c r="I100" s="960"/>
      <c r="J100" s="59" t="s">
        <v>768</v>
      </c>
      <c r="K100" s="59"/>
    </row>
    <row r="101" spans="1:11" x14ac:dyDescent="0.25">
      <c r="A101" s="57" t="s">
        <v>341</v>
      </c>
      <c r="B101" s="57" t="s">
        <v>176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ref="E101" si="160">CONCATENATE(,B101," ",C101)</f>
        <v>FEBBRAIO 2026</v>
      </c>
      <c r="F101" s="57" t="str">
        <f t="shared" ref="F101" si="161">CONCATENATE(D101," ",E101)</f>
        <v>2 FEBBRAIO 2026</v>
      </c>
      <c r="G101" s="59">
        <v>0.95</v>
      </c>
      <c r="H101" s="1338" t="s">
        <v>91</v>
      </c>
      <c r="I101" s="960"/>
      <c r="J101" s="59" t="s">
        <v>768</v>
      </c>
      <c r="K101" s="59"/>
    </row>
    <row r="102" spans="1:11" x14ac:dyDescent="0.25">
      <c r="A102" s="57" t="s">
        <v>173</v>
      </c>
      <c r="B102" s="57" t="s">
        <v>176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62">CONCATENATE(,B102," ",C102)</f>
        <v>FEBBRAIO 2026</v>
      </c>
      <c r="F102" s="57" t="str">
        <f t="shared" ref="F102" si="163">CONCATENATE(D102," ",E102)</f>
        <v>2 FEBBRAIO 2026</v>
      </c>
      <c r="G102" s="59">
        <v>20</v>
      </c>
      <c r="H102" s="1338" t="s">
        <v>1137</v>
      </c>
      <c r="I102" s="960"/>
      <c r="J102" s="59" t="s">
        <v>173</v>
      </c>
      <c r="K102" s="59" t="s">
        <v>1179</v>
      </c>
    </row>
    <row r="103" spans="1:11" x14ac:dyDescent="0.25">
      <c r="A103" s="57" t="s">
        <v>1175</v>
      </c>
      <c r="B103" s="57" t="s">
        <v>176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64">CONCATENATE(,B103," ",C103)</f>
        <v>FEBBRAIO 2026</v>
      </c>
      <c r="F103" s="57" t="str">
        <f t="shared" ref="F103" si="165">CONCATENATE(D103," ",E103)</f>
        <v>2 FEBBRAIO 2026</v>
      </c>
      <c r="G103" s="59">
        <v>1.5</v>
      </c>
      <c r="H103" s="1338" t="s">
        <v>777</v>
      </c>
      <c r="I103" s="960"/>
      <c r="J103" s="59"/>
      <c r="K103" s="59"/>
    </row>
    <row r="104" spans="1:11" x14ac:dyDescent="0.25">
      <c r="A104" s="57" t="s">
        <v>1175</v>
      </c>
      <c r="B104" s="57" t="s">
        <v>176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:E105" si="166">CONCATENATE(,B104," ",C104)</f>
        <v>FEBBRAIO 2026</v>
      </c>
      <c r="F104" s="57" t="str">
        <f t="shared" ref="F104:F105" si="167">CONCATENATE(D104," ",E104)</f>
        <v>2 FEBBRAIO 2026</v>
      </c>
      <c r="G104" s="59">
        <v>0.8</v>
      </c>
      <c r="H104" s="1338" t="s">
        <v>777</v>
      </c>
      <c r="I104" s="960"/>
      <c r="J104" s="59"/>
      <c r="K104" s="59"/>
    </row>
    <row r="105" spans="1:11" x14ac:dyDescent="0.25">
      <c r="A105" s="57" t="s">
        <v>1175</v>
      </c>
      <c r="B105" s="57" t="s">
        <v>176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si="166"/>
        <v>FEBBRAIO 2026</v>
      </c>
      <c r="F105" s="57" t="str">
        <f t="shared" si="167"/>
        <v>2 FEBBRAIO 2026</v>
      </c>
      <c r="G105" s="59">
        <v>0.8</v>
      </c>
      <c r="H105" s="1338" t="s">
        <v>777</v>
      </c>
      <c r="I105" s="960"/>
      <c r="J105" s="59"/>
      <c r="K105" s="59"/>
    </row>
    <row r="106" spans="1:11" x14ac:dyDescent="0.25">
      <c r="A106" s="57" t="s">
        <v>1175</v>
      </c>
      <c r="B106" s="57" t="s">
        <v>176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8">CONCATENATE(,B106," ",C106)</f>
        <v>FEBBRAIO 2026</v>
      </c>
      <c r="F106" s="57" t="str">
        <f t="shared" ref="F106" si="169">CONCATENATE(D106," ",E106)</f>
        <v>2 FEBBRAIO 2026</v>
      </c>
      <c r="G106" s="59">
        <v>1.5</v>
      </c>
      <c r="H106" s="1338" t="s">
        <v>777</v>
      </c>
      <c r="I106" s="960"/>
      <c r="J106" s="59"/>
      <c r="K106" s="59"/>
    </row>
    <row r="107" spans="1:11" x14ac:dyDescent="0.25">
      <c r="A107" s="57" t="s">
        <v>1175</v>
      </c>
      <c r="B107" s="57" t="s">
        <v>176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:E108" si="170">CONCATENATE(,B107," ",C107)</f>
        <v>FEBBRAIO 2026</v>
      </c>
      <c r="F107" s="57" t="str">
        <f t="shared" ref="F107:F108" si="171">CONCATENATE(D107," ",E107)</f>
        <v>2 FEBBRAIO 2026</v>
      </c>
      <c r="G107" s="59">
        <v>0.8</v>
      </c>
      <c r="H107" s="1338" t="s">
        <v>777</v>
      </c>
      <c r="I107" s="960"/>
      <c r="J107" s="59"/>
      <c r="K107" s="59"/>
    </row>
    <row r="108" spans="1:11" x14ac:dyDescent="0.25">
      <c r="A108" s="57" t="s">
        <v>1175</v>
      </c>
      <c r="B108" s="57" t="s">
        <v>176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si="170"/>
        <v>FEBBRAIO 2026</v>
      </c>
      <c r="F108" s="57" t="str">
        <f t="shared" si="171"/>
        <v>2 FEBBRAIO 2026</v>
      </c>
      <c r="G108" s="59">
        <v>0.8</v>
      </c>
      <c r="H108" s="1338" t="s">
        <v>777</v>
      </c>
      <c r="I108" s="960"/>
      <c r="J108" s="59"/>
      <c r="K108" s="59"/>
    </row>
    <row r="109" spans="1:11" x14ac:dyDescent="0.25">
      <c r="A109" s="57" t="s">
        <v>1175</v>
      </c>
      <c r="B109" s="57" t="s">
        <v>176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:E110" si="172">CONCATENATE(,B109," ",C109)</f>
        <v>FEBBRAIO 2026</v>
      </c>
      <c r="F109" s="57" t="str">
        <f t="shared" ref="F109:F110" si="173">CONCATENATE(D109," ",E109)</f>
        <v>2 FEBBRAIO 2026</v>
      </c>
      <c r="G109" s="59">
        <v>1.3</v>
      </c>
      <c r="H109" s="1338" t="s">
        <v>777</v>
      </c>
      <c r="I109" s="960"/>
      <c r="J109" s="59"/>
      <c r="K109" s="59"/>
    </row>
    <row r="110" spans="1:11" x14ac:dyDescent="0.25">
      <c r="A110" s="57" t="s">
        <v>1175</v>
      </c>
      <c r="B110" s="57" t="s">
        <v>176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si="172"/>
        <v>FEBBRAIO 2026</v>
      </c>
      <c r="F110" s="57" t="str">
        <f t="shared" si="173"/>
        <v>2 FEBBRAIO 2026</v>
      </c>
      <c r="G110" s="59">
        <v>1</v>
      </c>
      <c r="H110" s="1338" t="s">
        <v>777</v>
      </c>
      <c r="I110" s="960"/>
      <c r="J110" s="59"/>
      <c r="K110" s="59"/>
    </row>
    <row r="111" spans="1:11" x14ac:dyDescent="0.25">
      <c r="A111" s="57" t="s">
        <v>121</v>
      </c>
      <c r="B111" s="57" t="s">
        <v>176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" si="174">CONCATENATE(,B111," ",C111)</f>
        <v>FEBBRAIO 2026</v>
      </c>
      <c r="F111" s="57" t="str">
        <f t="shared" ref="F111" si="175">CONCATENATE(D111," ",E111)</f>
        <v>2 FEBBRAIO 2026</v>
      </c>
      <c r="G111" s="59">
        <v>0.4</v>
      </c>
      <c r="H111" s="1338" t="s">
        <v>777</v>
      </c>
      <c r="I111" s="960"/>
      <c r="J111" s="59"/>
      <c r="K111" s="59"/>
    </row>
    <row r="112" spans="1:11" x14ac:dyDescent="0.25">
      <c r="A112" s="57" t="s">
        <v>341</v>
      </c>
      <c r="B112" s="57" t="s">
        <v>176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ref="E112" si="176">CONCATENATE(,B112," ",C112)</f>
        <v>FEBBRAIO 2026</v>
      </c>
      <c r="F112" s="57" t="str">
        <f t="shared" ref="F112" si="177">CONCATENATE(D112," ",E112)</f>
        <v>2 FEBBRAIO 2026</v>
      </c>
      <c r="G112" s="59">
        <v>0.66</v>
      </c>
      <c r="H112" s="1338" t="s">
        <v>91</v>
      </c>
      <c r="I112" s="960"/>
      <c r="J112" s="59" t="s">
        <v>768</v>
      </c>
      <c r="K112" s="59"/>
    </row>
    <row r="113" spans="1:11" x14ac:dyDescent="0.25">
      <c r="A113" s="57" t="s">
        <v>83</v>
      </c>
      <c r="B113" s="57" t="s">
        <v>176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8">CONCATENATE(,B113," ",C113)</f>
        <v>FEBBRAIO 2026</v>
      </c>
      <c r="F113" s="57" t="str">
        <f t="shared" ref="F113" si="179">CONCATENATE(D113," ",E113)</f>
        <v>2 FEBBRAIO 2026</v>
      </c>
      <c r="G113" s="59">
        <v>13.92</v>
      </c>
      <c r="H113" s="1338" t="s">
        <v>77</v>
      </c>
      <c r="I113" s="960"/>
      <c r="J113" s="59"/>
      <c r="K113" s="59"/>
    </row>
    <row r="114" spans="1:11" x14ac:dyDescent="0.25">
      <c r="A114" s="57" t="s">
        <v>108</v>
      </c>
      <c r="B114" s="57" t="s">
        <v>176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0">CONCATENATE(,B114," ",C114)</f>
        <v>FEBBRAIO 2026</v>
      </c>
      <c r="F114" s="57" t="str">
        <f t="shared" ref="F114" si="181">CONCATENATE(D114," ",E114)</f>
        <v>2 FEBBRAIO 2026</v>
      </c>
      <c r="G114" s="59">
        <v>149.99</v>
      </c>
      <c r="H114" s="1338" t="s">
        <v>75</v>
      </c>
      <c r="I114" s="960"/>
      <c r="J114" s="59"/>
      <c r="K114" s="59"/>
    </row>
    <row r="115" spans="1:11" x14ac:dyDescent="0.25">
      <c r="A115" s="57" t="s">
        <v>341</v>
      </c>
      <c r="B115" s="57" t="s">
        <v>176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59">
        <v>2.2200000000000002</v>
      </c>
      <c r="H115" s="1338" t="s">
        <v>91</v>
      </c>
      <c r="I115" s="960"/>
      <c r="J115" s="59" t="s">
        <v>768</v>
      </c>
      <c r="K115" s="59"/>
    </row>
    <row r="116" spans="1:11" x14ac:dyDescent="0.25">
      <c r="A116" s="57" t="s">
        <v>341</v>
      </c>
      <c r="B116" s="57" t="s">
        <v>176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59">
        <v>0.17</v>
      </c>
      <c r="H116" s="1338" t="s">
        <v>91</v>
      </c>
      <c r="I116" s="960"/>
      <c r="J116" s="59" t="s">
        <v>768</v>
      </c>
      <c r="K116" s="59"/>
    </row>
    <row r="117" spans="1:11" x14ac:dyDescent="0.25">
      <c r="A117" s="57" t="s">
        <v>122</v>
      </c>
      <c r="B117" s="57" t="s">
        <v>176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59">
        <v>4.8600000000000003</v>
      </c>
      <c r="H117" s="1338" t="s">
        <v>77</v>
      </c>
      <c r="I117" s="960"/>
      <c r="J117" s="59"/>
      <c r="K117" s="59"/>
    </row>
    <row r="118" spans="1:11" x14ac:dyDescent="0.25">
      <c r="A118" s="57" t="s">
        <v>76</v>
      </c>
      <c r="B118" s="57" t="s">
        <v>176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" si="188">CONCATENATE(,B118," ",C118)</f>
        <v>FEBBRAIO 2026</v>
      </c>
      <c r="F118" s="57" t="str">
        <f t="shared" ref="F118" si="189">CONCATENATE(D118," ",E118)</f>
        <v>2 FEBBRAIO 2026</v>
      </c>
      <c r="G118" s="59">
        <v>21</v>
      </c>
      <c r="H118" s="1338" t="s">
        <v>77</v>
      </c>
      <c r="I118" s="960"/>
      <c r="J118" s="59"/>
      <c r="K118" s="59"/>
    </row>
    <row r="119" spans="1:11" x14ac:dyDescent="0.25">
      <c r="A119" s="57" t="s">
        <v>67</v>
      </c>
      <c r="B119" s="57" t="s">
        <v>176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ref="E119" si="190">CONCATENATE(,B119," ",C119)</f>
        <v>FEBBRAIO 2026</v>
      </c>
      <c r="F119" s="57" t="str">
        <f t="shared" ref="F119" si="191">CONCATENATE(D119," ",E119)</f>
        <v>2 FEBBRAIO 2026</v>
      </c>
      <c r="G119" s="59">
        <v>7</v>
      </c>
      <c r="H119" s="1338" t="s">
        <v>776</v>
      </c>
      <c r="I119" s="57"/>
      <c r="J119" s="57"/>
      <c r="K119" s="59"/>
    </row>
    <row r="120" spans="1:11" x14ac:dyDescent="0.25">
      <c r="A120" s="57" t="s">
        <v>173</v>
      </c>
      <c r="B120" s="57" t="s">
        <v>176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:E121" si="192">CONCATENATE(,B120," ",C120)</f>
        <v>FEBBRAIO 2026</v>
      </c>
      <c r="F120" s="57" t="str">
        <f t="shared" ref="F120:F121" si="193">CONCATENATE(D120," ",E120)</f>
        <v>2 FEBBRAIO 2026</v>
      </c>
      <c r="G120" s="59">
        <v>30</v>
      </c>
      <c r="H120" s="1338" t="s">
        <v>1137</v>
      </c>
      <c r="I120" s="960"/>
      <c r="J120" s="59" t="s">
        <v>173</v>
      </c>
      <c r="K120" s="59" t="s">
        <v>1126</v>
      </c>
    </row>
    <row r="121" spans="1:11" x14ac:dyDescent="0.25">
      <c r="A121" s="57" t="s">
        <v>173</v>
      </c>
      <c r="B121" s="57" t="s">
        <v>176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si="192"/>
        <v>FEBBRAIO 2026</v>
      </c>
      <c r="F121" s="57" t="str">
        <f t="shared" si="193"/>
        <v>2 FEBBRAIO 2026</v>
      </c>
      <c r="G121" s="59">
        <v>2.2799999999999998</v>
      </c>
      <c r="H121" s="1338" t="s">
        <v>166</v>
      </c>
      <c r="I121" s="960"/>
      <c r="J121" s="59" t="s">
        <v>173</v>
      </c>
      <c r="K121" s="59" t="s">
        <v>1126</v>
      </c>
    </row>
    <row r="122" spans="1:11" x14ac:dyDescent="0.25">
      <c r="A122" s="57" t="s">
        <v>173</v>
      </c>
      <c r="B122" s="57" t="s">
        <v>176</v>
      </c>
      <c r="C122" s="57">
        <v>2026</v>
      </c>
      <c r="D122" s="58">
        <f>MATCH(B122,{"GENNAIO","FEBBRAIO","MARZO","APRILE","MAGGIO","GIUGNO","LUGLIO","AGOSTO","SETTEMBRE","OTTOBRE","NOVEMBRE","DICEMBRE"},0)</f>
        <v>2</v>
      </c>
      <c r="E122" s="57" t="str">
        <f t="shared" ref="E122" si="194">CONCATENATE(,B122," ",C122)</f>
        <v>FEBBRAIO 2026</v>
      </c>
      <c r="F122" s="57" t="str">
        <f t="shared" ref="F122" si="195">CONCATENATE(D122," ",E122)</f>
        <v>2 FEBBRAIO 2026</v>
      </c>
      <c r="G122" s="59">
        <v>130.06</v>
      </c>
      <c r="H122" s="1338" t="s">
        <v>1137</v>
      </c>
      <c r="I122" s="960"/>
      <c r="J122" s="59" t="s">
        <v>173</v>
      </c>
      <c r="K122" s="59" t="s">
        <v>1126</v>
      </c>
    </row>
    <row r="123" spans="1:11" x14ac:dyDescent="0.25">
      <c r="A123" s="57" t="s">
        <v>341</v>
      </c>
      <c r="B123" s="57" t="s">
        <v>176</v>
      </c>
      <c r="C123" s="57">
        <v>2026</v>
      </c>
      <c r="D123" s="58">
        <f>MATCH(B123,{"GENNAIO","FEBBRAIO","MARZO","APRILE","MAGGIO","GIUGNO","LUGLIO","AGOSTO","SETTEMBRE","OTTOBRE","NOVEMBRE","DICEMBRE"},0)</f>
        <v>2</v>
      </c>
      <c r="E123" s="57" t="str">
        <f t="shared" ref="E123" si="196">CONCATENATE(,B123," ",C123)</f>
        <v>FEBBRAIO 2026</v>
      </c>
      <c r="F123" s="57" t="str">
        <f t="shared" ref="F123" si="197">CONCATENATE(D123," ",E123)</f>
        <v>2 FEBBRAIO 2026</v>
      </c>
      <c r="G123" s="59">
        <v>0.85</v>
      </c>
      <c r="H123" s="1338" t="s">
        <v>91</v>
      </c>
      <c r="I123" s="960"/>
      <c r="J123" s="59" t="s">
        <v>768</v>
      </c>
      <c r="K123" s="59"/>
    </row>
    <row r="124" spans="1:11" x14ac:dyDescent="0.25">
      <c r="A124" s="57" t="s">
        <v>1176</v>
      </c>
      <c r="B124" s="57" t="s">
        <v>176</v>
      </c>
      <c r="C124" s="57">
        <v>2026</v>
      </c>
      <c r="D124" s="58">
        <f>MATCH(B124,{"GENNAIO","FEBBRAIO","MARZO","APRILE","MAGGIO","GIUGNO","LUGLIO","AGOSTO","SETTEMBRE","OTTOBRE","NOVEMBRE","DICEMBRE"},0)</f>
        <v>2</v>
      </c>
      <c r="E124" s="57" t="str">
        <f t="shared" ref="E124" si="198">CONCATENATE(,B124," ",C124)</f>
        <v>FEBBRAIO 2026</v>
      </c>
      <c r="F124" s="57" t="str">
        <f t="shared" ref="F124" si="199">CONCATENATE(D124," ",E124)</f>
        <v>2 FEBBRAIO 2026</v>
      </c>
      <c r="G124" s="59">
        <v>10</v>
      </c>
      <c r="H124" s="1338" t="s">
        <v>69</v>
      </c>
      <c r="I124" s="960"/>
      <c r="J124" s="59"/>
      <c r="K124" s="59"/>
    </row>
    <row r="125" spans="1:11" x14ac:dyDescent="0.25">
      <c r="A125" s="57" t="s">
        <v>1175</v>
      </c>
      <c r="B125" s="57" t="s">
        <v>176</v>
      </c>
      <c r="C125" s="57">
        <v>2026</v>
      </c>
      <c r="D125" s="58">
        <f>MATCH(B125,{"GENNAIO","FEBBRAIO","MARZO","APRILE","MAGGIO","GIUGNO","LUGLIO","AGOSTO","SETTEMBRE","OTTOBRE","NOVEMBRE","DICEMBRE"},0)</f>
        <v>2</v>
      </c>
      <c r="E125" s="57" t="str">
        <f t="shared" ref="E125" si="200">CONCATENATE(,B125," ",C125)</f>
        <v>FEBBRAIO 2026</v>
      </c>
      <c r="F125" s="57" t="str">
        <f t="shared" ref="F125" si="201">CONCATENATE(D125," ",E125)</f>
        <v>2 FEBBRAIO 2026</v>
      </c>
      <c r="G125" s="59">
        <v>1</v>
      </c>
      <c r="H125" s="1338" t="s">
        <v>777</v>
      </c>
      <c r="I125" s="960"/>
      <c r="J125" s="59"/>
      <c r="K125" s="59"/>
    </row>
    <row r="126" spans="1:11" x14ac:dyDescent="0.25">
      <c r="A126" s="57" t="s">
        <v>1175</v>
      </c>
      <c r="B126" s="57" t="s">
        <v>176</v>
      </c>
      <c r="C126" s="57">
        <v>2026</v>
      </c>
      <c r="D126" s="58">
        <f>MATCH(B126,{"GENNAIO","FEBBRAIO","MARZO","APRILE","MAGGIO","GIUGNO","LUGLIO","AGOSTO","SETTEMBRE","OTTOBRE","NOVEMBRE","DICEMBRE"},0)</f>
        <v>2</v>
      </c>
      <c r="E126" s="57" t="str">
        <f t="shared" ref="E126" si="202">CONCATENATE(,B126," ",C126)</f>
        <v>FEBBRAIO 2026</v>
      </c>
      <c r="F126" s="57" t="str">
        <f t="shared" ref="F126" si="203">CONCATENATE(D126," ",E126)</f>
        <v>2 FEBBRAIO 2026</v>
      </c>
      <c r="G126" s="59">
        <v>1</v>
      </c>
      <c r="H126" s="1338" t="s">
        <v>777</v>
      </c>
      <c r="I126" s="960"/>
      <c r="J126" s="59"/>
      <c r="K126" s="59"/>
    </row>
    <row r="127" spans="1:11" x14ac:dyDescent="0.25">
      <c r="A127" s="57" t="s">
        <v>113</v>
      </c>
      <c r="B127" s="57" t="s">
        <v>176</v>
      </c>
      <c r="C127" s="57">
        <v>2026</v>
      </c>
      <c r="D127" s="58">
        <f>MATCH(B127,{"GENNAIO","FEBBRAIO","MARZO","APRILE","MAGGIO","GIUGNO","LUGLIO","AGOSTO","SETTEMBRE","OTTOBRE","NOVEMBRE","DICEMBRE"},0)</f>
        <v>2</v>
      </c>
      <c r="E127" s="57" t="str">
        <f t="shared" ref="E127:E128" si="204">CONCATENATE(,B127," ",C127)</f>
        <v>FEBBRAIO 2026</v>
      </c>
      <c r="F127" s="57" t="str">
        <f t="shared" ref="F127:F128" si="205">CONCATENATE(D127," ",E127)</f>
        <v>2 FEBBRAIO 2026</v>
      </c>
      <c r="G127" s="59">
        <v>33</v>
      </c>
      <c r="H127" s="1338" t="s">
        <v>114</v>
      </c>
      <c r="I127" s="960"/>
      <c r="J127" s="59"/>
      <c r="K127" s="59"/>
    </row>
    <row r="128" spans="1:11" x14ac:dyDescent="0.25">
      <c r="A128" s="57" t="s">
        <v>67</v>
      </c>
      <c r="B128" s="57" t="s">
        <v>176</v>
      </c>
      <c r="C128" s="57">
        <v>2026</v>
      </c>
      <c r="D128" s="58">
        <f>MATCH(B128,{"GENNAIO","FEBBRAIO","MARZO","APRILE","MAGGIO","GIUGNO","LUGLIO","AGOSTO","SETTEMBRE","OTTOBRE","NOVEMBRE","DICEMBRE"},0)</f>
        <v>2</v>
      </c>
      <c r="E128" s="57" t="str">
        <f t="shared" si="204"/>
        <v>FEBBRAIO 2026</v>
      </c>
      <c r="F128" s="57" t="str">
        <f t="shared" si="205"/>
        <v>2 FEBBRAIO 2026</v>
      </c>
      <c r="G128" s="59">
        <v>7</v>
      </c>
      <c r="H128" s="1338" t="s">
        <v>776</v>
      </c>
      <c r="I128" s="57"/>
      <c r="J128" s="57"/>
      <c r="K128" s="59"/>
    </row>
    <row r="129" spans="1:11" x14ac:dyDescent="0.25">
      <c r="A129" s="57" t="s">
        <v>108</v>
      </c>
      <c r="B129" s="57" t="s">
        <v>176</v>
      </c>
      <c r="C129" s="57">
        <v>2026</v>
      </c>
      <c r="D129" s="58">
        <f>MATCH(B129,{"GENNAIO","FEBBRAIO","MARZO","APRILE","MAGGIO","GIUGNO","LUGLIO","AGOSTO","SETTEMBRE","OTTOBRE","NOVEMBRE","DICEMBRE"},0)</f>
        <v>2</v>
      </c>
      <c r="E129" s="57" t="str">
        <f t="shared" ref="E129" si="206">CONCATENATE(,B129," ",C129)</f>
        <v>FEBBRAIO 2026</v>
      </c>
      <c r="F129" s="57" t="str">
        <f t="shared" ref="F129" si="207">CONCATENATE(D129," ",E129)</f>
        <v>2 FEBBRAIO 2026</v>
      </c>
      <c r="G129" s="59">
        <v>38.799999999999997</v>
      </c>
      <c r="H129" s="1338" t="s">
        <v>75</v>
      </c>
      <c r="I129" s="960" t="s">
        <v>1027</v>
      </c>
      <c r="J129" s="59" t="s">
        <v>108</v>
      </c>
      <c r="K129" s="59" t="s">
        <v>1174</v>
      </c>
    </row>
    <row r="130" spans="1:11" x14ac:dyDescent="0.25">
      <c r="A130" s="57" t="s">
        <v>108</v>
      </c>
      <c r="B130" s="57" t="s">
        <v>176</v>
      </c>
      <c r="C130" s="57">
        <v>2026</v>
      </c>
      <c r="D130" s="58">
        <f>MATCH(B130,{"GENNAIO","FEBBRAIO","MARZO","APRILE","MAGGIO","GIUGNO","LUGLIO","AGOSTO","SETTEMBRE","OTTOBRE","NOVEMBRE","DICEMBRE"},0)</f>
        <v>2</v>
      </c>
      <c r="E130" s="57" t="str">
        <f t="shared" ref="E130" si="208">CONCATENATE(,B130," ",C130)</f>
        <v>FEBBRAIO 2026</v>
      </c>
      <c r="F130" s="57" t="str">
        <f t="shared" ref="F130" si="209">CONCATENATE(D130," ",E130)</f>
        <v>2 FEBBRAIO 2026</v>
      </c>
      <c r="G130" s="59">
        <v>94.8</v>
      </c>
      <c r="H130" s="1338" t="s">
        <v>75</v>
      </c>
      <c r="I130" s="960" t="s">
        <v>1045</v>
      </c>
      <c r="J130" s="59" t="s">
        <v>108</v>
      </c>
      <c r="K130" s="59" t="s">
        <v>1081</v>
      </c>
    </row>
    <row r="131" spans="1:11" x14ac:dyDescent="0.25">
      <c r="A131" s="57" t="s">
        <v>1173</v>
      </c>
      <c r="B131" s="57" t="s">
        <v>183</v>
      </c>
      <c r="C131" s="57">
        <v>2026</v>
      </c>
      <c r="D131" s="58">
        <f>MATCH(B131,{"GENNAIO","FEBBRAIO","MARZO","APRILE","MAGGIO","GIUGNO","LUGLIO","AGOSTO","SETTEMBRE","OTTOBRE","NOVEMBRE","DICEMBRE"},0)</f>
        <v>1</v>
      </c>
      <c r="E131" s="57" t="str">
        <f t="shared" ref="E131" si="210">CONCATENATE(,B131," ",C131)</f>
        <v>GENNAIO 2026</v>
      </c>
      <c r="F131" s="57" t="str">
        <f t="shared" ref="F131" si="211">CONCATENATE(D131," ",E131)</f>
        <v>1 GENNAIO 2026</v>
      </c>
      <c r="G131" s="59">
        <v>25.82</v>
      </c>
      <c r="H131" s="1338" t="s">
        <v>166</v>
      </c>
      <c r="I131" s="963"/>
      <c r="J131" s="59"/>
      <c r="K131" s="59"/>
    </row>
    <row r="132" spans="1:11" x14ac:dyDescent="0.25">
      <c r="A132" s="57" t="s">
        <v>1171</v>
      </c>
      <c r="B132" s="57" t="s">
        <v>183</v>
      </c>
      <c r="C132" s="57">
        <v>2026</v>
      </c>
      <c r="D132" s="58">
        <f>MATCH(B132,{"GENNAIO","FEBBRAIO","MARZO","APRILE","MAGGIO","GIUGNO","LUGLIO","AGOSTO","SETTEMBRE","OTTOBRE","NOVEMBRE","DICEMBRE"},0)</f>
        <v>1</v>
      </c>
      <c r="E132" s="57" t="str">
        <f t="shared" ref="E132" si="212">CONCATENATE(,B132," ",C132)</f>
        <v>GENNAIO 2026</v>
      </c>
      <c r="F132" s="57" t="str">
        <f t="shared" ref="F132" si="213">CONCATENATE(D132," ",E132)</f>
        <v>1 GENNAIO 2026</v>
      </c>
      <c r="G132" s="59">
        <v>24</v>
      </c>
      <c r="H132" s="1338" t="s">
        <v>69</v>
      </c>
      <c r="I132" s="960"/>
      <c r="J132" s="59"/>
      <c r="K132" s="59"/>
    </row>
    <row r="133" spans="1:11" x14ac:dyDescent="0.25">
      <c r="A133" s="57" t="s">
        <v>164</v>
      </c>
      <c r="B133" s="57" t="s">
        <v>183</v>
      </c>
      <c r="C133" s="57">
        <v>2026</v>
      </c>
      <c r="D133" s="58">
        <f>MATCH(B133,{"GENNAIO","FEBBRAIO","MARZO","APRILE","MAGGIO","GIUGNO","LUGLIO","AGOSTO","SETTEMBRE","OTTOBRE","NOVEMBRE","DICEMBRE"},0)</f>
        <v>1</v>
      </c>
      <c r="E133" s="57" t="str">
        <f t="shared" ref="E133" si="214">CONCATENATE(,B133," ",C133)</f>
        <v>GENNAIO 2026</v>
      </c>
      <c r="F133" s="57" t="str">
        <f t="shared" ref="F133" si="215">CONCATENATE(D133," ",E133)</f>
        <v>1 GENNAIO 2026</v>
      </c>
      <c r="G133" s="59">
        <v>3.65</v>
      </c>
      <c r="H133" s="1338" t="s">
        <v>77</v>
      </c>
      <c r="I133" s="960"/>
      <c r="J133" s="59"/>
      <c r="K133" s="59"/>
    </row>
    <row r="134" spans="1:11" x14ac:dyDescent="0.25">
      <c r="A134" s="57" t="s">
        <v>138</v>
      </c>
      <c r="B134" s="57" t="s">
        <v>183</v>
      </c>
      <c r="C134" s="57">
        <v>2026</v>
      </c>
      <c r="D134" s="58">
        <f>MATCH(B134,{"GENNAIO","FEBBRAIO","MARZO","APRILE","MAGGIO","GIUGNO","LUGLIO","AGOSTO","SETTEMBRE","OTTOBRE","NOVEMBRE","DICEMBRE"},0)</f>
        <v>1</v>
      </c>
      <c r="E134" s="57" t="str">
        <f t="shared" ref="E134" si="216">CONCATENATE(,B134," ",C134)</f>
        <v>GENNAIO 2026</v>
      </c>
      <c r="F134" s="57" t="str">
        <f t="shared" ref="F134" si="217">CONCATENATE(D134," ",E134)</f>
        <v>1 GENNAIO 2026</v>
      </c>
      <c r="G134" s="59">
        <v>15.5</v>
      </c>
      <c r="H134" s="1338" t="s">
        <v>69</v>
      </c>
      <c r="I134" s="960"/>
      <c r="J134" s="59"/>
      <c r="K134" s="59"/>
    </row>
    <row r="135" spans="1:11" x14ac:dyDescent="0.25">
      <c r="A135" s="57" t="s">
        <v>67</v>
      </c>
      <c r="B135" s="57" t="s">
        <v>183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18">CONCATENATE(,B135," ",C135)</f>
        <v>GENNAIO 2026</v>
      </c>
      <c r="F135" s="57" t="str">
        <f t="shared" ref="F135" si="219">CONCATENATE(D135," ",E135)</f>
        <v>1 GENNAIO 2026</v>
      </c>
      <c r="G135" s="59">
        <v>7</v>
      </c>
      <c r="H135" s="1338" t="s">
        <v>776</v>
      </c>
      <c r="I135" s="57"/>
      <c r="J135" s="57"/>
      <c r="K135" s="59"/>
    </row>
    <row r="136" spans="1:11" x14ac:dyDescent="0.25">
      <c r="A136" s="57" t="s">
        <v>122</v>
      </c>
      <c r="B136" s="57" t="s">
        <v>183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0">CONCATENATE(,B136," ",C136)</f>
        <v>GENNAIO 2026</v>
      </c>
      <c r="F136" s="57" t="str">
        <f t="shared" ref="F136" si="221">CONCATENATE(D136," ",E136)</f>
        <v>1 GENNAIO 2026</v>
      </c>
      <c r="G136" s="59">
        <v>5.78</v>
      </c>
      <c r="H136" s="1338" t="s">
        <v>77</v>
      </c>
      <c r="I136" s="960"/>
      <c r="J136" s="59"/>
      <c r="K136" s="59"/>
    </row>
    <row r="137" spans="1:11" x14ac:dyDescent="0.25">
      <c r="A137" s="57" t="s">
        <v>67</v>
      </c>
      <c r="B137" s="57" t="s">
        <v>183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2">CONCATENATE(,B137," ",C137)</f>
        <v>GENNAIO 2026</v>
      </c>
      <c r="F137" s="57" t="str">
        <f t="shared" ref="F137" si="223">CONCATENATE(D137," ",E137)</f>
        <v>1 GENNAIO 2026</v>
      </c>
      <c r="G137" s="59">
        <v>7</v>
      </c>
      <c r="H137" s="1338" t="s">
        <v>776</v>
      </c>
      <c r="I137" s="57"/>
      <c r="J137" s="57"/>
      <c r="K137" s="59"/>
    </row>
    <row r="138" spans="1:11" x14ac:dyDescent="0.25">
      <c r="A138" s="57" t="s">
        <v>108</v>
      </c>
      <c r="B138" s="57" t="s">
        <v>183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:E139" si="224">CONCATENATE(,B138," ",C138)</f>
        <v>GENNAIO 2026</v>
      </c>
      <c r="F138" s="57" t="str">
        <f t="shared" ref="F138:F139" si="225">CONCATENATE(D138," ",E138)</f>
        <v>1 GENNAIO 2026</v>
      </c>
      <c r="G138" s="59">
        <v>17.25</v>
      </c>
      <c r="H138" s="1338" t="s">
        <v>75</v>
      </c>
      <c r="I138" s="960"/>
      <c r="J138" s="59"/>
      <c r="K138" s="59"/>
    </row>
    <row r="139" spans="1:11" x14ac:dyDescent="0.25">
      <c r="A139" s="57" t="s">
        <v>67</v>
      </c>
      <c r="B139" s="57" t="s">
        <v>183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si="224"/>
        <v>GENNAIO 2026</v>
      </c>
      <c r="F139" s="57" t="str">
        <f t="shared" si="225"/>
        <v>1 GENNAIO 2026</v>
      </c>
      <c r="G139" s="59">
        <v>7</v>
      </c>
      <c r="H139" s="1338" t="s">
        <v>776</v>
      </c>
      <c r="I139" s="57"/>
      <c r="J139" s="57"/>
      <c r="K139" s="59"/>
    </row>
    <row r="140" spans="1:11" x14ac:dyDescent="0.25">
      <c r="A140" s="57" t="s">
        <v>173</v>
      </c>
      <c r="B140" s="57" t="s">
        <v>183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" si="226">CONCATENATE(,B140," ",C140)</f>
        <v>GENNAIO 2026</v>
      </c>
      <c r="F140" s="57" t="str">
        <f t="shared" ref="F140" si="227">CONCATENATE(D140," ",E140)</f>
        <v>1 GENNAIO 2026</v>
      </c>
      <c r="G140" s="59">
        <v>50</v>
      </c>
      <c r="H140" s="1338" t="s">
        <v>1137</v>
      </c>
      <c r="I140" s="960"/>
      <c r="J140" s="59" t="s">
        <v>173</v>
      </c>
      <c r="K140" s="59" t="s">
        <v>1167</v>
      </c>
    </row>
    <row r="141" spans="1:11" x14ac:dyDescent="0.25">
      <c r="A141" s="57" t="s">
        <v>83</v>
      </c>
      <c r="B141" s="57" t="s">
        <v>183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ref="E141" si="228">CONCATENATE(,B141," ",C141)</f>
        <v>GENNAIO 2026</v>
      </c>
      <c r="F141" s="57" t="str">
        <f t="shared" ref="F141" si="229">CONCATENATE(D141," ",E141)</f>
        <v>1 GENNAIO 2026</v>
      </c>
      <c r="G141" s="59">
        <v>21.38</v>
      </c>
      <c r="H141" s="1338" t="s">
        <v>77</v>
      </c>
      <c r="I141" s="960"/>
      <c r="J141" s="59"/>
      <c r="K141" s="59"/>
    </row>
    <row r="142" spans="1:11" x14ac:dyDescent="0.25">
      <c r="A142" s="57" t="s">
        <v>138</v>
      </c>
      <c r="B142" s="57" t="s">
        <v>183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ref="E142" si="230">CONCATENATE(,B142," ",C142)</f>
        <v>GENNAIO 2026</v>
      </c>
      <c r="F142" s="57" t="str">
        <f t="shared" ref="F142" si="231">CONCATENATE(D142," ",E142)</f>
        <v>1 GENNAIO 2026</v>
      </c>
      <c r="G142" s="59">
        <v>40</v>
      </c>
      <c r="H142" s="1338" t="s">
        <v>69</v>
      </c>
      <c r="I142" s="960"/>
      <c r="J142" s="59"/>
      <c r="K142" s="59"/>
    </row>
    <row r="143" spans="1:11" x14ac:dyDescent="0.25">
      <c r="A143" s="57" t="s">
        <v>173</v>
      </c>
      <c r="B143" s="57" t="s">
        <v>183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ref="E143" si="232">CONCATENATE(,B143," ",C143)</f>
        <v>GENNAIO 2026</v>
      </c>
      <c r="F143" s="57" t="str">
        <f t="shared" ref="F143" si="233">CONCATENATE(D143," ",E143)</f>
        <v>1 GENNAIO 2026</v>
      </c>
      <c r="G143" s="59">
        <v>50.5</v>
      </c>
      <c r="H143" s="1338" t="s">
        <v>1137</v>
      </c>
      <c r="I143" s="960"/>
      <c r="J143" s="59" t="s">
        <v>173</v>
      </c>
      <c r="K143" s="59" t="s">
        <v>1166</v>
      </c>
    </row>
    <row r="144" spans="1:11" x14ac:dyDescent="0.25">
      <c r="A144" s="57" t="s">
        <v>67</v>
      </c>
      <c r="B144" s="57" t="s">
        <v>183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4">CONCATENATE(,B144," ",C144)</f>
        <v>GENNAIO 2026</v>
      </c>
      <c r="F144" s="57" t="str">
        <f t="shared" ref="F144" si="235">CONCATENATE(D144," ",E144)</f>
        <v>1 GENNAIO 2026</v>
      </c>
      <c r="G144" s="59">
        <v>7</v>
      </c>
      <c r="H144" s="1338" t="s">
        <v>776</v>
      </c>
      <c r="I144" s="960"/>
      <c r="J144" s="59"/>
      <c r="K144" s="59"/>
    </row>
    <row r="145" spans="1:11" x14ac:dyDescent="0.25">
      <c r="A145" s="57" t="s">
        <v>67</v>
      </c>
      <c r="B145" s="57" t="s">
        <v>183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6">CONCATENATE(,B145," ",C145)</f>
        <v>GENNAIO 2026</v>
      </c>
      <c r="F145" s="57" t="str">
        <f t="shared" ref="F145" si="237">CONCATENATE(D145," ",E145)</f>
        <v>1 GENNAIO 2026</v>
      </c>
      <c r="G145" s="59">
        <v>7</v>
      </c>
      <c r="H145" s="1338" t="s">
        <v>776</v>
      </c>
      <c r="I145" s="960"/>
      <c r="J145" s="59"/>
      <c r="K145" s="59"/>
    </row>
    <row r="146" spans="1:11" x14ac:dyDescent="0.25">
      <c r="A146" s="57" t="s">
        <v>122</v>
      </c>
      <c r="B146" s="57" t="s">
        <v>183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8">CONCATENATE(,B146," ",C146)</f>
        <v>GENNAIO 2026</v>
      </c>
      <c r="F146" s="57" t="str">
        <f t="shared" ref="F146" si="239">CONCATENATE(D146," ",E146)</f>
        <v>1 GENNAIO 2026</v>
      </c>
      <c r="G146" s="59">
        <v>3.08</v>
      </c>
      <c r="H146" s="1338" t="s">
        <v>77</v>
      </c>
      <c r="I146" s="960"/>
      <c r="J146" s="59"/>
      <c r="K146" s="59"/>
    </row>
    <row r="147" spans="1:11" x14ac:dyDescent="0.25">
      <c r="A147" s="57" t="s">
        <v>67</v>
      </c>
      <c r="B147" s="57" t="s">
        <v>183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40">CONCATENATE(,B147," ",C147)</f>
        <v>GENNAIO 2026</v>
      </c>
      <c r="F147" s="57" t="str">
        <f t="shared" ref="F147" si="241">CONCATENATE(D147," ",E147)</f>
        <v>1 GENNAIO 2026</v>
      </c>
      <c r="G147" s="59">
        <v>3</v>
      </c>
      <c r="H147" s="1338" t="s">
        <v>69</v>
      </c>
      <c r="I147" s="960"/>
      <c r="J147" s="59"/>
      <c r="K147" s="59"/>
    </row>
    <row r="148" spans="1:11" ht="16.5" customHeight="1" x14ac:dyDescent="0.25">
      <c r="A148" s="57" t="s">
        <v>1005</v>
      </c>
      <c r="B148" s="57" t="s">
        <v>183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2">CONCATENATE(,B148," ",C148)</f>
        <v>GENNAIO 2026</v>
      </c>
      <c r="F148" s="57" t="str">
        <f t="shared" ref="F148" si="243">CONCATENATE(D148," ",E148)</f>
        <v>1 GENNAIO 2026</v>
      </c>
      <c r="G148" s="59">
        <v>22</v>
      </c>
      <c r="H148" s="1338" t="s">
        <v>77</v>
      </c>
      <c r="I148" s="960"/>
      <c r="J148" s="59" t="s">
        <v>768</v>
      </c>
      <c r="K148" s="59" t="s">
        <v>1004</v>
      </c>
    </row>
    <row r="149" spans="1:11" x14ac:dyDescent="0.25">
      <c r="A149" s="57" t="s">
        <v>83</v>
      </c>
      <c r="B149" s="57" t="s">
        <v>183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:E150" si="244">CONCATENATE(,B149," ",C149)</f>
        <v>GENNAIO 2026</v>
      </c>
      <c r="F149" s="57" t="str">
        <f t="shared" ref="F149:F150" si="245">CONCATENATE(D149," ",E149)</f>
        <v>1 GENNAIO 2026</v>
      </c>
      <c r="G149" s="59">
        <v>5.76</v>
      </c>
      <c r="H149" s="1338" t="s">
        <v>77</v>
      </c>
      <c r="I149" s="960"/>
      <c r="J149" s="59"/>
      <c r="K149" s="59"/>
    </row>
    <row r="150" spans="1:11" x14ac:dyDescent="0.25">
      <c r="A150" s="57" t="s">
        <v>246</v>
      </c>
      <c r="B150" s="57" t="s">
        <v>183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44"/>
        <v>GENNAIO 2026</v>
      </c>
      <c r="F150" s="57" t="str">
        <f t="shared" si="245"/>
        <v>1 GENNAIO 2026</v>
      </c>
      <c r="G150" s="59">
        <v>42</v>
      </c>
      <c r="H150" s="1338" t="s">
        <v>69</v>
      </c>
      <c r="I150" s="960"/>
      <c r="J150" s="59"/>
      <c r="K150" s="59"/>
    </row>
    <row r="151" spans="1:11" x14ac:dyDescent="0.25">
      <c r="A151" s="57" t="s">
        <v>73</v>
      </c>
      <c r="B151" s="57" t="s">
        <v>183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6">CONCATENATE(,B151," ",C151)</f>
        <v>GENNAIO 2026</v>
      </c>
      <c r="F151" s="57" t="str">
        <f t="shared" ref="F151" si="247">CONCATENATE(D151," ",E151)</f>
        <v>1 GENNAIO 2026</v>
      </c>
      <c r="G151" s="59">
        <v>12</v>
      </c>
      <c r="H151" s="1338" t="s">
        <v>74</v>
      </c>
      <c r="I151" s="960"/>
      <c r="J151" s="59"/>
      <c r="K151" s="59"/>
    </row>
    <row r="152" spans="1:11" x14ac:dyDescent="0.25">
      <c r="A152" s="57" t="s">
        <v>79</v>
      </c>
      <c r="B152" s="57" t="s">
        <v>183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" si="248">CONCATENATE(,B152," ",C152)</f>
        <v>GENNAIO 2026</v>
      </c>
      <c r="F152" s="57" t="str">
        <f t="shared" ref="F152" si="249">CONCATENATE(D152," ",E152)</f>
        <v>1 GENNAIO 2026</v>
      </c>
      <c r="G152" s="59">
        <v>16.89</v>
      </c>
      <c r="H152" s="1338" t="s">
        <v>81</v>
      </c>
      <c r="I152" s="960"/>
      <c r="J152" s="59"/>
      <c r="K152" s="59"/>
    </row>
    <row r="153" spans="1:11" x14ac:dyDescent="0.25">
      <c r="A153" s="57" t="s">
        <v>76</v>
      </c>
      <c r="B153" s="57" t="s">
        <v>183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" si="250">CONCATENATE(,B153," ",C153)</f>
        <v>GENNAIO 2026</v>
      </c>
      <c r="F153" s="57" t="str">
        <f t="shared" ref="F153" si="251">CONCATENATE(D153," ",E153)</f>
        <v>1 GENNAIO 2026</v>
      </c>
      <c r="G153" s="59">
        <v>12.03</v>
      </c>
      <c r="H153" s="1338" t="s">
        <v>77</v>
      </c>
      <c r="I153" s="960"/>
      <c r="J153" s="59"/>
      <c r="K153" s="59"/>
    </row>
    <row r="154" spans="1:11" x14ac:dyDescent="0.25">
      <c r="A154" s="57" t="s">
        <v>83</v>
      </c>
      <c r="B154" s="57" t="s">
        <v>183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" si="252">CONCATENATE(,B154," ",C154)</f>
        <v>GENNAIO 2026</v>
      </c>
      <c r="F154" s="57" t="str">
        <f t="shared" ref="F154" si="253">CONCATENATE(D154," ",E154)</f>
        <v>1 GENNAIO 2026</v>
      </c>
      <c r="G154" s="59">
        <v>25.6</v>
      </c>
      <c r="H154" s="1338" t="s">
        <v>77</v>
      </c>
      <c r="I154" s="960"/>
      <c r="J154" s="59"/>
      <c r="K154" s="59"/>
    </row>
    <row r="155" spans="1:11" x14ac:dyDescent="0.25">
      <c r="A155" s="57" t="s">
        <v>232</v>
      </c>
      <c r="B155" s="57" t="s">
        <v>183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" si="254">CONCATENATE(,B155," ",C155)</f>
        <v>GENNAIO 2026</v>
      </c>
      <c r="F155" s="57"/>
      <c r="G155" s="59">
        <v>9.6</v>
      </c>
      <c r="H155" s="1338" t="s">
        <v>91</v>
      </c>
      <c r="I155" s="960"/>
      <c r="J155" s="59"/>
      <c r="K155" s="59" t="s">
        <v>1159</v>
      </c>
    </row>
    <row r="156" spans="1:11" x14ac:dyDescent="0.25">
      <c r="A156" s="57" t="s">
        <v>1162</v>
      </c>
      <c r="B156" s="57" t="s">
        <v>183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ref="E156" si="255">CONCATENATE(,B156," ",C156)</f>
        <v>GENNAIO 2026</v>
      </c>
      <c r="F156" s="57" t="str">
        <f t="shared" ref="F156" si="256">CONCATENATE(D156," ",E156)</f>
        <v>1 GENNAIO 2026</v>
      </c>
      <c r="G156" s="59">
        <v>104</v>
      </c>
      <c r="H156" s="1338" t="s">
        <v>70</v>
      </c>
      <c r="I156" s="960"/>
      <c r="J156" s="59"/>
      <c r="K156" s="59" t="s">
        <v>1159</v>
      </c>
    </row>
    <row r="157" spans="1:11" x14ac:dyDescent="0.25">
      <c r="A157" s="57" t="s">
        <v>1161</v>
      </c>
      <c r="B157" s="57" t="s">
        <v>183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7">CONCATENATE(,B157," ",C157)</f>
        <v>GENNAIO 2026</v>
      </c>
      <c r="F157" s="57" t="str">
        <f t="shared" ref="F157" si="258">CONCATENATE(D157," ",E157)</f>
        <v>1 GENNAIO 2026</v>
      </c>
      <c r="G157" s="59">
        <v>64</v>
      </c>
      <c r="H157" s="1338" t="s">
        <v>69</v>
      </c>
      <c r="I157" s="960"/>
      <c r="J157" s="59"/>
      <c r="K157" s="59" t="s">
        <v>1159</v>
      </c>
    </row>
    <row r="158" spans="1:11" x14ac:dyDescent="0.25">
      <c r="A158" s="57" t="s">
        <v>232</v>
      </c>
      <c r="B158" s="57" t="s">
        <v>183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9">CONCATENATE(,B158," ",C158)</f>
        <v>GENNAIO 2026</v>
      </c>
      <c r="F158" s="57"/>
      <c r="G158" s="59">
        <v>12.7</v>
      </c>
      <c r="H158" s="1338" t="s">
        <v>91</v>
      </c>
      <c r="I158" s="960"/>
      <c r="J158" s="59"/>
      <c r="K158" s="59" t="s">
        <v>1159</v>
      </c>
    </row>
    <row r="159" spans="1:11" x14ac:dyDescent="0.25">
      <c r="A159" s="57" t="s">
        <v>1160</v>
      </c>
      <c r="B159" s="57" t="s">
        <v>183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60">CONCATENATE(,B159," ",C159)</f>
        <v>GENNAIO 2026</v>
      </c>
      <c r="F159" s="57" t="str">
        <f t="shared" ref="F159" si="261">CONCATENATE(D159," ",E159)</f>
        <v>1 GENNAIO 2026</v>
      </c>
      <c r="G159" s="59">
        <v>69</v>
      </c>
      <c r="H159" s="1338" t="s">
        <v>69</v>
      </c>
      <c r="I159" s="960"/>
      <c r="J159" s="59"/>
      <c r="K159" s="59" t="s">
        <v>1159</v>
      </c>
    </row>
    <row r="160" spans="1:11" x14ac:dyDescent="0.25">
      <c r="A160" s="57" t="s">
        <v>232</v>
      </c>
      <c r="B160" s="57" t="s">
        <v>183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2">CONCATENATE(,B160," ",C160)</f>
        <v>GENNAIO 2026</v>
      </c>
      <c r="F160" s="57"/>
      <c r="G160" s="59">
        <v>12.1</v>
      </c>
      <c r="H160" s="1338" t="s">
        <v>91</v>
      </c>
      <c r="I160" s="960"/>
      <c r="J160" s="59"/>
      <c r="K160" s="59" t="s">
        <v>1159</v>
      </c>
    </row>
    <row r="161" spans="1:11" x14ac:dyDescent="0.25">
      <c r="A161" s="57" t="s">
        <v>232</v>
      </c>
      <c r="B161" s="57" t="s">
        <v>183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3">CONCATENATE(,B161," ",C161)</f>
        <v>GENNAIO 2026</v>
      </c>
      <c r="F161" s="57"/>
      <c r="G161" s="59">
        <v>12.2</v>
      </c>
      <c r="H161" s="1338" t="s">
        <v>91</v>
      </c>
      <c r="I161" s="960"/>
      <c r="J161" s="59"/>
      <c r="K161" s="59" t="s">
        <v>1159</v>
      </c>
    </row>
    <row r="162" spans="1:11" x14ac:dyDescent="0.25">
      <c r="A162" s="57" t="s">
        <v>115</v>
      </c>
      <c r="B162" s="57" t="s">
        <v>183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4">CONCATENATE(,B162," ",C162)</f>
        <v>GENNAIO 2026</v>
      </c>
      <c r="F162" s="57" t="str">
        <f t="shared" ref="F162" si="265">CONCATENATE(D162," ",E162)</f>
        <v>1 GENNAIO 2026</v>
      </c>
      <c r="G162" s="59">
        <v>7</v>
      </c>
      <c r="H162" s="1338" t="s">
        <v>69</v>
      </c>
      <c r="I162" s="960"/>
      <c r="J162" s="59"/>
      <c r="K162" s="59" t="s">
        <v>1159</v>
      </c>
    </row>
    <row r="163" spans="1:11" x14ac:dyDescent="0.25">
      <c r="A163" s="57" t="s">
        <v>171</v>
      </c>
      <c r="B163" s="57" t="s">
        <v>183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6">CONCATENATE(,B163," ",C163)</f>
        <v>GENNAIO 2026</v>
      </c>
      <c r="F163" s="57" t="str">
        <f t="shared" ref="F163" si="267">CONCATENATE(D163," ",E163)</f>
        <v>1 GENNAIO 2026</v>
      </c>
      <c r="G163" s="59">
        <v>9.25</v>
      </c>
      <c r="H163" s="1338" t="s">
        <v>81</v>
      </c>
      <c r="I163" s="960"/>
      <c r="J163" s="59"/>
      <c r="K163" s="59"/>
    </row>
    <row r="164" spans="1:11" x14ac:dyDescent="0.25">
      <c r="A164" s="57" t="s">
        <v>108</v>
      </c>
      <c r="B164" s="57" t="s">
        <v>183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:E165" si="268">CONCATENATE(,B164," ",C164)</f>
        <v>GENNAIO 2026</v>
      </c>
      <c r="F164" s="57" t="str">
        <f t="shared" ref="F164:F165" si="269">CONCATENATE(D164," ",E164)</f>
        <v>1 GENNAIO 2026</v>
      </c>
      <c r="G164" s="59">
        <v>94.8</v>
      </c>
      <c r="H164" s="1338" t="s">
        <v>75</v>
      </c>
      <c r="I164" s="960" t="s">
        <v>1043</v>
      </c>
      <c r="J164" s="59" t="s">
        <v>108</v>
      </c>
      <c r="K164" s="59" t="s">
        <v>1081</v>
      </c>
    </row>
    <row r="165" spans="1:11" x14ac:dyDescent="0.25">
      <c r="A165" s="57" t="s">
        <v>108</v>
      </c>
      <c r="B165" s="57" t="s">
        <v>183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si="268"/>
        <v>GENNAIO 2026</v>
      </c>
      <c r="F165" s="57" t="str">
        <f t="shared" si="269"/>
        <v>1 GENNAIO 2026</v>
      </c>
      <c r="G165" s="59">
        <v>10.92</v>
      </c>
      <c r="H165" s="1338" t="s">
        <v>75</v>
      </c>
      <c r="I165" s="960" t="s">
        <v>1045</v>
      </c>
      <c r="J165" s="59" t="s">
        <v>108</v>
      </c>
      <c r="K165" s="59" t="s">
        <v>918</v>
      </c>
    </row>
    <row r="166" spans="1:11" x14ac:dyDescent="0.25">
      <c r="A166" s="57" t="s">
        <v>122</v>
      </c>
      <c r="B166" s="57" t="s">
        <v>183</v>
      </c>
      <c r="C166" s="57">
        <v>2026</v>
      </c>
      <c r="D166" s="58">
        <f>MATCH(B166,{"GENNAIO","FEBBRAIO","MARZO","APRILE","MAGGIO","GIUGNO","LUGLIO","AGOSTO","SETTEMBRE","OTTOBRE","NOVEMBRE","DICEMBRE"},0)</f>
        <v>1</v>
      </c>
      <c r="E166" s="57" t="str">
        <f t="shared" ref="E166" si="270">CONCATENATE(,B166," ",C166)</f>
        <v>GENNAIO 2026</v>
      </c>
      <c r="F166" s="57" t="str">
        <f t="shared" ref="F166" si="271">CONCATENATE(D166," ",E166)</f>
        <v>1 GENNAIO 2026</v>
      </c>
      <c r="G166" s="59">
        <v>26.51</v>
      </c>
      <c r="H166" s="1338" t="s">
        <v>77</v>
      </c>
      <c r="I166" s="960"/>
      <c r="J166" s="59"/>
      <c r="K166" s="59" t="s">
        <v>1156</v>
      </c>
    </row>
    <row r="167" spans="1:11" x14ac:dyDescent="0.25">
      <c r="A167" s="57" t="s">
        <v>83</v>
      </c>
      <c r="B167" s="57" t="s">
        <v>183</v>
      </c>
      <c r="C167" s="57">
        <v>2026</v>
      </c>
      <c r="D167" s="58">
        <f>MATCH(B167,{"GENNAIO","FEBBRAIO","MARZO","APRILE","MAGGIO","GIUGNO","LUGLIO","AGOSTO","SETTEMBRE","OTTOBRE","NOVEMBRE","DICEMBRE"},0)</f>
        <v>1</v>
      </c>
      <c r="E167" s="57" t="str">
        <f t="shared" ref="E167" si="272">CONCATENATE(,B167," ",C167)</f>
        <v>GENNAIO 2026</v>
      </c>
      <c r="F167" s="57" t="str">
        <f t="shared" ref="F167" si="273">CONCATENATE(D167," ",E167)</f>
        <v>1 GENNAIO 2026</v>
      </c>
      <c r="G167" s="59">
        <v>28.5</v>
      </c>
      <c r="H167" s="1338" t="s">
        <v>77</v>
      </c>
      <c r="I167" s="960"/>
      <c r="J167" s="59"/>
      <c r="K167" s="59" t="s">
        <v>1156</v>
      </c>
    </row>
    <row r="168" spans="1:11" x14ac:dyDescent="0.25">
      <c r="A168" s="57" t="s">
        <v>154</v>
      </c>
      <c r="B168" s="57" t="s">
        <v>183</v>
      </c>
      <c r="C168" s="57">
        <v>2026</v>
      </c>
      <c r="D168" s="58">
        <f>MATCH(B168,{"GENNAIO","FEBBRAIO","MARZO","APRILE","MAGGIO","GIUGNO","LUGLIO","AGOSTO","SETTEMBRE","OTTOBRE","NOVEMBRE","DICEMBRE"},0)</f>
        <v>1</v>
      </c>
      <c r="E168" s="57" t="str">
        <f t="shared" ref="E168" si="274">CONCATENATE(,B168," ",C168)</f>
        <v>GENNAIO 2026</v>
      </c>
      <c r="F168" s="57" t="str">
        <f t="shared" ref="F168" si="275">CONCATENATE(D168," ",E168)</f>
        <v>1 GENNAIO 2026</v>
      </c>
      <c r="G168" s="59">
        <v>24.4</v>
      </c>
      <c r="H168" s="1338" t="s">
        <v>81</v>
      </c>
      <c r="I168" s="960"/>
      <c r="J168" s="59"/>
      <c r="K168" s="59" t="s">
        <v>1156</v>
      </c>
    </row>
    <row r="169" spans="1:11" x14ac:dyDescent="0.25">
      <c r="A169" s="57" t="s">
        <v>79</v>
      </c>
      <c r="B169" s="57" t="s">
        <v>183</v>
      </c>
      <c r="C169" s="57">
        <v>2026</v>
      </c>
      <c r="D169" s="58">
        <f>MATCH(B169,{"GENNAIO","FEBBRAIO","MARZO","APRILE","MAGGIO","GIUGNO","LUGLIO","AGOSTO","SETTEMBRE","OTTOBRE","NOVEMBRE","DICEMBRE"},0)</f>
        <v>1</v>
      </c>
      <c r="E169" s="57" t="str">
        <f t="shared" ref="E169" si="276">CONCATENATE(,B169," ",C169)</f>
        <v>GENNAIO 2026</v>
      </c>
      <c r="F169" s="57" t="str">
        <f t="shared" ref="F169" si="277">CONCATENATE(D169," ",E169)</f>
        <v>1 GENNAIO 2026</v>
      </c>
      <c r="G169" s="59">
        <v>26.4</v>
      </c>
      <c r="H169" s="1338" t="s">
        <v>81</v>
      </c>
      <c r="I169" s="960"/>
      <c r="J169" s="59"/>
      <c r="K169" s="59"/>
    </row>
    <row r="170" spans="1:11" x14ac:dyDescent="0.25">
      <c r="A170" s="57" t="s">
        <v>171</v>
      </c>
      <c r="B170" s="57" t="s">
        <v>183</v>
      </c>
      <c r="C170" s="57">
        <v>2026</v>
      </c>
      <c r="D170" s="58">
        <f>MATCH(B170,{"GENNAIO","FEBBRAIO","MARZO","APRILE","MAGGIO","GIUGNO","LUGLIO","AGOSTO","SETTEMBRE","OTTOBRE","NOVEMBRE","DICEMBRE"},0)</f>
        <v>1</v>
      </c>
      <c r="E170" s="57" t="str">
        <f t="shared" ref="E170" si="278">CONCATENATE(,B170," ",C170)</f>
        <v>GENNAIO 2026</v>
      </c>
      <c r="F170" s="57" t="str">
        <f t="shared" ref="F170" si="279">CONCATENATE(D170," ",E170)</f>
        <v>1 GENNAIO 2026</v>
      </c>
      <c r="G170" s="59">
        <v>38.1</v>
      </c>
      <c r="H170" s="1338" t="s">
        <v>81</v>
      </c>
      <c r="I170" s="960"/>
      <c r="J170" s="59"/>
      <c r="K170" s="59"/>
    </row>
    <row r="171" spans="1:11" x14ac:dyDescent="0.25">
      <c r="A171" s="57" t="s">
        <v>311</v>
      </c>
      <c r="B171" s="57" t="s">
        <v>183</v>
      </c>
      <c r="C171" s="57">
        <v>2026</v>
      </c>
      <c r="D171" s="58">
        <f>MATCH(B171,{"GENNAIO","FEBBRAIO","MARZO","APRILE","MAGGIO","GIUGNO","LUGLIO","AGOSTO","SETTEMBRE","OTTOBRE","NOVEMBRE","DICEMBRE"},0)</f>
        <v>1</v>
      </c>
      <c r="E171" s="57" t="str">
        <f t="shared" ref="E171" si="280">CONCATENATE(,B171," ",C171)</f>
        <v>GENNAIO 2026</v>
      </c>
      <c r="F171" s="57" t="str">
        <f t="shared" ref="F171" si="281">CONCATENATE(D171," ",E171)</f>
        <v>1 GENNAIO 2026</v>
      </c>
      <c r="G171" s="59">
        <v>19.8</v>
      </c>
      <c r="H171" s="1338" t="s">
        <v>81</v>
      </c>
      <c r="I171" s="960"/>
      <c r="J171" s="59"/>
      <c r="K171" s="59"/>
    </row>
    <row r="172" spans="1:11" x14ac:dyDescent="0.25">
      <c r="A172" s="57" t="s">
        <v>171</v>
      </c>
      <c r="B172" s="57" t="s">
        <v>183</v>
      </c>
      <c r="C172" s="57">
        <v>2026</v>
      </c>
      <c r="D172" s="58">
        <f>MATCH(B172,{"GENNAIO","FEBBRAIO","MARZO","APRILE","MAGGIO","GIUGNO","LUGLIO","AGOSTO","SETTEMBRE","OTTOBRE","NOVEMBRE","DICEMBRE"},0)</f>
        <v>1</v>
      </c>
      <c r="E172" s="57" t="str">
        <f t="shared" ref="E172" si="282">CONCATENATE(,B172," ",C172)</f>
        <v>GENNAIO 2026</v>
      </c>
      <c r="F172" s="57" t="str">
        <f t="shared" ref="F172" si="283">CONCATENATE(D172," ",E172)</f>
        <v>1 GENNAIO 2026</v>
      </c>
      <c r="G172" s="59">
        <v>45.65</v>
      </c>
      <c r="H172" s="1338" t="s">
        <v>81</v>
      </c>
      <c r="I172" s="960"/>
      <c r="J172" s="59"/>
      <c r="K172" s="59"/>
    </row>
    <row r="173" spans="1:11" x14ac:dyDescent="0.25">
      <c r="A173" s="57" t="s">
        <v>1155</v>
      </c>
      <c r="B173" s="57" t="s">
        <v>183</v>
      </c>
      <c r="C173" s="57">
        <v>2026</v>
      </c>
      <c r="D173" s="58">
        <f>MATCH(B173,{"GENNAIO","FEBBRAIO","MARZO","APRILE","MAGGIO","GIUGNO","LUGLIO","AGOSTO","SETTEMBRE","OTTOBRE","NOVEMBRE","DICEMBRE"},0)</f>
        <v>1</v>
      </c>
      <c r="E173" s="57" t="str">
        <f t="shared" ref="E173" si="284">CONCATENATE(,B173," ",C173)</f>
        <v>GENNAIO 2026</v>
      </c>
      <c r="F173" s="57" t="str">
        <f t="shared" ref="F173" si="285">CONCATENATE(D173," ",E173)</f>
        <v>1 GENNAIO 2026</v>
      </c>
      <c r="G173" s="59">
        <v>33.5</v>
      </c>
      <c r="H173" s="1338" t="s">
        <v>69</v>
      </c>
      <c r="I173" s="960"/>
      <c r="J173" s="59"/>
      <c r="K173" s="59"/>
    </row>
    <row r="174" spans="1:11" x14ac:dyDescent="0.25">
      <c r="A174" s="57" t="s">
        <v>73</v>
      </c>
      <c r="B174" s="57" t="s">
        <v>183</v>
      </c>
      <c r="C174" s="57">
        <v>2026</v>
      </c>
      <c r="D174" s="58">
        <f>MATCH(B174,{"GENNAIO","FEBBRAIO","MARZO","APRILE","MAGGIO","GIUGNO","LUGLIO","AGOSTO","SETTEMBRE","OTTOBRE","NOVEMBRE","DICEMBRE"},0)</f>
        <v>1</v>
      </c>
      <c r="E174" s="57" t="str">
        <f t="shared" ref="E174" si="286">CONCATENATE(,B174," ",C174)</f>
        <v>GENNAIO 2026</v>
      </c>
      <c r="F174" s="57" t="str">
        <f t="shared" ref="F174" si="287">CONCATENATE(D174," ",E174)</f>
        <v>1 GENNAIO 2026</v>
      </c>
      <c r="G174" s="59">
        <v>13</v>
      </c>
      <c r="H174" s="1338" t="s">
        <v>74</v>
      </c>
      <c r="I174" s="960"/>
      <c r="J174" s="59"/>
      <c r="K174" s="59"/>
    </row>
    <row r="175" spans="1:11" x14ac:dyDescent="0.25">
      <c r="A175" s="57" t="s">
        <v>67</v>
      </c>
      <c r="B175" s="57" t="s">
        <v>188</v>
      </c>
      <c r="C175" s="57">
        <v>2025</v>
      </c>
      <c r="D175" s="58">
        <f>MATCH(B175,{"GENNAIO","FEBBRAIO","MARZO","APRILE","MAGGIO","GIUGNO","LUGLIO","AGOSTO","SETTEMBRE","OTTOBRE","NOVEMBRE","DICEMBRE"},0)</f>
        <v>12</v>
      </c>
      <c r="E175" s="57" t="str">
        <f t="shared" ref="E175" si="288">CONCATENATE(,B175," ",C175)</f>
        <v>DICEMBRE 2025</v>
      </c>
      <c r="F175" s="57" t="str">
        <f t="shared" ref="F175" si="289">CONCATENATE(D175," ",E175)</f>
        <v>12 DICEMBRE 2025</v>
      </c>
      <c r="G175" s="59">
        <v>7</v>
      </c>
      <c r="H175" s="1338" t="s">
        <v>776</v>
      </c>
      <c r="I175" s="960"/>
      <c r="J175" s="59"/>
      <c r="K175" s="59"/>
    </row>
    <row r="176" spans="1:11" x14ac:dyDescent="0.25">
      <c r="A176" s="57" t="s">
        <v>108</v>
      </c>
      <c r="B176" s="57" t="s">
        <v>188</v>
      </c>
      <c r="C176" s="57">
        <v>2025</v>
      </c>
      <c r="D176" s="58">
        <f>MATCH(B176,{"GENNAIO","FEBBRAIO","MARZO","APRILE","MAGGIO","GIUGNO","LUGLIO","AGOSTO","SETTEMBRE","OTTOBRE","NOVEMBRE","DICEMBRE"},0)</f>
        <v>12</v>
      </c>
      <c r="E176" s="57" t="str">
        <f t="shared" ref="E176" si="290">CONCATENATE(,B176," ",C176)</f>
        <v>DICEMBRE 2025</v>
      </c>
      <c r="F176" s="57" t="str">
        <f t="shared" ref="F176" si="291">CONCATENATE(D176," ",E176)</f>
        <v>12 DICEMBRE 2025</v>
      </c>
      <c r="G176" s="59">
        <v>58.49</v>
      </c>
      <c r="H176" s="1338" t="s">
        <v>75</v>
      </c>
      <c r="I176" s="960"/>
      <c r="J176" s="59"/>
      <c r="K176" s="59" t="s">
        <v>1153</v>
      </c>
    </row>
    <row r="177" spans="1:11" x14ac:dyDescent="0.25">
      <c r="A177" s="57" t="s">
        <v>108</v>
      </c>
      <c r="B177" s="57" t="s">
        <v>188</v>
      </c>
      <c r="C177" s="57">
        <v>2025</v>
      </c>
      <c r="D177" s="58">
        <f>MATCH(B177,{"GENNAIO","FEBBRAIO","MARZO","APRILE","MAGGIO","GIUGNO","LUGLIO","AGOSTO","SETTEMBRE","OTTOBRE","NOVEMBRE","DICEMBRE"},0)</f>
        <v>12</v>
      </c>
      <c r="E177" s="57" t="str">
        <f t="shared" ref="E177" si="292">CONCATENATE(,B177," ",C177)</f>
        <v>DICEMBRE 2025</v>
      </c>
      <c r="F177" s="57" t="str">
        <f t="shared" ref="F177" si="293">CONCATENATE(D177," ",E177)</f>
        <v>12 DICEMBRE 2025</v>
      </c>
      <c r="G177" s="59">
        <v>34.5</v>
      </c>
      <c r="H177" s="1338" t="s">
        <v>75</v>
      </c>
      <c r="I177" s="960"/>
      <c r="J177" s="59"/>
      <c r="K177" s="59" t="s">
        <v>1134</v>
      </c>
    </row>
    <row r="178" spans="1:11" x14ac:dyDescent="0.25">
      <c r="A178" s="57" t="s">
        <v>197</v>
      </c>
      <c r="B178" s="57" t="s">
        <v>188</v>
      </c>
      <c r="C178" s="57">
        <v>2025</v>
      </c>
      <c r="D178" s="58">
        <f>MATCH(B178,{"GENNAIO","FEBBRAIO","MARZO","APRILE","MAGGIO","GIUGNO","LUGLIO","AGOSTO","SETTEMBRE","OTTOBRE","NOVEMBRE","DICEMBRE"},0)</f>
        <v>12</v>
      </c>
      <c r="E178" s="57" t="str">
        <f t="shared" ref="E178" si="294">CONCATENATE(,B178," ",C178)</f>
        <v>DICEMBRE 2025</v>
      </c>
      <c r="F178" s="57" t="str">
        <f t="shared" ref="F178" si="295">CONCATENATE(D178," ",E178)</f>
        <v>12 DICEMBRE 2025</v>
      </c>
      <c r="G178" s="59">
        <v>24.14</v>
      </c>
      <c r="H178" s="1338" t="s">
        <v>77</v>
      </c>
      <c r="I178" s="960"/>
      <c r="J178" s="59"/>
      <c r="K178" s="59" t="s">
        <v>1138</v>
      </c>
    </row>
    <row r="179" spans="1:11" x14ac:dyDescent="0.25">
      <c r="A179" s="57" t="s">
        <v>1152</v>
      </c>
      <c r="B179" s="57" t="s">
        <v>188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" si="296">CONCATENATE(,B179," ",C179)</f>
        <v>DICEMBRE 2025</v>
      </c>
      <c r="F179" s="57" t="str">
        <f t="shared" ref="F179" si="297">CONCATENATE(D179," ",E179)</f>
        <v>12 DICEMBRE 2025</v>
      </c>
      <c r="G179" s="59">
        <v>22.6</v>
      </c>
      <c r="H179" s="1338" t="s">
        <v>69</v>
      </c>
      <c r="I179" s="960"/>
      <c r="J179" s="59"/>
      <c r="K179" s="59"/>
    </row>
    <row r="180" spans="1:11" x14ac:dyDescent="0.25">
      <c r="A180" s="57" t="s">
        <v>138</v>
      </c>
      <c r="B180" s="57" t="s">
        <v>188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ref="E180:E181" si="298">CONCATENATE(,B180," ",C180)</f>
        <v>DICEMBRE 2025</v>
      </c>
      <c r="F180" s="57" t="str">
        <f t="shared" ref="F180:F181" si="299">CONCATENATE(D180," ",E180)</f>
        <v>12 DICEMBRE 2025</v>
      </c>
      <c r="G180" s="59">
        <v>22</v>
      </c>
      <c r="H180" s="1338" t="s">
        <v>69</v>
      </c>
      <c r="I180" s="960"/>
      <c r="J180" s="59"/>
      <c r="K180" s="59"/>
    </row>
    <row r="181" spans="1:11" x14ac:dyDescent="0.25">
      <c r="A181" s="57" t="s">
        <v>67</v>
      </c>
      <c r="B181" s="57" t="s">
        <v>188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si="298"/>
        <v>DICEMBRE 2025</v>
      </c>
      <c r="F181" s="57" t="str">
        <f t="shared" si="299"/>
        <v>12 DICEMBRE 2025</v>
      </c>
      <c r="G181" s="59">
        <v>7</v>
      </c>
      <c r="H181" s="1338" t="s">
        <v>776</v>
      </c>
      <c r="I181" s="960"/>
      <c r="J181" s="59"/>
      <c r="K181" s="59"/>
    </row>
    <row r="182" spans="1:11" x14ac:dyDescent="0.25">
      <c r="A182" s="57" t="s">
        <v>67</v>
      </c>
      <c r="B182" s="57" t="s">
        <v>188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ref="E182:E185" si="300">CONCATENATE(,B182," ",C182)</f>
        <v>DICEMBRE 2025</v>
      </c>
      <c r="F182" s="57" t="str">
        <f t="shared" ref="F182:F185" si="301">CONCATENATE(D182," ",E182)</f>
        <v>12 DICEMBRE 2025</v>
      </c>
      <c r="G182" s="59">
        <v>9</v>
      </c>
      <c r="H182" s="1338" t="s">
        <v>776</v>
      </c>
      <c r="I182" s="960"/>
      <c r="J182" s="59"/>
      <c r="K182" s="59"/>
    </row>
    <row r="183" spans="1:11" x14ac:dyDescent="0.25">
      <c r="A183" s="57" t="s">
        <v>121</v>
      </c>
      <c r="B183" s="57" t="s">
        <v>188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si="300"/>
        <v>DICEMBRE 2025</v>
      </c>
      <c r="F183" s="57" t="str">
        <f t="shared" si="301"/>
        <v>12 DICEMBRE 2025</v>
      </c>
      <c r="G183" s="59">
        <v>0.4</v>
      </c>
      <c r="H183" s="1338" t="s">
        <v>777</v>
      </c>
      <c r="I183" s="960"/>
      <c r="J183" s="59"/>
      <c r="K183" s="59"/>
    </row>
    <row r="184" spans="1:11" x14ac:dyDescent="0.25">
      <c r="A184" s="57" t="s">
        <v>121</v>
      </c>
      <c r="B184" s="57" t="s">
        <v>188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ref="E184" si="302">CONCATENATE(,B184," ",C184)</f>
        <v>DICEMBRE 2025</v>
      </c>
      <c r="F184" s="57" t="str">
        <f t="shared" ref="F184" si="303">CONCATENATE(D184," ",E184)</f>
        <v>12 DICEMBRE 2025</v>
      </c>
      <c r="G184" s="59">
        <v>0.4</v>
      </c>
      <c r="H184" s="1338" t="s">
        <v>777</v>
      </c>
      <c r="I184" s="960"/>
      <c r="J184" s="59"/>
      <c r="K184" s="59"/>
    </row>
    <row r="185" spans="1:11" x14ac:dyDescent="0.25">
      <c r="A185" s="57" t="s">
        <v>121</v>
      </c>
      <c r="B185" s="57" t="s">
        <v>188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300"/>
        <v>DICEMBRE 2025</v>
      </c>
      <c r="F185" s="57" t="str">
        <f t="shared" si="301"/>
        <v>12 DICEMBRE 2025</v>
      </c>
      <c r="G185" s="59">
        <v>0.4</v>
      </c>
      <c r="H185" s="1338" t="s">
        <v>777</v>
      </c>
      <c r="I185" s="960"/>
      <c r="J185" s="59"/>
      <c r="K185" s="59"/>
    </row>
    <row r="186" spans="1:11" x14ac:dyDescent="0.25">
      <c r="A186" s="57" t="s">
        <v>121</v>
      </c>
      <c r="B186" s="57" t="s">
        <v>188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ref="E186:E187" si="304">CONCATENATE(,B186," ",C186)</f>
        <v>DICEMBRE 2025</v>
      </c>
      <c r="F186" s="57" t="str">
        <f t="shared" ref="F186:F187" si="305">CONCATENATE(D186," ",E186)</f>
        <v>12 DICEMBRE 2025</v>
      </c>
      <c r="G186" s="59">
        <v>0.4</v>
      </c>
      <c r="H186" s="1338" t="s">
        <v>777</v>
      </c>
      <c r="I186" s="960"/>
      <c r="J186" s="59"/>
      <c r="K186" s="59"/>
    </row>
    <row r="187" spans="1:11" x14ac:dyDescent="0.25">
      <c r="A187" s="57" t="s">
        <v>121</v>
      </c>
      <c r="B187" s="57" t="s">
        <v>188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si="304"/>
        <v>DICEMBRE 2025</v>
      </c>
      <c r="F187" s="57" t="str">
        <f t="shared" si="305"/>
        <v>12 DICEMBRE 2025</v>
      </c>
      <c r="G187" s="59">
        <v>0.4</v>
      </c>
      <c r="H187" s="1338" t="s">
        <v>777</v>
      </c>
      <c r="I187" s="960"/>
      <c r="J187" s="59"/>
      <c r="K187" s="59"/>
    </row>
    <row r="188" spans="1:11" x14ac:dyDescent="0.25">
      <c r="A188" s="57" t="s">
        <v>1149</v>
      </c>
      <c r="B188" s="57" t="s">
        <v>188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ref="E188" si="306">CONCATENATE(,B188," ",C188)</f>
        <v>DICEMBRE 2025</v>
      </c>
      <c r="F188" s="57" t="str">
        <f t="shared" ref="F188" si="307">CONCATENATE(D188," ",E188)</f>
        <v>12 DICEMBRE 2025</v>
      </c>
      <c r="G188" s="59">
        <v>40</v>
      </c>
      <c r="H188" s="1338" t="s">
        <v>69</v>
      </c>
      <c r="I188" s="960"/>
      <c r="J188" s="59"/>
      <c r="K188" s="59" t="s">
        <v>1138</v>
      </c>
    </row>
    <row r="189" spans="1:11" x14ac:dyDescent="0.25">
      <c r="A189" s="57" t="s">
        <v>108</v>
      </c>
      <c r="B189" s="57" t="s">
        <v>188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ref="E189" si="308">CONCATENATE(,B189," ",C189)</f>
        <v>DICEMBRE 2025</v>
      </c>
      <c r="F189" s="57" t="str">
        <f t="shared" ref="F189" si="309">CONCATENATE(D189," ",E189)</f>
        <v>12 DICEMBRE 2025</v>
      </c>
      <c r="G189" s="59">
        <v>20.39</v>
      </c>
      <c r="H189" s="1338" t="s">
        <v>75</v>
      </c>
      <c r="I189" s="960"/>
      <c r="J189" s="59"/>
      <c r="K189" s="59"/>
    </row>
    <row r="190" spans="1:11" x14ac:dyDescent="0.25">
      <c r="A190" s="57" t="s">
        <v>108</v>
      </c>
      <c r="B190" s="57" t="s">
        <v>188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ref="E190" si="310">CONCATENATE(,B190," ",C190)</f>
        <v>DICEMBRE 2025</v>
      </c>
      <c r="F190" s="57" t="str">
        <f t="shared" ref="F190" si="311">CONCATENATE(D190," ",E190)</f>
        <v>12 DICEMBRE 2025</v>
      </c>
      <c r="G190" s="59">
        <v>39.58</v>
      </c>
      <c r="H190" s="1338" t="s">
        <v>75</v>
      </c>
      <c r="I190" s="960"/>
      <c r="J190" s="59"/>
      <c r="K190" s="59"/>
    </row>
    <row r="191" spans="1:11" x14ac:dyDescent="0.25">
      <c r="A191" s="57" t="s">
        <v>67</v>
      </c>
      <c r="B191" s="57" t="s">
        <v>188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" si="312">CONCATENATE(,B191," ",C191)</f>
        <v>DICEMBRE 2025</v>
      </c>
      <c r="F191" s="57" t="str">
        <f t="shared" ref="F191" si="313">CONCATENATE(D191," ",E191)</f>
        <v>12 DICEMBRE 2025</v>
      </c>
      <c r="G191" s="59">
        <v>7</v>
      </c>
      <c r="H191" s="1338" t="s">
        <v>776</v>
      </c>
      <c r="I191" s="960"/>
      <c r="J191" s="59"/>
      <c r="K191" s="59"/>
    </row>
    <row r="192" spans="1:11" x14ac:dyDescent="0.25">
      <c r="A192" s="57" t="s">
        <v>1147</v>
      </c>
      <c r="B192" s="57" t="s">
        <v>188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ref="E192:E197" si="314">CONCATENATE(,B192," ",C192)</f>
        <v>DICEMBRE 2025</v>
      </c>
      <c r="F192" s="57" t="str">
        <f t="shared" ref="F192:F197" si="315">CONCATENATE(D192," ",E192)</f>
        <v>12 DICEMBRE 2025</v>
      </c>
      <c r="G192" s="59">
        <v>37</v>
      </c>
      <c r="H192" s="1338" t="s">
        <v>69</v>
      </c>
      <c r="I192" s="960"/>
      <c r="J192" s="59"/>
      <c r="K192" s="59" t="s">
        <v>1138</v>
      </c>
    </row>
    <row r="193" spans="1:11" x14ac:dyDescent="0.25">
      <c r="A193" s="57" t="s">
        <v>1129</v>
      </c>
      <c r="B193" s="57" t="s">
        <v>188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314"/>
        <v>DICEMBRE 2025</v>
      </c>
      <c r="F193" s="57" t="str">
        <f t="shared" si="315"/>
        <v>12 DICEMBRE 2025</v>
      </c>
      <c r="G193" s="59">
        <v>36.4</v>
      </c>
      <c r="H193" s="1338" t="s">
        <v>69</v>
      </c>
      <c r="I193" s="960"/>
      <c r="J193" s="59"/>
      <c r="K193" s="59"/>
    </row>
    <row r="194" spans="1:11" x14ac:dyDescent="0.25">
      <c r="A194" s="57" t="s">
        <v>899</v>
      </c>
      <c r="B194" s="57" t="s">
        <v>188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314"/>
        <v>DICEMBRE 2025</v>
      </c>
      <c r="F194" s="57" t="str">
        <f t="shared" si="315"/>
        <v>12 DICEMBRE 2025</v>
      </c>
      <c r="G194" s="59">
        <v>15.74</v>
      </c>
      <c r="H194" s="1338" t="s">
        <v>91</v>
      </c>
      <c r="I194" s="960"/>
      <c r="J194" s="59"/>
      <c r="K194" s="59" t="s">
        <v>1128</v>
      </c>
    </row>
    <row r="195" spans="1:11" x14ac:dyDescent="0.25">
      <c r="A195" s="57" t="s">
        <v>1146</v>
      </c>
      <c r="B195" s="57" t="s">
        <v>188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14"/>
        <v>DICEMBRE 2025</v>
      </c>
      <c r="F195" s="57" t="str">
        <f t="shared" si="315"/>
        <v>12 DICEMBRE 2025</v>
      </c>
      <c r="G195" s="59">
        <v>33.9</v>
      </c>
      <c r="H195" s="1338" t="s">
        <v>69</v>
      </c>
      <c r="I195" s="960"/>
      <c r="J195" s="59"/>
      <c r="K195" s="59" t="s">
        <v>1128</v>
      </c>
    </row>
    <row r="196" spans="1:11" x14ac:dyDescent="0.25">
      <c r="A196" s="57" t="s">
        <v>1145</v>
      </c>
      <c r="B196" s="57" t="s">
        <v>188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14"/>
        <v>DICEMBRE 2025</v>
      </c>
      <c r="F196" s="57" t="str">
        <f t="shared" si="315"/>
        <v>12 DICEMBRE 2025</v>
      </c>
      <c r="G196" s="59">
        <v>21</v>
      </c>
      <c r="H196" s="1338" t="s">
        <v>93</v>
      </c>
      <c r="I196" s="960"/>
      <c r="J196" s="59"/>
      <c r="K196" s="59" t="s">
        <v>1148</v>
      </c>
    </row>
    <row r="197" spans="1:11" x14ac:dyDescent="0.25">
      <c r="A197" s="57" t="s">
        <v>1145</v>
      </c>
      <c r="B197" s="57" t="s">
        <v>188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14"/>
        <v>DICEMBRE 2025</v>
      </c>
      <c r="F197" s="57" t="str">
        <f t="shared" si="315"/>
        <v>12 DICEMBRE 2025</v>
      </c>
      <c r="G197" s="59">
        <v>34.47</v>
      </c>
      <c r="H197" s="1338" t="s">
        <v>93</v>
      </c>
      <c r="I197" s="960"/>
      <c r="J197" s="59"/>
      <c r="K197" s="59" t="s">
        <v>1148</v>
      </c>
    </row>
    <row r="198" spans="1:11" x14ac:dyDescent="0.25">
      <c r="A198" s="57" t="s">
        <v>110</v>
      </c>
      <c r="B198" s="57" t="s">
        <v>188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ref="E198" si="316">CONCATENATE(,B198," ",C198)</f>
        <v>DICEMBRE 2025</v>
      </c>
      <c r="F198" s="57" t="str">
        <f t="shared" ref="F198" si="317">CONCATENATE(D198," ",E198)</f>
        <v>12 DICEMBRE 2025</v>
      </c>
      <c r="G198" s="59">
        <v>478.37</v>
      </c>
      <c r="H198" s="1338" t="s">
        <v>772</v>
      </c>
      <c r="I198" s="960"/>
      <c r="J198" s="59"/>
      <c r="K198" s="59" t="s">
        <v>1128</v>
      </c>
    </row>
    <row r="199" spans="1:11" x14ac:dyDescent="0.25">
      <c r="A199" s="57" t="s">
        <v>284</v>
      </c>
      <c r="B199" s="57" t="s">
        <v>188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ref="E199:E211" si="318">CONCATENATE(,B199," ",C199)</f>
        <v>DICEMBRE 2025</v>
      </c>
      <c r="F199" s="57" t="str">
        <f t="shared" ref="F199:F211" si="319">CONCATENATE(D199," ",E199)</f>
        <v>12 DICEMBRE 2025</v>
      </c>
      <c r="G199" s="59">
        <v>4</v>
      </c>
      <c r="H199" s="1338" t="s">
        <v>69</v>
      </c>
      <c r="I199" s="960"/>
      <c r="J199" s="59"/>
      <c r="K199" s="59" t="s">
        <v>1128</v>
      </c>
    </row>
    <row r="200" spans="1:11" x14ac:dyDescent="0.25">
      <c r="A200" s="57" t="s">
        <v>1143</v>
      </c>
      <c r="B200" s="57" t="s">
        <v>188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18"/>
        <v>DICEMBRE 2025</v>
      </c>
      <c r="F200" s="57" t="str">
        <f t="shared" si="319"/>
        <v>12 DICEMBRE 2025</v>
      </c>
      <c r="G200" s="59">
        <v>33</v>
      </c>
      <c r="H200" s="1338" t="s">
        <v>69</v>
      </c>
      <c r="I200" s="960"/>
      <c r="J200" s="59"/>
      <c r="K200" s="59" t="s">
        <v>1128</v>
      </c>
    </row>
    <row r="201" spans="1:11" x14ac:dyDescent="0.25">
      <c r="A201" s="57" t="s">
        <v>1142</v>
      </c>
      <c r="B201" s="57" t="s">
        <v>188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18"/>
        <v>DICEMBRE 2025</v>
      </c>
      <c r="F201" s="57" t="str">
        <f t="shared" si="319"/>
        <v>12 DICEMBRE 2025</v>
      </c>
      <c r="G201" s="59">
        <v>36.799999999999997</v>
      </c>
      <c r="H201" s="1338" t="s">
        <v>70</v>
      </c>
      <c r="I201" s="960"/>
      <c r="J201" s="59"/>
      <c r="K201" s="59" t="s">
        <v>1128</v>
      </c>
    </row>
    <row r="202" spans="1:11" x14ac:dyDescent="0.25">
      <c r="A202" s="57" t="s">
        <v>1144</v>
      </c>
      <c r="B202" s="57" t="s">
        <v>188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18"/>
        <v>DICEMBRE 2025</v>
      </c>
      <c r="F202" s="57" t="str">
        <f t="shared" si="319"/>
        <v>12 DICEMBRE 2025</v>
      </c>
      <c r="G202" s="59">
        <v>27.5</v>
      </c>
      <c r="H202" s="1338" t="s">
        <v>69</v>
      </c>
      <c r="I202" s="960"/>
      <c r="J202" s="59"/>
      <c r="K202" s="59" t="s">
        <v>1128</v>
      </c>
    </row>
    <row r="203" spans="1:11" x14ac:dyDescent="0.25">
      <c r="A203" s="57" t="s">
        <v>899</v>
      </c>
      <c r="B203" s="57" t="s">
        <v>188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si="318"/>
        <v>DICEMBRE 2025</v>
      </c>
      <c r="F203" s="57" t="str">
        <f t="shared" si="319"/>
        <v>12 DICEMBRE 2025</v>
      </c>
      <c r="G203" s="59">
        <v>8.9600000000000009</v>
      </c>
      <c r="H203" s="1338" t="s">
        <v>91</v>
      </c>
      <c r="I203" s="960"/>
      <c r="J203" s="59"/>
      <c r="K203" s="59" t="s">
        <v>1128</v>
      </c>
    </row>
    <row r="204" spans="1:11" x14ac:dyDescent="0.25">
      <c r="A204" s="57" t="s">
        <v>1141</v>
      </c>
      <c r="B204" s="57" t="s">
        <v>188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318"/>
        <v>DICEMBRE 2025</v>
      </c>
      <c r="F204" s="57" t="str">
        <f t="shared" si="319"/>
        <v>12 DICEMBRE 2025</v>
      </c>
      <c r="G204" s="59">
        <v>2.8</v>
      </c>
      <c r="H204" s="1338" t="s">
        <v>91</v>
      </c>
      <c r="I204" s="960"/>
      <c r="J204" s="59"/>
      <c r="K204" s="59" t="s">
        <v>1128</v>
      </c>
    </row>
    <row r="205" spans="1:11" x14ac:dyDescent="0.25">
      <c r="A205" s="57" t="s">
        <v>1140</v>
      </c>
      <c r="B205" s="57" t="s">
        <v>188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si="318"/>
        <v>DICEMBRE 2025</v>
      </c>
      <c r="F205" s="57" t="str">
        <f t="shared" si="319"/>
        <v>12 DICEMBRE 2025</v>
      </c>
      <c r="G205" s="59">
        <v>98.82</v>
      </c>
      <c r="H205" s="1338" t="s">
        <v>91</v>
      </c>
      <c r="I205" s="960"/>
      <c r="J205" s="59"/>
      <c r="K205" s="59" t="s">
        <v>1128</v>
      </c>
    </row>
    <row r="206" spans="1:11" x14ac:dyDescent="0.25">
      <c r="A206" s="57" t="s">
        <v>1139</v>
      </c>
      <c r="B206" s="57" t="s">
        <v>188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si="318"/>
        <v>DICEMBRE 2025</v>
      </c>
      <c r="F206" s="57" t="str">
        <f t="shared" si="319"/>
        <v>12 DICEMBRE 2025</v>
      </c>
      <c r="G206" s="59">
        <v>2.2000000000000002</v>
      </c>
      <c r="H206" s="1338" t="s">
        <v>69</v>
      </c>
      <c r="I206" s="960"/>
      <c r="J206" s="59"/>
      <c r="K206" s="59" t="s">
        <v>1128</v>
      </c>
    </row>
    <row r="207" spans="1:11" x14ac:dyDescent="0.25">
      <c r="A207" s="57" t="s">
        <v>1139</v>
      </c>
      <c r="B207" s="57" t="s">
        <v>188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si="318"/>
        <v>DICEMBRE 2025</v>
      </c>
      <c r="F207" s="57" t="str">
        <f t="shared" si="319"/>
        <v>12 DICEMBRE 2025</v>
      </c>
      <c r="G207" s="59">
        <v>2.2000000000000002</v>
      </c>
      <c r="H207" s="1338" t="s">
        <v>69</v>
      </c>
      <c r="I207" s="960"/>
      <c r="J207" s="59"/>
      <c r="K207" s="59" t="s">
        <v>1128</v>
      </c>
    </row>
    <row r="208" spans="1:11" x14ac:dyDescent="0.25">
      <c r="A208" s="57" t="s">
        <v>899</v>
      </c>
      <c r="B208" s="57" t="s">
        <v>188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si="318"/>
        <v>DICEMBRE 2025</v>
      </c>
      <c r="F208" s="57" t="str">
        <f t="shared" si="319"/>
        <v>12 DICEMBRE 2025</v>
      </c>
      <c r="G208" s="59">
        <v>31.83</v>
      </c>
      <c r="H208" s="1338" t="s">
        <v>91</v>
      </c>
      <c r="I208" s="960"/>
      <c r="J208" s="59"/>
      <c r="K208" s="59" t="s">
        <v>1128</v>
      </c>
    </row>
    <row r="209" spans="1:11" x14ac:dyDescent="0.25">
      <c r="A209" s="57" t="s">
        <v>1070</v>
      </c>
      <c r="B209" s="57" t="s">
        <v>188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318"/>
        <v>DICEMBRE 2025</v>
      </c>
      <c r="F209" s="57" t="str">
        <f t="shared" si="319"/>
        <v>12 DICEMBRE 2025</v>
      </c>
      <c r="G209" s="59">
        <v>15</v>
      </c>
      <c r="H209" s="1338" t="s">
        <v>69</v>
      </c>
      <c r="I209" s="960"/>
      <c r="J209" s="59"/>
      <c r="K209" s="59" t="s">
        <v>1128</v>
      </c>
    </row>
    <row r="210" spans="1:11" x14ac:dyDescent="0.25">
      <c r="A210" s="57" t="s">
        <v>67</v>
      </c>
      <c r="B210" s="57" t="s">
        <v>188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318"/>
        <v>DICEMBRE 2025</v>
      </c>
      <c r="F210" s="57" t="str">
        <f t="shared" si="319"/>
        <v>12 DICEMBRE 2025</v>
      </c>
      <c r="G210" s="59">
        <v>43.5</v>
      </c>
      <c r="H210" s="1338" t="s">
        <v>69</v>
      </c>
      <c r="I210" s="960"/>
      <c r="J210" s="59"/>
      <c r="K210" s="59" t="s">
        <v>1138</v>
      </c>
    </row>
    <row r="211" spans="1:11" x14ac:dyDescent="0.25">
      <c r="A211" s="57" t="s">
        <v>67</v>
      </c>
      <c r="B211" s="57" t="s">
        <v>188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318"/>
        <v>DICEMBRE 2025</v>
      </c>
      <c r="F211" s="57" t="str">
        <f t="shared" si="319"/>
        <v>12 DICEMBRE 2025</v>
      </c>
      <c r="G211" s="59">
        <v>7</v>
      </c>
      <c r="H211" s="1338" t="s">
        <v>776</v>
      </c>
      <c r="I211" s="960"/>
      <c r="J211" s="59"/>
      <c r="K211" s="59"/>
    </row>
    <row r="212" spans="1:11" x14ac:dyDescent="0.25">
      <c r="A212" s="57" t="s">
        <v>121</v>
      </c>
      <c r="B212" s="57" t="s">
        <v>188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 t="shared" ref="E212:E213" si="320">CONCATENATE(,B212," ",C212)</f>
        <v>DICEMBRE 2025</v>
      </c>
      <c r="F212" s="57" t="str">
        <f t="shared" ref="F212:F213" si="321">CONCATENATE(D212," ",E212)</f>
        <v>12 DICEMBRE 2025</v>
      </c>
      <c r="G212" s="59">
        <v>0.4</v>
      </c>
      <c r="H212" s="1338" t="s">
        <v>777</v>
      </c>
      <c r="I212" s="960"/>
      <c r="J212" s="59"/>
      <c r="K212" s="59"/>
    </row>
    <row r="213" spans="1:11" x14ac:dyDescent="0.25">
      <c r="A213" s="57" t="s">
        <v>121</v>
      </c>
      <c r="B213" s="57" t="s">
        <v>188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si="320"/>
        <v>DICEMBRE 2025</v>
      </c>
      <c r="F213" s="57" t="str">
        <f t="shared" si="321"/>
        <v>12 DICEMBRE 2025</v>
      </c>
      <c r="G213" s="59">
        <v>0.4</v>
      </c>
      <c r="H213" s="1338" t="s">
        <v>777</v>
      </c>
      <c r="I213" s="960"/>
      <c r="J213" s="59"/>
      <c r="K213" s="59"/>
    </row>
    <row r="214" spans="1:11" x14ac:dyDescent="0.25">
      <c r="A214" s="57" t="s">
        <v>121</v>
      </c>
      <c r="B214" s="57" t="s">
        <v>188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" si="322">CONCATENATE(,B214," ",C214)</f>
        <v>DICEMBRE 2025</v>
      </c>
      <c r="F214" s="57" t="str">
        <f t="shared" ref="F214" si="323">CONCATENATE(D214," ",E214)</f>
        <v>12 DICEMBRE 2025</v>
      </c>
      <c r="G214" s="59">
        <v>0.4</v>
      </c>
      <c r="H214" s="1338" t="s">
        <v>777</v>
      </c>
      <c r="I214" s="960"/>
      <c r="J214" s="59"/>
      <c r="K214" s="59"/>
    </row>
    <row r="215" spans="1:11" x14ac:dyDescent="0.25">
      <c r="A215" s="57" t="s">
        <v>121</v>
      </c>
      <c r="B215" s="57" t="s">
        <v>188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 t="shared" ref="E215" si="324">CONCATENATE(,B215," ",C215)</f>
        <v>DICEMBRE 2025</v>
      </c>
      <c r="F215" s="57" t="str">
        <f t="shared" ref="F215" si="325">CONCATENATE(D215," ",E215)</f>
        <v>12 DICEMBRE 2025</v>
      </c>
      <c r="G215" s="59">
        <v>0.4</v>
      </c>
      <c r="H215" s="1338" t="s">
        <v>777</v>
      </c>
      <c r="I215" s="960"/>
      <c r="J215" s="59"/>
      <c r="K215" s="59"/>
    </row>
    <row r="216" spans="1:11" x14ac:dyDescent="0.25">
      <c r="A216" s="57" t="s">
        <v>121</v>
      </c>
      <c r="B216" s="57" t="s">
        <v>188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" si="326">CONCATENATE(,B216," ",C216)</f>
        <v>DICEMBRE 2025</v>
      </c>
      <c r="F216" s="57" t="str">
        <f t="shared" ref="F216" si="327">CONCATENATE(D216," ",E216)</f>
        <v>12 DICEMBRE 2025</v>
      </c>
      <c r="G216" s="59">
        <v>0.4</v>
      </c>
      <c r="H216" s="1338" t="s">
        <v>777</v>
      </c>
      <c r="I216" s="960"/>
      <c r="J216" s="59"/>
      <c r="K216" s="59"/>
    </row>
    <row r="217" spans="1:11" x14ac:dyDescent="0.25">
      <c r="A217" s="57" t="s">
        <v>173</v>
      </c>
      <c r="B217" s="57" t="s">
        <v>188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ref="E217" si="328">CONCATENATE(,B217," ",C217)</f>
        <v>DICEMBRE 2025</v>
      </c>
      <c r="F217" s="57" t="str">
        <f t="shared" ref="F217" si="329">CONCATENATE(D217," ",E217)</f>
        <v>12 DICEMBRE 2025</v>
      </c>
      <c r="G217" s="59">
        <v>50</v>
      </c>
      <c r="H217" s="1338" t="s">
        <v>1137</v>
      </c>
      <c r="I217" s="960"/>
      <c r="J217" s="59" t="s">
        <v>173</v>
      </c>
      <c r="K217" s="59" t="s">
        <v>1136</v>
      </c>
    </row>
    <row r="218" spans="1:11" x14ac:dyDescent="0.25">
      <c r="A218" s="57" t="s">
        <v>108</v>
      </c>
      <c r="B218" s="57" t="s">
        <v>188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" si="330">CONCATENATE(,B218," ",C218)</f>
        <v>DICEMBRE 2025</v>
      </c>
      <c r="F218" s="57" t="str">
        <f t="shared" ref="F218" si="331">CONCATENATE(D218," ",E218)</f>
        <v>12 DICEMBRE 2025</v>
      </c>
      <c r="G218" s="59">
        <v>78</v>
      </c>
      <c r="H218" s="1338" t="s">
        <v>137</v>
      </c>
      <c r="I218" s="960"/>
      <c r="J218" s="59"/>
      <c r="K218" s="59"/>
    </row>
    <row r="219" spans="1:11" x14ac:dyDescent="0.25">
      <c r="A219" s="57" t="s">
        <v>108</v>
      </c>
      <c r="B219" s="57" t="s">
        <v>188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ref="E219" si="332">CONCATENATE(,B219," ",C219)</f>
        <v>DICEMBRE 2025</v>
      </c>
      <c r="F219" s="57" t="str">
        <f t="shared" ref="F219" si="333">CONCATENATE(D219," ",E219)</f>
        <v>12 DICEMBRE 2025</v>
      </c>
      <c r="G219" s="59">
        <v>10.08</v>
      </c>
      <c r="H219" s="1338" t="s">
        <v>75</v>
      </c>
      <c r="I219" s="960"/>
      <c r="J219" s="59"/>
      <c r="K219" s="59"/>
    </row>
    <row r="220" spans="1:11" x14ac:dyDescent="0.25">
      <c r="A220" s="57" t="s">
        <v>108</v>
      </c>
      <c r="B220" s="57" t="s">
        <v>188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ref="E220" si="334">CONCATENATE(,B220," ",C220)</f>
        <v>DICEMBRE 2025</v>
      </c>
      <c r="F220" s="57" t="str">
        <f t="shared" ref="F220" si="335">CONCATENATE(D220," ",E220)</f>
        <v>12 DICEMBRE 2025</v>
      </c>
      <c r="G220" s="59">
        <v>49</v>
      </c>
      <c r="H220" s="1338" t="s">
        <v>75</v>
      </c>
      <c r="I220" s="960"/>
      <c r="J220" s="59"/>
      <c r="K220" s="59" t="s">
        <v>1134</v>
      </c>
    </row>
    <row r="221" spans="1:11" x14ac:dyDescent="0.25">
      <c r="A221" s="57" t="s">
        <v>67</v>
      </c>
      <c r="B221" s="57" t="s">
        <v>188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>CONCATENATE(,B221," ",C221)</f>
        <v>DICEMBRE 2025</v>
      </c>
      <c r="F221" s="57" t="str">
        <f>CONCATENATE(D221," ",E221)</f>
        <v>12 DICEMBRE 2025</v>
      </c>
      <c r="G221" s="59">
        <v>2.8</v>
      </c>
      <c r="H221" s="1338" t="s">
        <v>69</v>
      </c>
      <c r="I221" s="960"/>
      <c r="J221" s="59"/>
      <c r="K221" s="59"/>
    </row>
    <row r="222" spans="1:11" x14ac:dyDescent="0.25">
      <c r="A222" s="57" t="s">
        <v>122</v>
      </c>
      <c r="B222" s="57" t="s">
        <v>188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ref="E222" si="336">CONCATENATE(,B222," ",C222)</f>
        <v>DICEMBRE 2025</v>
      </c>
      <c r="F222" s="57" t="str">
        <f t="shared" ref="F222" si="337">CONCATENATE(D222," ",E222)</f>
        <v>12 DICEMBRE 2025</v>
      </c>
      <c r="G222" s="59">
        <v>5.95</v>
      </c>
      <c r="H222" s="1338" t="s">
        <v>77</v>
      </c>
      <c r="I222" s="960"/>
      <c r="J222" s="59"/>
      <c r="K222" s="59"/>
    </row>
    <row r="223" spans="1:11" x14ac:dyDescent="0.25">
      <c r="A223" s="57" t="s">
        <v>83</v>
      </c>
      <c r="B223" s="57" t="s">
        <v>188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38">CONCATENATE(,B223," ",C223)</f>
        <v>DICEMBRE 2025</v>
      </c>
      <c r="F223" s="57" t="str">
        <f t="shared" ref="F223" si="339">CONCATENATE(D223," ",E223)</f>
        <v>12 DICEMBRE 2025</v>
      </c>
      <c r="G223" s="59">
        <v>20.91</v>
      </c>
      <c r="H223" s="1338" t="s">
        <v>77</v>
      </c>
      <c r="I223" s="960"/>
      <c r="J223" s="59"/>
      <c r="K223" s="59"/>
    </row>
    <row r="224" spans="1:11" x14ac:dyDescent="0.25">
      <c r="A224" s="57" t="s">
        <v>67</v>
      </c>
      <c r="B224" s="57" t="s">
        <v>188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>CONCATENATE(,B224," ",C224)</f>
        <v>DICEMBRE 2025</v>
      </c>
      <c r="F224" s="57" t="str">
        <f>CONCATENATE(D224," ",E224)</f>
        <v>12 DICEMBRE 2025</v>
      </c>
      <c r="G224" s="59">
        <v>7</v>
      </c>
      <c r="H224" s="1338" t="s">
        <v>776</v>
      </c>
      <c r="I224" s="960"/>
      <c r="J224" s="59"/>
      <c r="K224" s="59"/>
    </row>
    <row r="225" spans="1:11" x14ac:dyDescent="0.25">
      <c r="A225" s="57" t="s">
        <v>108</v>
      </c>
      <c r="B225" s="57" t="s">
        <v>188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ref="E225:E226" si="340">CONCATENATE(,B225," ",C225)</f>
        <v>DICEMBRE 2025</v>
      </c>
      <c r="F225" s="57" t="str">
        <f t="shared" ref="F225:F226" si="341">CONCATENATE(D225," ",E225)</f>
        <v>12 DICEMBRE 2025</v>
      </c>
      <c r="G225" s="59">
        <v>94.8</v>
      </c>
      <c r="H225" s="1338" t="s">
        <v>75</v>
      </c>
      <c r="I225" s="960" t="s">
        <v>1044</v>
      </c>
      <c r="J225" s="59" t="s">
        <v>108</v>
      </c>
      <c r="K225" s="59" t="s">
        <v>1081</v>
      </c>
    </row>
    <row r="226" spans="1:11" x14ac:dyDescent="0.25">
      <c r="A226" s="57" t="s">
        <v>108</v>
      </c>
      <c r="B226" s="57" t="s">
        <v>188</v>
      </c>
      <c r="C226" s="57">
        <v>2025</v>
      </c>
      <c r="D226" s="58">
        <f>MATCH(B226,{"GENNAIO","FEBBRAIO","MARZO","APRILE","MAGGIO","GIUGNO","LUGLIO","AGOSTO","SETTEMBRE","OTTOBRE","NOVEMBRE","DICEMBRE"},0)</f>
        <v>12</v>
      </c>
      <c r="E226" s="57" t="str">
        <f t="shared" si="340"/>
        <v>DICEMBRE 2025</v>
      </c>
      <c r="F226" s="57" t="str">
        <f t="shared" si="341"/>
        <v>12 DICEMBRE 2025</v>
      </c>
      <c r="G226" s="59">
        <v>10.95</v>
      </c>
      <c r="H226" s="1338" t="s">
        <v>75</v>
      </c>
      <c r="I226" s="960" t="s">
        <v>1043</v>
      </c>
      <c r="J226" s="59" t="s">
        <v>108</v>
      </c>
      <c r="K226" s="59" t="s">
        <v>918</v>
      </c>
    </row>
    <row r="227" spans="1:11" x14ac:dyDescent="0.25">
      <c r="A227" s="57" t="s">
        <v>121</v>
      </c>
      <c r="B227" s="57" t="s">
        <v>188</v>
      </c>
      <c r="C227" s="57">
        <v>2025</v>
      </c>
      <c r="D227" s="58">
        <f>MATCH(B227,{"GENNAIO","FEBBRAIO","MARZO","APRILE","MAGGIO","GIUGNO","LUGLIO","AGOSTO","SETTEMBRE","OTTOBRE","NOVEMBRE","DICEMBRE"},0)</f>
        <v>12</v>
      </c>
      <c r="E227" s="57" t="str">
        <f t="shared" ref="E227:E229" si="342">CONCATENATE(,B227," ",C227)</f>
        <v>DICEMBRE 2025</v>
      </c>
      <c r="F227" s="57" t="str">
        <f t="shared" ref="F227:F229" si="343">CONCATENATE(D227," ",E227)</f>
        <v>12 DICEMBRE 2025</v>
      </c>
      <c r="G227" s="59">
        <v>0.4</v>
      </c>
      <c r="H227" s="1338" t="s">
        <v>777</v>
      </c>
      <c r="I227" s="960"/>
      <c r="J227" s="59"/>
      <c r="K227" s="59"/>
    </row>
    <row r="228" spans="1:11" x14ac:dyDescent="0.25">
      <c r="A228" s="57" t="s">
        <v>121</v>
      </c>
      <c r="B228" s="57" t="s">
        <v>188</v>
      </c>
      <c r="C228" s="57">
        <v>2025</v>
      </c>
      <c r="D228" s="58">
        <f>MATCH(B228,{"GENNAIO","FEBBRAIO","MARZO","APRILE","MAGGIO","GIUGNO","LUGLIO","AGOSTO","SETTEMBRE","OTTOBRE","NOVEMBRE","DICEMBRE"},0)</f>
        <v>12</v>
      </c>
      <c r="E228" s="57" t="str">
        <f t="shared" si="342"/>
        <v>DICEMBRE 2025</v>
      </c>
      <c r="F228" s="57" t="str">
        <f t="shared" si="343"/>
        <v>12 DICEMBRE 2025</v>
      </c>
      <c r="G228" s="59">
        <v>0.4</v>
      </c>
      <c r="H228" s="1338" t="s">
        <v>777</v>
      </c>
      <c r="I228" s="960"/>
      <c r="J228" s="59"/>
      <c r="K228" s="59"/>
    </row>
    <row r="229" spans="1:11" x14ac:dyDescent="0.25">
      <c r="A229" s="57" t="s">
        <v>121</v>
      </c>
      <c r="B229" s="57" t="s">
        <v>188</v>
      </c>
      <c r="C229" s="57">
        <v>2025</v>
      </c>
      <c r="D229" s="58">
        <f>MATCH(B229,{"GENNAIO","FEBBRAIO","MARZO","APRILE","MAGGIO","GIUGNO","LUGLIO","AGOSTO","SETTEMBRE","OTTOBRE","NOVEMBRE","DICEMBRE"},0)</f>
        <v>12</v>
      </c>
      <c r="E229" s="57" t="str">
        <f t="shared" si="342"/>
        <v>DICEMBRE 2025</v>
      </c>
      <c r="F229" s="57" t="str">
        <f t="shared" si="343"/>
        <v>12 DICEMBRE 2025</v>
      </c>
      <c r="G229" s="59">
        <v>0.4</v>
      </c>
      <c r="H229" s="1338" t="s">
        <v>777</v>
      </c>
      <c r="I229" s="960"/>
      <c r="J229" s="59"/>
      <c r="K229" s="59"/>
    </row>
    <row r="230" spans="1:11" x14ac:dyDescent="0.25">
      <c r="A230" s="57" t="s">
        <v>1130</v>
      </c>
      <c r="B230" s="57" t="s">
        <v>188</v>
      </c>
      <c r="C230" s="57">
        <v>2025</v>
      </c>
      <c r="D230" s="58">
        <f>MATCH(B230,{"GENNAIO","FEBBRAIO","MARZO","APRILE","MAGGIO","GIUGNO","LUGLIO","AGOSTO","SETTEMBRE","OTTOBRE","NOVEMBRE","DICEMBRE"},0)</f>
        <v>12</v>
      </c>
      <c r="E230" s="57" t="str">
        <f t="shared" ref="E230" si="344">CONCATENATE(,B230," ",C230)</f>
        <v>DICEMBRE 2025</v>
      </c>
      <c r="F230" s="57" t="str">
        <f t="shared" ref="F230" si="345">CONCATENATE(D230," ",E230)</f>
        <v>12 DICEMBRE 2025</v>
      </c>
      <c r="G230" s="59">
        <v>48.1</v>
      </c>
      <c r="H230" s="1338" t="s">
        <v>137</v>
      </c>
      <c r="I230" s="960"/>
      <c r="J230" s="59"/>
      <c r="K230" s="59"/>
    </row>
    <row r="231" spans="1:11" x14ac:dyDescent="0.25">
      <c r="A231" s="57" t="s">
        <v>1129</v>
      </c>
      <c r="B231" s="57" t="s">
        <v>188</v>
      </c>
      <c r="C231" s="57">
        <v>2025</v>
      </c>
      <c r="D231" s="58">
        <f>MATCH(B231,{"GENNAIO","FEBBRAIO","MARZO","APRILE","MAGGIO","GIUGNO","LUGLIO","AGOSTO","SETTEMBRE","OTTOBRE","NOVEMBRE","DICEMBRE"},0)</f>
        <v>12</v>
      </c>
      <c r="E231" s="57" t="str">
        <f t="shared" ref="E231" si="346">CONCATENATE(,B231," ",C231)</f>
        <v>DICEMBRE 2025</v>
      </c>
      <c r="F231" s="57" t="str">
        <f t="shared" ref="F231" si="347">CONCATENATE(D231," ",E231)</f>
        <v>12 DICEMBRE 2025</v>
      </c>
      <c r="G231" s="59">
        <v>51</v>
      </c>
      <c r="H231" s="1338" t="s">
        <v>69</v>
      </c>
      <c r="I231" s="960"/>
      <c r="J231" s="59"/>
      <c r="K231" s="59"/>
    </row>
    <row r="232" spans="1:11" x14ac:dyDescent="0.25">
      <c r="A232" s="57" t="s">
        <v>138</v>
      </c>
      <c r="B232" s="57" t="s">
        <v>188</v>
      </c>
      <c r="C232" s="57">
        <v>2025</v>
      </c>
      <c r="D232" s="58">
        <f>MATCH(B232,{"GENNAIO","FEBBRAIO","MARZO","APRILE","MAGGIO","GIUGNO","LUGLIO","AGOSTO","SETTEMBRE","OTTOBRE","NOVEMBRE","DICEMBRE"},0)</f>
        <v>12</v>
      </c>
      <c r="E232" s="57" t="str">
        <f t="shared" ref="E232" si="348">CONCATENATE(,B232," ",C232)</f>
        <v>DICEMBRE 2025</v>
      </c>
      <c r="F232" s="57" t="str">
        <f t="shared" ref="F232" si="349">CONCATENATE(D232," ",E232)</f>
        <v>12 DICEMBRE 2025</v>
      </c>
      <c r="G232" s="59">
        <v>33.5</v>
      </c>
      <c r="H232" s="1338" t="s">
        <v>69</v>
      </c>
      <c r="I232" s="960"/>
      <c r="J232" s="59"/>
      <c r="K232" s="59"/>
    </row>
    <row r="233" spans="1:11" x14ac:dyDescent="0.25">
      <c r="A233" s="57" t="s">
        <v>67</v>
      </c>
      <c r="B233" s="57" t="s">
        <v>188</v>
      </c>
      <c r="C233" s="57">
        <v>2025</v>
      </c>
      <c r="D233" s="58">
        <f>MATCH(B233,{"GENNAIO","FEBBRAIO","MARZO","APRILE","MAGGIO","GIUGNO","LUGLIO","AGOSTO","SETTEMBRE","OTTOBRE","NOVEMBRE","DICEMBRE"},0)</f>
        <v>12</v>
      </c>
      <c r="E233" s="57" t="str">
        <f>CONCATENATE(,B233," ",C233)</f>
        <v>DICEMBRE 2025</v>
      </c>
      <c r="F233" s="57" t="str">
        <f>CONCATENATE(D233," ",E233)</f>
        <v>12 DICEMBRE 2025</v>
      </c>
      <c r="G233" s="59">
        <v>7</v>
      </c>
      <c r="H233" s="1338" t="s">
        <v>776</v>
      </c>
      <c r="I233" s="960"/>
      <c r="J233" s="59"/>
      <c r="K233" s="59"/>
    </row>
    <row r="234" spans="1:11" x14ac:dyDescent="0.25">
      <c r="A234" s="57" t="s">
        <v>1127</v>
      </c>
      <c r="B234" s="57" t="s">
        <v>188</v>
      </c>
      <c r="C234" s="57">
        <v>2025</v>
      </c>
      <c r="D234" s="58">
        <f>MATCH(B234,{"GENNAIO","FEBBRAIO","MARZO","APRILE","MAGGIO","GIUGNO","LUGLIO","AGOSTO","SETTEMBRE","OTTOBRE","NOVEMBRE","DICEMBRE"},0)</f>
        <v>12</v>
      </c>
      <c r="E234" s="57" t="str">
        <f t="shared" ref="E234" si="350">CONCATENATE(,B234," ",C234)</f>
        <v>DICEMBRE 2025</v>
      </c>
      <c r="F234" s="57" t="str">
        <f t="shared" ref="F234" si="351">CONCATENATE(D234," ",E234)</f>
        <v>12 DICEMBRE 2025</v>
      </c>
      <c r="G234" s="59">
        <v>79.2</v>
      </c>
      <c r="H234" s="1338" t="s">
        <v>91</v>
      </c>
      <c r="I234" s="960"/>
      <c r="J234" s="59"/>
      <c r="K234" s="59" t="s">
        <v>1128</v>
      </c>
    </row>
    <row r="235" spans="1:11" x14ac:dyDescent="0.25">
      <c r="A235" s="57" t="s">
        <v>173</v>
      </c>
      <c r="B235" s="57" t="s">
        <v>207</v>
      </c>
      <c r="C235" s="57">
        <v>2025</v>
      </c>
      <c r="D235" s="58">
        <f>MATCH(B235,{"GENNAIO","FEBBRAIO","MARZO","APRILE","MAGGIO","GIUGNO","LUGLIO","AGOSTO","SETTEMBRE","OTTOBRE","NOVEMBRE","DICEMBRE"},0)</f>
        <v>11</v>
      </c>
      <c r="E235" s="57" t="str">
        <f t="shared" ref="E235" si="352">CONCATENATE(,B235," ",C235)</f>
        <v>NOVEMBRE 2025</v>
      </c>
      <c r="F235" s="57" t="str">
        <f t="shared" ref="F235" si="353">CONCATENATE(D235," ",E235)</f>
        <v>11 NOVEMBRE 2025</v>
      </c>
      <c r="G235" s="59">
        <v>250</v>
      </c>
      <c r="H235" s="1338" t="s">
        <v>741</v>
      </c>
      <c r="I235" s="960"/>
      <c r="J235" s="59" t="s">
        <v>173</v>
      </c>
      <c r="K235" s="59" t="s">
        <v>1126</v>
      </c>
    </row>
    <row r="236" spans="1:11" x14ac:dyDescent="0.25">
      <c r="A236" s="57" t="s">
        <v>108</v>
      </c>
      <c r="B236" s="57" t="s">
        <v>207</v>
      </c>
      <c r="C236" s="57">
        <v>2025</v>
      </c>
      <c r="D236" s="58">
        <f>MATCH(B236,{"GENNAIO","FEBBRAIO","MARZO","APRILE","MAGGIO","GIUGNO","LUGLIO","AGOSTO","SETTEMBRE","OTTOBRE","NOVEMBRE","DICEMBRE"},0)</f>
        <v>11</v>
      </c>
      <c r="E236" s="57" t="str">
        <f t="shared" ref="E236" si="354">CONCATENATE(,B236," ",C236)</f>
        <v>NOVEMBRE 2025</v>
      </c>
      <c r="F236" s="57" t="str">
        <f t="shared" ref="F236" si="355">CONCATENATE(D236," ",E236)</f>
        <v>11 NOVEMBRE 2025</v>
      </c>
      <c r="G236" s="59">
        <v>15.59</v>
      </c>
      <c r="H236" s="1338" t="s">
        <v>75</v>
      </c>
      <c r="I236" s="960"/>
      <c r="J236" s="59"/>
      <c r="K236" s="59"/>
    </row>
    <row r="237" spans="1:11" x14ac:dyDescent="0.25">
      <c r="A237" s="57" t="s">
        <v>108</v>
      </c>
      <c r="B237" s="57" t="s">
        <v>207</v>
      </c>
      <c r="C237" s="57">
        <v>2025</v>
      </c>
      <c r="D237" s="58">
        <f>MATCH(B237,{"GENNAIO","FEBBRAIO","MARZO","APRILE","MAGGIO","GIUGNO","LUGLIO","AGOSTO","SETTEMBRE","OTTOBRE","NOVEMBRE","DICEMBRE"},0)</f>
        <v>11</v>
      </c>
      <c r="E237" s="57" t="str">
        <f>CONCATENATE(,B237," ",C237)</f>
        <v>NOVEMBRE 2025</v>
      </c>
      <c r="F237" s="57" t="str">
        <f>CONCATENATE(D237," ",E237)</f>
        <v>11 NOVEMBRE 2025</v>
      </c>
      <c r="G237" s="59">
        <v>35.99</v>
      </c>
      <c r="H237" s="1338" t="s">
        <v>75</v>
      </c>
      <c r="I237" s="960"/>
      <c r="J237" s="59"/>
      <c r="K237" s="59"/>
    </row>
    <row r="238" spans="1:11" x14ac:dyDescent="0.25">
      <c r="A238" s="57" t="s">
        <v>67</v>
      </c>
      <c r="B238" s="57" t="s">
        <v>207</v>
      </c>
      <c r="C238" s="57">
        <v>2025</v>
      </c>
      <c r="D238" s="58">
        <f>MATCH(B238,{"GENNAIO","FEBBRAIO","MARZO","APRILE","MAGGIO","GIUGNO","LUGLIO","AGOSTO","SETTEMBRE","OTTOBRE","NOVEMBRE","DICEMBRE"},0)</f>
        <v>11</v>
      </c>
      <c r="E238" s="57" t="str">
        <f>CONCATENATE(,B238," ",C238)</f>
        <v>NOVEMBRE 2025</v>
      </c>
      <c r="F238" s="57" t="str">
        <f>CONCATENATE(D238," ",E238)</f>
        <v>11 NOVEMBRE 2025</v>
      </c>
      <c r="G238" s="59">
        <v>7</v>
      </c>
      <c r="H238" s="1338" t="s">
        <v>776</v>
      </c>
      <c r="I238" s="960"/>
      <c r="J238" s="59"/>
      <c r="K238" s="59"/>
    </row>
    <row r="239" spans="1:11" x14ac:dyDescent="0.25">
      <c r="A239" s="57" t="s">
        <v>83</v>
      </c>
      <c r="B239" s="57" t="s">
        <v>207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 t="shared" ref="E239" si="356">CONCATENATE(,B239," ",C239)</f>
        <v>NOVEMBRE 2025</v>
      </c>
      <c r="F239" s="57" t="str">
        <f t="shared" ref="F239" si="357">CONCATENATE(D239," ",E239)</f>
        <v>11 NOVEMBRE 2025</v>
      </c>
      <c r="G239" s="59">
        <v>9.43</v>
      </c>
      <c r="H239" s="1338" t="s">
        <v>77</v>
      </c>
      <c r="I239" s="960"/>
      <c r="J239" s="59"/>
      <c r="K239" s="59"/>
    </row>
    <row r="240" spans="1:11" x14ac:dyDescent="0.25">
      <c r="A240" s="57" t="s">
        <v>83</v>
      </c>
      <c r="B240" s="57" t="s">
        <v>207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 t="shared" ref="E240:E242" si="358">CONCATENATE(,B240," ",C240)</f>
        <v>NOVEMBRE 2025</v>
      </c>
      <c r="F240" s="57" t="str">
        <f t="shared" ref="F240:F242" si="359">CONCATENATE(D240," ",E240)</f>
        <v>11 NOVEMBRE 2025</v>
      </c>
      <c r="G240" s="59">
        <v>23.56</v>
      </c>
      <c r="H240" s="1338" t="s">
        <v>77</v>
      </c>
      <c r="I240" s="960"/>
      <c r="J240" s="59"/>
      <c r="K240" s="59"/>
    </row>
    <row r="241" spans="1:11" x14ac:dyDescent="0.25">
      <c r="A241" s="57" t="s">
        <v>67</v>
      </c>
      <c r="B241" s="57" t="s">
        <v>207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 t="shared" si="358"/>
        <v>NOVEMBRE 2025</v>
      </c>
      <c r="F241" s="57" t="str">
        <f t="shared" si="359"/>
        <v>11 NOVEMBRE 2025</v>
      </c>
      <c r="G241" s="59">
        <v>7</v>
      </c>
      <c r="H241" s="1338" t="s">
        <v>776</v>
      </c>
      <c r="I241" s="960"/>
      <c r="J241" s="59"/>
      <c r="K241" s="59"/>
    </row>
    <row r="242" spans="1:11" x14ac:dyDescent="0.25">
      <c r="A242" s="57" t="s">
        <v>67</v>
      </c>
      <c r="B242" s="57" t="s">
        <v>207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 t="shared" si="358"/>
        <v>NOVEMBRE 2025</v>
      </c>
      <c r="F242" s="57" t="str">
        <f t="shared" si="359"/>
        <v>11 NOVEMBRE 2025</v>
      </c>
      <c r="G242" s="59">
        <v>2.8</v>
      </c>
      <c r="H242" s="1338" t="s">
        <v>69</v>
      </c>
      <c r="I242" s="960"/>
      <c r="J242" s="59"/>
      <c r="K242" s="59"/>
    </row>
    <row r="243" spans="1:11" x14ac:dyDescent="0.25">
      <c r="A243" s="57" t="s">
        <v>108</v>
      </c>
      <c r="B243" s="57" t="s">
        <v>207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>CONCATENATE(,B243," ",C243)</f>
        <v>NOVEMBRE 2025</v>
      </c>
      <c r="F243" s="57" t="str">
        <f>CONCATENATE(D243," ",E243)</f>
        <v>11 NOVEMBRE 2025</v>
      </c>
      <c r="G243" s="59">
        <v>14.9</v>
      </c>
      <c r="H243" s="1338" t="s">
        <v>75</v>
      </c>
      <c r="I243" s="960"/>
      <c r="J243" s="59"/>
      <c r="K243" s="59"/>
    </row>
    <row r="244" spans="1:11" x14ac:dyDescent="0.25">
      <c r="A244" s="57" t="s">
        <v>138</v>
      </c>
      <c r="B244" s="57" t="s">
        <v>207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ref="E244" si="360">CONCATENATE(,B244," ",C244)</f>
        <v>NOVEMBRE 2025</v>
      </c>
      <c r="F244" s="57" t="str">
        <f t="shared" ref="F244" si="361">CONCATENATE(D244," ",E244)</f>
        <v>11 NOVEMBRE 2025</v>
      </c>
      <c r="G244" s="59">
        <v>20</v>
      </c>
      <c r="H244" s="1338" t="s">
        <v>69</v>
      </c>
      <c r="I244" s="960"/>
      <c r="J244" s="59"/>
      <c r="K244" s="59"/>
    </row>
    <row r="245" spans="1:11" x14ac:dyDescent="0.25">
      <c r="A245" s="57" t="s">
        <v>108</v>
      </c>
      <c r="B245" s="57" t="s">
        <v>207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 t="shared" ref="E245" si="362">CONCATENATE(,B245," ",C245)</f>
        <v>NOVEMBRE 2025</v>
      </c>
      <c r="F245" s="57" t="str">
        <f t="shared" ref="F245" si="363">CONCATENATE(D245," ",E245)</f>
        <v>11 NOVEMBRE 2025</v>
      </c>
      <c r="G245" s="59">
        <v>8.99</v>
      </c>
      <c r="H245" s="1338" t="s">
        <v>75</v>
      </c>
      <c r="I245" s="960"/>
      <c r="J245" s="59"/>
      <c r="K245" s="59"/>
    </row>
    <row r="246" spans="1:11" x14ac:dyDescent="0.25">
      <c r="A246" s="57" t="s">
        <v>73</v>
      </c>
      <c r="B246" s="57" t="s">
        <v>207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 t="shared" ref="E246" si="364">CONCATENATE(,B246," ",C246)</f>
        <v>NOVEMBRE 2025</v>
      </c>
      <c r="F246" s="57" t="str">
        <f t="shared" ref="F246" si="365">CONCATENATE(D246," ",E246)</f>
        <v>11 NOVEMBRE 2025</v>
      </c>
      <c r="G246" s="59">
        <v>15</v>
      </c>
      <c r="H246" s="1338" t="s">
        <v>74</v>
      </c>
      <c r="I246" s="960"/>
      <c r="J246" s="59"/>
      <c r="K246" s="59"/>
    </row>
    <row r="247" spans="1:11" x14ac:dyDescent="0.25">
      <c r="A247" s="57" t="s">
        <v>76</v>
      </c>
      <c r="B247" s="57" t="s">
        <v>207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 t="shared" ref="E247" si="366">CONCATENATE(,B247," ",C247)</f>
        <v>NOVEMBRE 2025</v>
      </c>
      <c r="F247" s="57" t="str">
        <f t="shared" ref="F247" si="367">CONCATENATE(D247," ",E247)</f>
        <v>11 NOVEMBRE 2025</v>
      </c>
      <c r="G247" s="59">
        <v>2.99</v>
      </c>
      <c r="H247" s="1338" t="s">
        <v>77</v>
      </c>
      <c r="I247" s="960"/>
      <c r="J247" s="59"/>
      <c r="K247" s="59"/>
    </row>
    <row r="248" spans="1:11" x14ac:dyDescent="0.25">
      <c r="A248" s="57" t="s">
        <v>76</v>
      </c>
      <c r="B248" s="57" t="s">
        <v>207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ref="E248" si="368">CONCATENATE(,B248," ",C248)</f>
        <v>NOVEMBRE 2025</v>
      </c>
      <c r="F248" s="57" t="str">
        <f t="shared" ref="F248" si="369">CONCATENATE(D248," ",E248)</f>
        <v>11 NOVEMBRE 2025</v>
      </c>
      <c r="G248" s="59">
        <v>15.83</v>
      </c>
      <c r="H248" s="1338" t="s">
        <v>77</v>
      </c>
      <c r="I248" s="960"/>
      <c r="J248" s="59"/>
      <c r="K248" s="59"/>
    </row>
    <row r="249" spans="1:11" x14ac:dyDescent="0.25">
      <c r="A249" s="57" t="s">
        <v>67</v>
      </c>
      <c r="B249" s="57" t="s">
        <v>207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" si="370">CONCATENATE(,B249," ",C249)</f>
        <v>NOVEMBRE 2025</v>
      </c>
      <c r="F249" s="57" t="str">
        <f t="shared" ref="F249" si="371">CONCATENATE(D249," ",E249)</f>
        <v>11 NOVEMBRE 2025</v>
      </c>
      <c r="G249" s="59">
        <v>7</v>
      </c>
      <c r="H249" s="1338" t="s">
        <v>776</v>
      </c>
      <c r="I249" s="960"/>
      <c r="J249" s="59"/>
      <c r="K249" s="59"/>
    </row>
    <row r="250" spans="1:11" x14ac:dyDescent="0.25">
      <c r="A250" s="57" t="s">
        <v>122</v>
      </c>
      <c r="B250" s="57" t="s">
        <v>207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ref="E250:E251" si="372">CONCATENATE(,B250," ",C250)</f>
        <v>NOVEMBRE 2025</v>
      </c>
      <c r="F250" s="57" t="str">
        <f t="shared" ref="F250:F251" si="373">CONCATENATE(D250," ",E250)</f>
        <v>11 NOVEMBRE 2025</v>
      </c>
      <c r="G250" s="59">
        <v>4.8600000000000003</v>
      </c>
      <c r="H250" s="1338" t="s">
        <v>77</v>
      </c>
      <c r="I250" s="960"/>
      <c r="J250" s="59"/>
      <c r="K250" s="59"/>
    </row>
    <row r="251" spans="1:11" x14ac:dyDescent="0.25">
      <c r="A251" s="57" t="s">
        <v>67</v>
      </c>
      <c r="B251" s="57" t="s">
        <v>207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si="372"/>
        <v>NOVEMBRE 2025</v>
      </c>
      <c r="F251" s="57" t="str">
        <f t="shared" si="373"/>
        <v>11 NOVEMBRE 2025</v>
      </c>
      <c r="G251" s="59">
        <v>2.4</v>
      </c>
      <c r="H251" s="1338" t="s">
        <v>69</v>
      </c>
      <c r="I251" s="960"/>
      <c r="J251" s="59"/>
      <c r="K251" s="59"/>
    </row>
    <row r="252" spans="1:11" x14ac:dyDescent="0.25">
      <c r="A252" s="57" t="s">
        <v>121</v>
      </c>
      <c r="B252" s="57" t="s">
        <v>207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ref="E252:E254" si="374">CONCATENATE(,B252," ",C252)</f>
        <v>NOVEMBRE 2025</v>
      </c>
      <c r="F252" s="57" t="str">
        <f t="shared" ref="F252:F254" si="375">CONCATENATE(D252," ",E252)</f>
        <v>11 NOVEMBRE 2025</v>
      </c>
      <c r="G252" s="59">
        <v>0.4</v>
      </c>
      <c r="H252" s="1338" t="s">
        <v>777</v>
      </c>
      <c r="I252" s="960"/>
      <c r="J252" s="59"/>
      <c r="K252" s="59"/>
    </row>
    <row r="253" spans="1:11" x14ac:dyDescent="0.25">
      <c r="A253" s="57" t="s">
        <v>121</v>
      </c>
      <c r="B253" s="57" t="s">
        <v>207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si="374"/>
        <v>NOVEMBRE 2025</v>
      </c>
      <c r="F253" s="57" t="str">
        <f t="shared" si="375"/>
        <v>11 NOVEMBRE 2025</v>
      </c>
      <c r="G253" s="59">
        <v>0.4</v>
      </c>
      <c r="H253" s="1338" t="s">
        <v>777</v>
      </c>
      <c r="I253" s="960"/>
      <c r="J253" s="59"/>
      <c r="K253" s="59"/>
    </row>
    <row r="254" spans="1:11" x14ac:dyDescent="0.25">
      <c r="A254" s="57" t="s">
        <v>121</v>
      </c>
      <c r="B254" s="57" t="s">
        <v>207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si="374"/>
        <v>NOVEMBRE 2025</v>
      </c>
      <c r="F254" s="57" t="str">
        <f t="shared" si="375"/>
        <v>11 NOVEMBRE 2025</v>
      </c>
      <c r="G254" s="59">
        <v>0.4</v>
      </c>
      <c r="H254" s="1338" t="s">
        <v>777</v>
      </c>
      <c r="I254" s="960"/>
      <c r="J254" s="59"/>
      <c r="K254" s="59"/>
    </row>
    <row r="255" spans="1:11" x14ac:dyDescent="0.25">
      <c r="A255" s="57" t="s">
        <v>121</v>
      </c>
      <c r="B255" s="57" t="s">
        <v>207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ref="E255:E257" si="376">CONCATENATE(,B255," ",C255)</f>
        <v>NOVEMBRE 2025</v>
      </c>
      <c r="F255" s="57" t="str">
        <f t="shared" ref="F255:F257" si="377">CONCATENATE(D255," ",E255)</f>
        <v>11 NOVEMBRE 2025</v>
      </c>
      <c r="G255" s="59">
        <v>0.4</v>
      </c>
      <c r="H255" s="1338" t="s">
        <v>777</v>
      </c>
      <c r="I255" s="960"/>
      <c r="J255" s="59"/>
      <c r="K255" s="59"/>
    </row>
    <row r="256" spans="1:11" x14ac:dyDescent="0.25">
      <c r="A256" s="57" t="s">
        <v>121</v>
      </c>
      <c r="B256" s="57" t="s">
        <v>207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si="376"/>
        <v>NOVEMBRE 2025</v>
      </c>
      <c r="F256" s="57" t="str">
        <f t="shared" si="377"/>
        <v>11 NOVEMBRE 2025</v>
      </c>
      <c r="G256" s="59">
        <v>0.4</v>
      </c>
      <c r="H256" s="1338" t="s">
        <v>777</v>
      </c>
      <c r="I256" s="960"/>
      <c r="J256" s="59"/>
      <c r="K256" s="59"/>
    </row>
    <row r="257" spans="1:11" x14ac:dyDescent="0.25">
      <c r="A257" s="57" t="s">
        <v>121</v>
      </c>
      <c r="B257" s="57" t="s">
        <v>207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si="376"/>
        <v>NOVEMBRE 2025</v>
      </c>
      <c r="F257" s="57" t="str">
        <f t="shared" si="377"/>
        <v>11 NOVEMBRE 2025</v>
      </c>
      <c r="G257" s="59">
        <v>0.4</v>
      </c>
      <c r="H257" s="1338" t="s">
        <v>777</v>
      </c>
      <c r="I257" s="960"/>
      <c r="J257" s="59"/>
      <c r="K257" s="59"/>
    </row>
    <row r="258" spans="1:11" x14ac:dyDescent="0.25">
      <c r="A258" s="57" t="s">
        <v>1121</v>
      </c>
      <c r="B258" s="57" t="s">
        <v>207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ref="E258:E261" si="378">CONCATENATE(,B258," ",C258)</f>
        <v>NOVEMBRE 2025</v>
      </c>
      <c r="F258" s="57" t="str">
        <f t="shared" ref="F258:F261" si="379">CONCATENATE(D258," ",E258)</f>
        <v>11 NOVEMBRE 2025</v>
      </c>
      <c r="G258" s="59">
        <v>17.5</v>
      </c>
      <c r="H258" s="1338" t="s">
        <v>69</v>
      </c>
      <c r="I258" s="960"/>
      <c r="J258" s="59"/>
      <c r="K258" s="59" t="s">
        <v>1124</v>
      </c>
    </row>
    <row r="259" spans="1:11" x14ac:dyDescent="0.25">
      <c r="A259" s="57" t="s">
        <v>121</v>
      </c>
      <c r="B259" s="57" t="s">
        <v>207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si="378"/>
        <v>NOVEMBRE 2025</v>
      </c>
      <c r="F259" s="57" t="str">
        <f t="shared" si="379"/>
        <v>11 NOVEMBRE 2025</v>
      </c>
      <c r="G259" s="59">
        <v>0.4</v>
      </c>
      <c r="H259" s="1338" t="s">
        <v>777</v>
      </c>
      <c r="I259" s="960"/>
      <c r="J259" s="59"/>
      <c r="K259" s="59"/>
    </row>
    <row r="260" spans="1:11" x14ac:dyDescent="0.25">
      <c r="A260" s="57" t="s">
        <v>121</v>
      </c>
      <c r="B260" s="57" t="s">
        <v>207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ref="E260" si="380">CONCATENATE(,B260," ",C260)</f>
        <v>NOVEMBRE 2025</v>
      </c>
      <c r="F260" s="57" t="str">
        <f t="shared" ref="F260" si="381">CONCATENATE(D260," ",E260)</f>
        <v>11 NOVEMBRE 2025</v>
      </c>
      <c r="G260" s="59">
        <v>0.4</v>
      </c>
      <c r="H260" s="1338" t="s">
        <v>777</v>
      </c>
      <c r="I260" s="960"/>
      <c r="J260" s="59"/>
      <c r="K260" s="59"/>
    </row>
    <row r="261" spans="1:11" x14ac:dyDescent="0.25">
      <c r="A261" s="57" t="s">
        <v>121</v>
      </c>
      <c r="B261" s="57" t="s">
        <v>207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si="378"/>
        <v>NOVEMBRE 2025</v>
      </c>
      <c r="F261" s="57" t="str">
        <f t="shared" si="379"/>
        <v>11 NOVEMBRE 2025</v>
      </c>
      <c r="G261" s="59">
        <v>0.4</v>
      </c>
      <c r="H261" s="1338" t="s">
        <v>777</v>
      </c>
      <c r="I261" s="960"/>
      <c r="J261" s="59"/>
      <c r="K261" s="59"/>
    </row>
    <row r="262" spans="1:11" x14ac:dyDescent="0.25">
      <c r="A262" s="57" t="s">
        <v>1123</v>
      </c>
      <c r="B262" s="57" t="s">
        <v>207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ref="E262" si="382">CONCATENATE(,B262," ",C262)</f>
        <v>NOVEMBRE 2025</v>
      </c>
      <c r="F262" s="57" t="str">
        <f t="shared" ref="F262" si="383">CONCATENATE(D262," ",E262)</f>
        <v>11 NOVEMBRE 2025</v>
      </c>
      <c r="G262" s="59">
        <v>32.5</v>
      </c>
      <c r="H262" s="1338" t="s">
        <v>69</v>
      </c>
      <c r="I262" s="960"/>
      <c r="J262" s="59"/>
      <c r="K262" s="59" t="s">
        <v>1124</v>
      </c>
    </row>
    <row r="263" spans="1:11" x14ac:dyDescent="0.25">
      <c r="A263" s="57" t="s">
        <v>1122</v>
      </c>
      <c r="B263" s="57" t="s">
        <v>207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ref="E263" si="384">CONCATENATE(,B263," ",C263)</f>
        <v>NOVEMBRE 2025</v>
      </c>
      <c r="F263" s="57" t="str">
        <f t="shared" ref="F263" si="385">CONCATENATE(D263," ",E263)</f>
        <v>11 NOVEMBRE 2025</v>
      </c>
      <c r="G263" s="59">
        <v>36</v>
      </c>
      <c r="H263" s="1338" t="s">
        <v>69</v>
      </c>
      <c r="I263" s="960"/>
      <c r="J263" s="59"/>
      <c r="K263" s="59" t="s">
        <v>1124</v>
      </c>
    </row>
    <row r="264" spans="1:11" x14ac:dyDescent="0.25">
      <c r="A264" s="57" t="s">
        <v>1121</v>
      </c>
      <c r="B264" s="57" t="s">
        <v>207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ref="E264" si="386">CONCATENATE(,B264," ",C264)</f>
        <v>NOVEMBRE 2025</v>
      </c>
      <c r="F264" s="57" t="str">
        <f t="shared" ref="F264" si="387">CONCATENATE(D264," ",E264)</f>
        <v>11 NOVEMBRE 2025</v>
      </c>
      <c r="G264" s="59">
        <v>22.5</v>
      </c>
      <c r="H264" s="1338" t="s">
        <v>69</v>
      </c>
      <c r="I264" s="960"/>
      <c r="J264" s="59"/>
      <c r="K264" s="59" t="s">
        <v>1124</v>
      </c>
    </row>
    <row r="265" spans="1:11" x14ac:dyDescent="0.25">
      <c r="A265" s="57" t="s">
        <v>1120</v>
      </c>
      <c r="B265" s="57" t="s">
        <v>207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ref="E265" si="388">CONCATENATE(,B265," ",C265)</f>
        <v>NOVEMBRE 2025</v>
      </c>
      <c r="F265" s="57" t="str">
        <f t="shared" ref="F265" si="389">CONCATENATE(D265," ",E265)</f>
        <v>11 NOVEMBRE 2025</v>
      </c>
      <c r="G265" s="59">
        <v>12.5</v>
      </c>
      <c r="H265" s="1338" t="s">
        <v>69</v>
      </c>
      <c r="I265" s="960"/>
      <c r="J265" s="59"/>
      <c r="K265" s="59" t="s">
        <v>1124</v>
      </c>
    </row>
    <row r="266" spans="1:11" x14ac:dyDescent="0.25">
      <c r="A266" s="57" t="s">
        <v>138</v>
      </c>
      <c r="B266" s="57" t="s">
        <v>207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" si="390">CONCATENATE(,B266," ",C266)</f>
        <v>NOVEMBRE 2025</v>
      </c>
      <c r="F266" s="57" t="str">
        <f t="shared" ref="F266" si="391">CONCATENATE(D266," ",E266)</f>
        <v>11 NOVEMBRE 2025</v>
      </c>
      <c r="G266" s="59">
        <v>27.5</v>
      </c>
      <c r="H266" s="1338" t="s">
        <v>69</v>
      </c>
      <c r="I266" s="960"/>
      <c r="J266" s="59"/>
      <c r="K266" s="59" t="s">
        <v>1124</v>
      </c>
    </row>
    <row r="267" spans="1:11" x14ac:dyDescent="0.25">
      <c r="A267" s="57" t="s">
        <v>67</v>
      </c>
      <c r="B267" s="57" t="s">
        <v>207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92">CONCATENATE(,B267," ",C267)</f>
        <v>NOVEMBRE 2025</v>
      </c>
      <c r="F267" s="57" t="str">
        <f t="shared" ref="F267" si="393">CONCATENATE(D267," ",E267)</f>
        <v>11 NOVEMBRE 2025</v>
      </c>
      <c r="G267" s="59">
        <v>7</v>
      </c>
      <c r="H267" s="1338" t="s">
        <v>776</v>
      </c>
      <c r="I267" s="960"/>
      <c r="J267" s="59"/>
      <c r="K267" s="59"/>
    </row>
    <row r="268" spans="1:11" x14ac:dyDescent="0.25">
      <c r="A268" s="57" t="s">
        <v>121</v>
      </c>
      <c r="B268" s="57" t="s">
        <v>207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:E273" si="394">CONCATENATE(,B268," ",C268)</f>
        <v>NOVEMBRE 2025</v>
      </c>
      <c r="F268" s="57" t="str">
        <f t="shared" ref="F268:F273" si="395">CONCATENATE(D268," ",E268)</f>
        <v>11 NOVEMBRE 2025</v>
      </c>
      <c r="G268" s="59">
        <v>0.4</v>
      </c>
      <c r="H268" s="1338" t="s">
        <v>777</v>
      </c>
      <c r="I268" s="960"/>
      <c r="J268" s="59"/>
      <c r="K268" s="59"/>
    </row>
    <row r="269" spans="1:11" x14ac:dyDescent="0.25">
      <c r="A269" s="57" t="s">
        <v>121</v>
      </c>
      <c r="B269" s="57" t="s">
        <v>207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si="394"/>
        <v>NOVEMBRE 2025</v>
      </c>
      <c r="F269" s="57" t="str">
        <f t="shared" si="395"/>
        <v>11 NOVEMBRE 2025</v>
      </c>
      <c r="G269" s="59">
        <v>0.4</v>
      </c>
      <c r="H269" s="1338" t="s">
        <v>777</v>
      </c>
      <c r="I269" s="960"/>
      <c r="J269" s="59"/>
      <c r="K269" s="59"/>
    </row>
    <row r="270" spans="1:11" x14ac:dyDescent="0.25">
      <c r="A270" s="57" t="s">
        <v>121</v>
      </c>
      <c r="B270" s="57" t="s">
        <v>207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 t="shared" si="394"/>
        <v>NOVEMBRE 2025</v>
      </c>
      <c r="F270" s="57" t="str">
        <f t="shared" si="395"/>
        <v>11 NOVEMBRE 2025</v>
      </c>
      <c r="G270" s="59">
        <v>0.4</v>
      </c>
      <c r="H270" s="1338" t="s">
        <v>777</v>
      </c>
      <c r="I270" s="960"/>
      <c r="J270" s="59"/>
      <c r="K270" s="59"/>
    </row>
    <row r="271" spans="1:11" x14ac:dyDescent="0.25">
      <c r="A271" s="57" t="s">
        <v>121</v>
      </c>
      <c r="B271" s="57" t="s">
        <v>207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si="394"/>
        <v>NOVEMBRE 2025</v>
      </c>
      <c r="F271" s="57" t="str">
        <f t="shared" si="395"/>
        <v>11 NOVEMBRE 2025</v>
      </c>
      <c r="G271" s="59">
        <v>0.4</v>
      </c>
      <c r="H271" s="1338" t="s">
        <v>777</v>
      </c>
      <c r="I271" s="960"/>
      <c r="J271" s="59"/>
      <c r="K271" s="59"/>
    </row>
    <row r="272" spans="1:11" x14ac:dyDescent="0.25">
      <c r="A272" s="57" t="s">
        <v>121</v>
      </c>
      <c r="B272" s="57" t="s">
        <v>207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si="394"/>
        <v>NOVEMBRE 2025</v>
      </c>
      <c r="F272" s="57" t="str">
        <f t="shared" si="395"/>
        <v>11 NOVEMBRE 2025</v>
      </c>
      <c r="G272" s="59">
        <v>0.4</v>
      </c>
      <c r="H272" s="1338" t="s">
        <v>777</v>
      </c>
      <c r="I272" s="960"/>
      <c r="J272" s="59"/>
      <c r="K272" s="59"/>
    </row>
    <row r="273" spans="1:11" x14ac:dyDescent="0.25">
      <c r="A273" s="57" t="s">
        <v>121</v>
      </c>
      <c r="B273" s="57" t="s">
        <v>207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si="394"/>
        <v>NOVEMBRE 2025</v>
      </c>
      <c r="F273" s="57" t="str">
        <f t="shared" si="395"/>
        <v>11 NOVEMBRE 2025</v>
      </c>
      <c r="G273" s="59">
        <v>0.4</v>
      </c>
      <c r="H273" s="1338" t="s">
        <v>777</v>
      </c>
      <c r="I273" s="960"/>
      <c r="J273" s="59"/>
      <c r="K273" s="59"/>
    </row>
    <row r="274" spans="1:11" x14ac:dyDescent="0.25">
      <c r="A274" s="57" t="s">
        <v>113</v>
      </c>
      <c r="B274" s="57" t="s">
        <v>207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 t="shared" ref="E274" si="396">CONCATENATE(,B274," ",C274)</f>
        <v>NOVEMBRE 2025</v>
      </c>
      <c r="F274" s="57" t="str">
        <f t="shared" ref="F274" si="397">CONCATENATE(D274," ",E274)</f>
        <v>11 NOVEMBRE 2025</v>
      </c>
      <c r="G274" s="59">
        <v>33</v>
      </c>
      <c r="H274" s="1338" t="s">
        <v>114</v>
      </c>
      <c r="I274" s="960"/>
      <c r="J274" s="59"/>
      <c r="K274" s="59"/>
    </row>
    <row r="275" spans="1:11" x14ac:dyDescent="0.25">
      <c r="A275" s="57" t="s">
        <v>108</v>
      </c>
      <c r="B275" s="57" t="s">
        <v>207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 t="shared" ref="E275" si="398">CONCATENATE(,B275," ",C275)</f>
        <v>NOVEMBRE 2025</v>
      </c>
      <c r="F275" s="57" t="str">
        <f t="shared" ref="F275" si="399">CONCATENATE(D275," ",E275)</f>
        <v>11 NOVEMBRE 2025</v>
      </c>
      <c r="G275" s="59">
        <v>7.31</v>
      </c>
      <c r="H275" s="1338" t="s">
        <v>75</v>
      </c>
      <c r="I275" s="960"/>
      <c r="J275" s="59"/>
      <c r="K275" s="59"/>
    </row>
    <row r="276" spans="1:11" x14ac:dyDescent="0.25">
      <c r="A276" s="57" t="s">
        <v>173</v>
      </c>
      <c r="B276" s="57" t="s">
        <v>207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400">CONCATENATE(,B276," ",C276)</f>
        <v>NOVEMBRE 2025</v>
      </c>
      <c r="F276" s="57" t="str">
        <f t="shared" ref="F276" si="401">CONCATENATE(D276," ",E276)</f>
        <v>11 NOVEMBRE 2025</v>
      </c>
      <c r="G276" s="59">
        <v>180</v>
      </c>
      <c r="H276" s="1338" t="s">
        <v>741</v>
      </c>
      <c r="I276" s="960"/>
      <c r="J276" s="59" t="s">
        <v>173</v>
      </c>
      <c r="K276" s="59" t="s">
        <v>1119</v>
      </c>
    </row>
    <row r="277" spans="1:11" x14ac:dyDescent="0.25">
      <c r="A277" s="57" t="s">
        <v>79</v>
      </c>
      <c r="B277" s="57" t="s">
        <v>207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 t="shared" ref="E277" si="402">CONCATENATE(,B277," ",C277)</f>
        <v>NOVEMBRE 2025</v>
      </c>
      <c r="F277" s="57" t="str">
        <f t="shared" ref="F277" si="403">CONCATENATE(D277," ",E277)</f>
        <v>11 NOVEMBRE 2025</v>
      </c>
      <c r="G277" s="59">
        <v>8</v>
      </c>
      <c r="H277" s="1338" t="s">
        <v>81</v>
      </c>
      <c r="I277" s="960"/>
      <c r="J277" s="59"/>
      <c r="K277" s="59"/>
    </row>
    <row r="278" spans="1:11" x14ac:dyDescent="0.25">
      <c r="A278" s="57" t="s">
        <v>122</v>
      </c>
      <c r="B278" s="57" t="s">
        <v>207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404">CONCATENATE(,B278," ",C278)</f>
        <v>NOVEMBRE 2025</v>
      </c>
      <c r="F278" s="57" t="str">
        <f t="shared" ref="F278" si="405">CONCATENATE(D278," ",E278)</f>
        <v>11 NOVEMBRE 2025</v>
      </c>
      <c r="G278" s="59">
        <v>13.64</v>
      </c>
      <c r="H278" s="1338" t="s">
        <v>77</v>
      </c>
      <c r="I278" s="960"/>
      <c r="J278" s="59"/>
      <c r="K278" s="59"/>
    </row>
    <row r="279" spans="1:11" x14ac:dyDescent="0.25">
      <c r="A279" s="57" t="s">
        <v>121</v>
      </c>
      <c r="B279" s="57" t="s">
        <v>207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>CONCATENATE(,B279," ",C279)</f>
        <v>NOVEMBRE 2025</v>
      </c>
      <c r="F279" s="57" t="str">
        <f>CONCATENATE(D279," ",E279)</f>
        <v>11 NOVEMBRE 2025</v>
      </c>
      <c r="G279" s="59">
        <v>0.4</v>
      </c>
      <c r="H279" s="1338" t="s">
        <v>777</v>
      </c>
      <c r="I279" s="960"/>
      <c r="J279" s="59"/>
      <c r="K279" s="59"/>
    </row>
    <row r="280" spans="1:11" x14ac:dyDescent="0.25">
      <c r="A280" s="57" t="s">
        <v>1118</v>
      </c>
      <c r="B280" s="57" t="s">
        <v>207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6">CONCATENATE(,B280," ",C280)</f>
        <v>NOVEMBRE 2025</v>
      </c>
      <c r="F280" s="57" t="str">
        <f t="shared" ref="F280" si="407">CONCATENATE(D280," ",E280)</f>
        <v>11 NOVEMBRE 2025</v>
      </c>
      <c r="G280" s="59">
        <v>30</v>
      </c>
      <c r="H280" s="1338" t="s">
        <v>69</v>
      </c>
      <c r="I280" s="960"/>
      <c r="J280" s="59"/>
      <c r="K280" s="59"/>
    </row>
    <row r="281" spans="1:11" x14ac:dyDescent="0.25">
      <c r="A281" s="57" t="s">
        <v>1117</v>
      </c>
      <c r="B281" s="57" t="s">
        <v>207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08">CONCATENATE(,B281," ",C281)</f>
        <v>NOVEMBRE 2025</v>
      </c>
      <c r="F281" s="57" t="str">
        <f t="shared" ref="F281" si="409">CONCATENATE(D281," ",E281)</f>
        <v>11 NOVEMBRE 2025</v>
      </c>
      <c r="G281" s="59">
        <v>18</v>
      </c>
      <c r="H281" s="1338" t="s">
        <v>69</v>
      </c>
      <c r="I281" s="960"/>
      <c r="J281" s="59"/>
      <c r="K281" s="59"/>
    </row>
    <row r="282" spans="1:11" x14ac:dyDescent="0.25">
      <c r="A282" s="57" t="s">
        <v>67</v>
      </c>
      <c r="B282" s="57" t="s">
        <v>207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10">CONCATENATE(,B282," ",C282)</f>
        <v>NOVEMBRE 2025</v>
      </c>
      <c r="F282" s="57" t="str">
        <f t="shared" ref="F282" si="411">CONCATENATE(D282," ",E282)</f>
        <v>11 NOVEMBRE 2025</v>
      </c>
      <c r="G282" s="59">
        <v>8.5</v>
      </c>
      <c r="H282" s="1338" t="s">
        <v>776</v>
      </c>
      <c r="I282" s="960"/>
      <c r="J282" s="59"/>
      <c r="K282" s="59"/>
    </row>
    <row r="283" spans="1:11" x14ac:dyDescent="0.25">
      <c r="A283" s="57" t="s">
        <v>121</v>
      </c>
      <c r="B283" s="57" t="s">
        <v>207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>CONCATENATE(,B283," ",C283)</f>
        <v>NOVEMBRE 2025</v>
      </c>
      <c r="F283" s="57" t="str">
        <f>CONCATENATE(D283," ",E283)</f>
        <v>11 NOVEMBRE 2025</v>
      </c>
      <c r="G283" s="59">
        <v>0.4</v>
      </c>
      <c r="H283" s="1338" t="s">
        <v>777</v>
      </c>
      <c r="I283" s="960"/>
      <c r="J283" s="59"/>
      <c r="K283" s="59"/>
    </row>
    <row r="284" spans="1:11" x14ac:dyDescent="0.25">
      <c r="A284" s="57" t="s">
        <v>121</v>
      </c>
      <c r="B284" s="57" t="s">
        <v>207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>CONCATENATE(,B284," ",C284)</f>
        <v>NOVEMBRE 2025</v>
      </c>
      <c r="F284" s="57" t="str">
        <f>CONCATENATE(D284," ",E284)</f>
        <v>11 NOVEMBRE 2025</v>
      </c>
      <c r="G284" s="59">
        <v>0.4</v>
      </c>
      <c r="H284" s="1338" t="s">
        <v>777</v>
      </c>
      <c r="I284" s="960"/>
      <c r="J284" s="59"/>
      <c r="K284" s="59"/>
    </row>
    <row r="285" spans="1:11" x14ac:dyDescent="0.25">
      <c r="A285" s="57" t="s">
        <v>67</v>
      </c>
      <c r="B285" s="57" t="s">
        <v>207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" si="412">CONCATENATE(,B285," ",C285)</f>
        <v>NOVEMBRE 2025</v>
      </c>
      <c r="F285" s="57" t="str">
        <f t="shared" ref="F285" si="413">CONCATENATE(D285," ",E285)</f>
        <v>11 NOVEMBRE 2025</v>
      </c>
      <c r="G285" s="59">
        <v>7</v>
      </c>
      <c r="H285" s="1338" t="s">
        <v>776</v>
      </c>
      <c r="I285" s="960"/>
      <c r="J285" s="59"/>
      <c r="K285" s="59"/>
    </row>
    <row r="286" spans="1:11" x14ac:dyDescent="0.25">
      <c r="A286" s="57" t="s">
        <v>121</v>
      </c>
      <c r="B286" s="57" t="s">
        <v>207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>CONCATENATE(,B286," ",C286)</f>
        <v>NOVEMBRE 2025</v>
      </c>
      <c r="F286" s="57" t="str">
        <f>CONCATENATE(D286," ",E286)</f>
        <v>11 NOVEMBRE 2025</v>
      </c>
      <c r="G286" s="59">
        <v>0.4</v>
      </c>
      <c r="H286" s="1338" t="s">
        <v>777</v>
      </c>
      <c r="I286" s="960"/>
      <c r="J286" s="59"/>
      <c r="K286" s="59"/>
    </row>
    <row r="287" spans="1:11" x14ac:dyDescent="0.25">
      <c r="A287" s="57" t="s">
        <v>1116</v>
      </c>
      <c r="B287" s="57" t="s">
        <v>207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" si="414">CONCATENATE(,B287," ",C287)</f>
        <v>NOVEMBRE 2025</v>
      </c>
      <c r="F287" s="57" t="str">
        <f t="shared" ref="F287" si="415">CONCATENATE(D287," ",E287)</f>
        <v>11 NOVEMBRE 2025</v>
      </c>
      <c r="G287" s="59">
        <v>11</v>
      </c>
      <c r="H287" s="1338" t="s">
        <v>69</v>
      </c>
      <c r="I287" s="960"/>
      <c r="J287" s="59"/>
      <c r="K287" s="59"/>
    </row>
    <row r="288" spans="1:11" x14ac:dyDescent="0.25">
      <c r="A288" s="57" t="s">
        <v>173</v>
      </c>
      <c r="B288" s="57" t="s">
        <v>207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16">CONCATENATE(,B288," ",C288)</f>
        <v>NOVEMBRE 2025</v>
      </c>
      <c r="F288" s="57" t="str">
        <f t="shared" ref="F288" si="417">CONCATENATE(D288," ",E288)</f>
        <v>11 NOVEMBRE 2025</v>
      </c>
      <c r="G288" s="59">
        <v>45</v>
      </c>
      <c r="H288" s="1338" t="s">
        <v>1137</v>
      </c>
      <c r="I288" s="960"/>
      <c r="J288" s="59" t="s">
        <v>173</v>
      </c>
      <c r="K288" s="59" t="s">
        <v>1136</v>
      </c>
    </row>
    <row r="289" spans="1:11" x14ac:dyDescent="0.25">
      <c r="A289" s="57" t="s">
        <v>67</v>
      </c>
      <c r="B289" s="57" t="s">
        <v>207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18">CONCATENATE(,B289," ",C289)</f>
        <v>NOVEMBRE 2025</v>
      </c>
      <c r="F289" s="57" t="str">
        <f t="shared" ref="F289" si="419">CONCATENATE(D289," ",E289)</f>
        <v>11 NOVEMBRE 2025</v>
      </c>
      <c r="G289" s="59">
        <v>4.2</v>
      </c>
      <c r="H289" s="1338" t="s">
        <v>69</v>
      </c>
      <c r="I289" s="960"/>
      <c r="J289" s="59"/>
      <c r="K289" s="59"/>
    </row>
    <row r="290" spans="1:11" x14ac:dyDescent="0.25">
      <c r="A290" s="57" t="s">
        <v>108</v>
      </c>
      <c r="B290" s="57" t="s">
        <v>207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0">CONCATENATE(,B290," ",C290)</f>
        <v>NOVEMBRE 2025</v>
      </c>
      <c r="F290" s="57" t="str">
        <f t="shared" ref="F290" si="421">CONCATENATE(D290," ",E290)</f>
        <v>11 NOVEMBRE 2025</v>
      </c>
      <c r="G290" s="59">
        <v>6.99</v>
      </c>
      <c r="H290" s="1338" t="s">
        <v>75</v>
      </c>
      <c r="I290" s="960"/>
      <c r="J290" s="59"/>
      <c r="K290" s="59"/>
    </row>
    <row r="291" spans="1:11" x14ac:dyDescent="0.25">
      <c r="A291" s="57" t="s">
        <v>211</v>
      </c>
      <c r="B291" s="57" t="s">
        <v>207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 t="shared" ref="E291" si="422">CONCATENATE(,B291," ",C291)</f>
        <v>NOVEMBRE 2025</v>
      </c>
      <c r="F291" s="57" t="str">
        <f t="shared" ref="F291" si="423">CONCATENATE(D291," ",E291)</f>
        <v>11 NOVEMBRE 2025</v>
      </c>
      <c r="G291" s="59">
        <v>87</v>
      </c>
      <c r="H291" s="1338" t="s">
        <v>114</v>
      </c>
      <c r="I291" s="960"/>
      <c r="J291" s="59"/>
      <c r="K291" s="59"/>
    </row>
    <row r="292" spans="1:11" x14ac:dyDescent="0.25">
      <c r="A292" s="57" t="s">
        <v>108</v>
      </c>
      <c r="B292" s="57" t="s">
        <v>207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4">CONCATENATE(,B292," ",C292)</f>
        <v>NOVEMBRE 2025</v>
      </c>
      <c r="F292" s="57" t="str">
        <f t="shared" ref="F292" si="425">CONCATENATE(D292," ",E292)</f>
        <v>11 NOVEMBRE 2025</v>
      </c>
      <c r="G292" s="59">
        <v>13.99</v>
      </c>
      <c r="H292" s="1338" t="s">
        <v>75</v>
      </c>
      <c r="I292" s="960"/>
      <c r="J292" s="59"/>
      <c r="K292" s="59"/>
    </row>
    <row r="293" spans="1:11" x14ac:dyDescent="0.25">
      <c r="A293" s="57" t="s">
        <v>1089</v>
      </c>
      <c r="B293" s="57" t="s">
        <v>207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6">CONCATENATE(,B293," ",C293)</f>
        <v>NOVEMBRE 2025</v>
      </c>
      <c r="F293" s="57" t="str">
        <f t="shared" ref="F293" si="427">CONCATENATE(D293," ",E293)</f>
        <v>11 NOVEMBRE 2025</v>
      </c>
      <c r="G293" s="59">
        <v>26.7</v>
      </c>
      <c r="H293" s="1338" t="s">
        <v>69</v>
      </c>
      <c r="I293" s="960"/>
      <c r="J293" s="59"/>
      <c r="K293" s="59"/>
    </row>
    <row r="294" spans="1:11" x14ac:dyDescent="0.25">
      <c r="A294" s="57" t="s">
        <v>171</v>
      </c>
      <c r="B294" s="57" t="s">
        <v>207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59">
        <v>2</v>
      </c>
      <c r="H294" s="1338" t="s">
        <v>69</v>
      </c>
      <c r="I294" s="960"/>
      <c r="J294" s="59"/>
      <c r="K294" s="59"/>
    </row>
    <row r="295" spans="1:11" x14ac:dyDescent="0.25">
      <c r="A295" s="57" t="s">
        <v>171</v>
      </c>
      <c r="B295" s="57" t="s">
        <v>207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59">
        <v>52.95</v>
      </c>
      <c r="H295" s="1338" t="s">
        <v>81</v>
      </c>
      <c r="I295" s="960"/>
      <c r="J295" s="59"/>
      <c r="K295" s="59"/>
    </row>
    <row r="296" spans="1:11" x14ac:dyDescent="0.25">
      <c r="A296" s="57" t="s">
        <v>1115</v>
      </c>
      <c r="B296" s="57" t="s">
        <v>207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59">
        <v>80</v>
      </c>
      <c r="H296" s="1338" t="s">
        <v>69</v>
      </c>
      <c r="I296" s="960"/>
      <c r="J296" s="59"/>
      <c r="K296" s="59"/>
    </row>
    <row r="297" spans="1:11" x14ac:dyDescent="0.25">
      <c r="A297" s="57" t="s">
        <v>173</v>
      </c>
      <c r="B297" s="57" t="s">
        <v>207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" si="434">CONCATENATE(,B297," ",C297)</f>
        <v>NOVEMBRE 2025</v>
      </c>
      <c r="F297" s="57" t="str">
        <f t="shared" ref="F297" si="435">CONCATENATE(D297," ",E297)</f>
        <v>11 NOVEMBRE 2025</v>
      </c>
      <c r="G297" s="59">
        <v>80</v>
      </c>
      <c r="H297" s="1338" t="s">
        <v>1137</v>
      </c>
      <c r="I297" s="960"/>
      <c r="J297" s="59" t="s">
        <v>173</v>
      </c>
      <c r="K297" s="59" t="s">
        <v>1136</v>
      </c>
    </row>
    <row r="298" spans="1:11" x14ac:dyDescent="0.25">
      <c r="A298" s="57" t="s">
        <v>122</v>
      </c>
      <c r="B298" s="57" t="s">
        <v>207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ref="E298" si="436">CONCATENATE(,B298," ",C298)</f>
        <v>NOVEMBRE 2025</v>
      </c>
      <c r="F298" s="57" t="str">
        <f t="shared" ref="F298" si="437">CONCATENATE(D298," ",E298)</f>
        <v>11 NOVEMBRE 2025</v>
      </c>
      <c r="G298" s="59">
        <v>5.66</v>
      </c>
      <c r="H298" s="1338" t="s">
        <v>77</v>
      </c>
      <c r="I298" s="960"/>
      <c r="J298" s="59"/>
      <c r="K298" s="59"/>
    </row>
    <row r="299" spans="1:11" x14ac:dyDescent="0.25">
      <c r="A299" s="57" t="s">
        <v>79</v>
      </c>
      <c r="B299" s="57" t="s">
        <v>207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ref="E299" si="438">CONCATENATE(,B299," ",C299)</f>
        <v>NOVEMBRE 2025</v>
      </c>
      <c r="F299" s="57" t="str">
        <f t="shared" ref="F299" si="439">CONCATENATE(D299," ",E299)</f>
        <v>11 NOVEMBRE 2025</v>
      </c>
      <c r="G299" s="59">
        <v>34.96</v>
      </c>
      <c r="H299" s="1338" t="s">
        <v>81</v>
      </c>
      <c r="I299" s="960"/>
      <c r="J299" s="59"/>
      <c r="K299" s="59"/>
    </row>
    <row r="300" spans="1:11" x14ac:dyDescent="0.25">
      <c r="A300" s="57" t="s">
        <v>121</v>
      </c>
      <c r="B300" s="57" t="s">
        <v>207</v>
      </c>
      <c r="C300" s="57">
        <v>2025</v>
      </c>
      <c r="D300" s="58">
        <f>MATCH(B300,{"GENNAIO","FEBBRAIO","MARZO","APRILE","MAGGIO","GIUGNO","LUGLIO","AGOSTO","SETTEMBRE","OTTOBRE","NOVEMBRE","DICEMBRE"},0)</f>
        <v>11</v>
      </c>
      <c r="E300" s="57" t="str">
        <f>CONCATENATE(,B300," ",C300)</f>
        <v>NOVEMBRE 2025</v>
      </c>
      <c r="F300" s="57" t="str">
        <f>CONCATENATE(D300," ",E300)</f>
        <v>11 NOVEMBRE 2025</v>
      </c>
      <c r="G300" s="59">
        <v>0.4</v>
      </c>
      <c r="H300" s="1338" t="s">
        <v>777</v>
      </c>
      <c r="I300" s="960"/>
      <c r="J300" s="59"/>
      <c r="K300" s="59"/>
    </row>
    <row r="301" spans="1:11" x14ac:dyDescent="0.25">
      <c r="A301" s="57" t="s">
        <v>67</v>
      </c>
      <c r="B301" s="57" t="s">
        <v>207</v>
      </c>
      <c r="C301" s="57">
        <v>2025</v>
      </c>
      <c r="D301" s="58">
        <f>MATCH(B301,{"GENNAIO","FEBBRAIO","MARZO","APRILE","MAGGIO","GIUGNO","LUGLIO","AGOSTO","SETTEMBRE","OTTOBRE","NOVEMBRE","DICEMBRE"},0)</f>
        <v>11</v>
      </c>
      <c r="E301" s="57" t="str">
        <f t="shared" ref="E301" si="440">CONCATENATE(,B301," ",C301)</f>
        <v>NOVEMBRE 2025</v>
      </c>
      <c r="F301" s="57" t="str">
        <f t="shared" ref="F301" si="441">CONCATENATE(D301," ",E301)</f>
        <v>11 NOVEMBRE 2025</v>
      </c>
      <c r="G301" s="59">
        <v>2.8</v>
      </c>
      <c r="H301" s="1338" t="s">
        <v>69</v>
      </c>
      <c r="I301" s="960"/>
      <c r="J301" s="59"/>
      <c r="K301" s="59"/>
    </row>
    <row r="302" spans="1:11" x14ac:dyDescent="0.25">
      <c r="A302" s="57" t="s">
        <v>1093</v>
      </c>
      <c r="B302" s="57" t="s">
        <v>207</v>
      </c>
      <c r="C302" s="57">
        <v>2025</v>
      </c>
      <c r="D302" s="58">
        <f>MATCH(B302,{"GENNAIO","FEBBRAIO","MARZO","APRILE","MAGGIO","GIUGNO","LUGLIO","AGOSTO","SETTEMBRE","OTTOBRE","NOVEMBRE","DICEMBRE"},0)</f>
        <v>11</v>
      </c>
      <c r="E302" s="57" t="str">
        <f t="shared" ref="E302" si="442">CONCATENATE(,B302," ",C302)</f>
        <v>NOVEMBRE 2025</v>
      </c>
      <c r="F302" s="57" t="str">
        <f t="shared" ref="F302" si="443">CONCATENATE(D302," ",E302)</f>
        <v>11 NOVEMBRE 2025</v>
      </c>
      <c r="G302" s="59">
        <v>2</v>
      </c>
      <c r="H302" s="1338" t="s">
        <v>91</v>
      </c>
      <c r="I302" s="960"/>
      <c r="J302" s="59"/>
      <c r="K302" s="59"/>
    </row>
    <row r="303" spans="1:11" x14ac:dyDescent="0.25">
      <c r="A303" s="57" t="s">
        <v>76</v>
      </c>
      <c r="B303" s="57" t="s">
        <v>207</v>
      </c>
      <c r="C303" s="57">
        <v>2025</v>
      </c>
      <c r="D303" s="58">
        <f>MATCH(B303,{"GENNAIO","FEBBRAIO","MARZO","APRILE","MAGGIO","GIUGNO","LUGLIO","AGOSTO","SETTEMBRE","OTTOBRE","NOVEMBRE","DICEMBRE"},0)</f>
        <v>11</v>
      </c>
      <c r="E303" s="57" t="str">
        <f t="shared" ref="E303" si="444">CONCATENATE(,B303," ",C303)</f>
        <v>NOVEMBRE 2025</v>
      </c>
      <c r="F303" s="57" t="str">
        <f t="shared" ref="F303" si="445">CONCATENATE(D303," ",E303)</f>
        <v>11 NOVEMBRE 2025</v>
      </c>
      <c r="G303" s="59">
        <v>38.770000000000003</v>
      </c>
      <c r="H303" s="1338" t="s">
        <v>77</v>
      </c>
      <c r="I303" s="960"/>
      <c r="J303" s="59"/>
      <c r="K303" s="59"/>
    </row>
    <row r="304" spans="1:11" x14ac:dyDescent="0.25">
      <c r="A304" s="57" t="s">
        <v>1056</v>
      </c>
      <c r="B304" s="57" t="s">
        <v>207</v>
      </c>
      <c r="C304" s="57">
        <v>2025</v>
      </c>
      <c r="D304" s="58">
        <f>MATCH(B304,{"GENNAIO","FEBBRAIO","MARZO","APRILE","MAGGIO","GIUGNO","LUGLIO","AGOSTO","SETTEMBRE","OTTOBRE","NOVEMBRE","DICEMBRE"},0)</f>
        <v>11</v>
      </c>
      <c r="E304" s="57" t="str">
        <f t="shared" ref="E304" si="446">CONCATENATE(,B304," ",C304)</f>
        <v>NOVEMBRE 2025</v>
      </c>
      <c r="F304" s="57" t="str">
        <f t="shared" ref="F304" si="447">CONCATENATE(D304," ",E304)</f>
        <v>11 NOVEMBRE 2025</v>
      </c>
      <c r="G304" s="60">
        <v>1.89</v>
      </c>
      <c r="H304" s="1338" t="s">
        <v>75</v>
      </c>
      <c r="I304" s="960"/>
      <c r="J304" s="59"/>
      <c r="K304" s="59"/>
    </row>
    <row r="305" spans="1:11" x14ac:dyDescent="0.25">
      <c r="A305" s="57" t="s">
        <v>108</v>
      </c>
      <c r="B305" s="57" t="s">
        <v>207</v>
      </c>
      <c r="C305" s="57">
        <v>2025</v>
      </c>
      <c r="D305" s="58">
        <f>MATCH(B305,{"GENNAIO","FEBBRAIO","MARZO","APRILE","MAGGIO","GIUGNO","LUGLIO","AGOSTO","SETTEMBRE","OTTOBRE","NOVEMBRE","DICEMBRE"},0)</f>
        <v>11</v>
      </c>
      <c r="E305" s="57" t="str">
        <f t="shared" ref="E305" si="448">CONCATENATE(,B305," ",C305)</f>
        <v>NOVEMBRE 2025</v>
      </c>
      <c r="F305" s="57" t="str">
        <f t="shared" ref="F305" si="449">CONCATENATE(D305," ",E305)</f>
        <v>11 NOVEMBRE 2025</v>
      </c>
      <c r="G305" s="59">
        <v>94.8</v>
      </c>
      <c r="H305" s="1338" t="s">
        <v>75</v>
      </c>
      <c r="I305" s="960" t="s">
        <v>1046</v>
      </c>
      <c r="J305" s="59" t="s">
        <v>108</v>
      </c>
      <c r="K305" s="59" t="s">
        <v>1081</v>
      </c>
    </row>
    <row r="306" spans="1:11" x14ac:dyDescent="0.25">
      <c r="A306" s="57" t="s">
        <v>108</v>
      </c>
      <c r="B306" s="57" t="s">
        <v>207</v>
      </c>
      <c r="C306" s="57">
        <v>2025</v>
      </c>
      <c r="D306" s="58">
        <f>MATCH(B306,{"GENNAIO","FEBBRAIO","MARZO","APRILE","MAGGIO","GIUGNO","LUGLIO","AGOSTO","SETTEMBRE","OTTOBRE","NOVEMBRE","DICEMBRE"},0)</f>
        <v>11</v>
      </c>
      <c r="E306" s="57" t="str">
        <f t="shared" ref="E306:E308" si="450">CONCATENATE(,B306," ",C306)</f>
        <v>NOVEMBRE 2025</v>
      </c>
      <c r="F306" s="57" t="str">
        <f t="shared" ref="F306:F308" si="451">CONCATENATE(D306," ",E306)</f>
        <v>11 NOVEMBRE 2025</v>
      </c>
      <c r="G306" s="59">
        <v>10.95</v>
      </c>
      <c r="H306" s="1338" t="s">
        <v>75</v>
      </c>
      <c r="I306" s="960" t="s">
        <v>1044</v>
      </c>
      <c r="J306" s="59" t="s">
        <v>108</v>
      </c>
      <c r="K306" s="59" t="s">
        <v>918</v>
      </c>
    </row>
    <row r="307" spans="1:11" x14ac:dyDescent="0.25">
      <c r="A307" s="57" t="s">
        <v>110</v>
      </c>
      <c r="B307" s="57" t="s">
        <v>207</v>
      </c>
      <c r="C307" s="57">
        <v>2025</v>
      </c>
      <c r="D307" s="58">
        <f>MATCH(B307,{"GENNAIO","FEBBRAIO","MARZO","APRILE","MAGGIO","GIUGNO","LUGLIO","AGOSTO","SETTEMBRE","OTTOBRE","NOVEMBRE","DICEMBRE"},0)</f>
        <v>11</v>
      </c>
      <c r="E307" s="57" t="str">
        <f t="shared" si="450"/>
        <v>NOVEMBRE 2025</v>
      </c>
      <c r="F307" s="57" t="str">
        <f t="shared" si="451"/>
        <v>11 NOVEMBRE 2025</v>
      </c>
      <c r="G307" s="59">
        <v>127.58</v>
      </c>
      <c r="H307" s="1338" t="s">
        <v>772</v>
      </c>
      <c r="I307" s="960" t="s">
        <v>989</v>
      </c>
      <c r="J307" s="59" t="s">
        <v>768</v>
      </c>
      <c r="K307" s="59" t="s">
        <v>984</v>
      </c>
    </row>
    <row r="308" spans="1:11" x14ac:dyDescent="0.25">
      <c r="A308" s="57" t="s">
        <v>171</v>
      </c>
      <c r="B308" s="57" t="s">
        <v>207</v>
      </c>
      <c r="C308" s="57">
        <v>2025</v>
      </c>
      <c r="D308" s="58">
        <f>MATCH(B308,{"GENNAIO","FEBBRAIO","MARZO","APRILE","MAGGIO","GIUGNO","LUGLIO","AGOSTO","SETTEMBRE","OTTOBRE","NOVEMBRE","DICEMBRE"},0)</f>
        <v>11</v>
      </c>
      <c r="E308" s="57" t="str">
        <f t="shared" si="450"/>
        <v>NOVEMBRE 2025</v>
      </c>
      <c r="F308" s="57" t="str">
        <f t="shared" si="451"/>
        <v>11 NOVEMBRE 2025</v>
      </c>
      <c r="G308" s="59">
        <v>33.33</v>
      </c>
      <c r="H308" s="1338" t="s">
        <v>81</v>
      </c>
      <c r="I308" s="960" t="s">
        <v>989</v>
      </c>
      <c r="J308" s="59" t="s">
        <v>768</v>
      </c>
      <c r="K308" s="59"/>
    </row>
    <row r="309" spans="1:11" x14ac:dyDescent="0.25">
      <c r="A309" s="57" t="s">
        <v>173</v>
      </c>
      <c r="B309" s="57" t="s">
        <v>215</v>
      </c>
      <c r="C309" s="57">
        <v>2025</v>
      </c>
      <c r="D309" s="58">
        <f>MATCH(B309,{"GENNAIO","FEBBRAIO","MARZO","APRILE","MAGGIO","GIUGNO","LUGLIO","AGOSTO","SETTEMBRE","OTTOBRE","NOVEMBRE","DICEMBRE"},0)</f>
        <v>10</v>
      </c>
      <c r="E309" s="57" t="str">
        <f t="shared" ref="E309" si="452">CONCATENATE(,B309," ",C309)</f>
        <v>OTTOBRE 2025</v>
      </c>
      <c r="F309" s="57" t="str">
        <f t="shared" ref="F309" si="453">CONCATENATE(D309," ",E309)</f>
        <v>10 OTTOBRE 2025</v>
      </c>
      <c r="G309" s="59">
        <v>40</v>
      </c>
      <c r="H309" s="1338" t="s">
        <v>741</v>
      </c>
      <c r="I309" s="960"/>
      <c r="J309" s="59" t="s">
        <v>173</v>
      </c>
      <c r="K309" s="59" t="s">
        <v>1091</v>
      </c>
    </row>
    <row r="310" spans="1:11" x14ac:dyDescent="0.25">
      <c r="A310" s="57" t="s">
        <v>121</v>
      </c>
      <c r="B310" s="57" t="s">
        <v>215</v>
      </c>
      <c r="C310" s="57">
        <v>2025</v>
      </c>
      <c r="D310" s="58">
        <f>MATCH(B310,{"GENNAIO","FEBBRAIO","MARZO","APRILE","MAGGIO","GIUGNO","LUGLIO","AGOSTO","SETTEMBRE","OTTOBRE","NOVEMBRE","DICEMBRE"},0)</f>
        <v>10</v>
      </c>
      <c r="E310" s="57" t="str">
        <f>CONCATENATE(,B310," ",C310)</f>
        <v>OTTOBRE 2025</v>
      </c>
      <c r="F310" s="57" t="str">
        <f>CONCATENATE(D310," ",E310)</f>
        <v>10 OTTOBRE 2025</v>
      </c>
      <c r="G310" s="59">
        <v>0.4</v>
      </c>
      <c r="H310" s="1338" t="s">
        <v>777</v>
      </c>
      <c r="I310" s="960"/>
      <c r="J310" s="59"/>
      <c r="K310" s="59"/>
    </row>
    <row r="311" spans="1:11" x14ac:dyDescent="0.25">
      <c r="A311" s="57" t="s">
        <v>121</v>
      </c>
      <c r="B311" s="57" t="s">
        <v>215</v>
      </c>
      <c r="C311" s="57">
        <v>2025</v>
      </c>
      <c r="D311" s="58">
        <f>MATCH(B311,{"GENNAIO","FEBBRAIO","MARZO","APRILE","MAGGIO","GIUGNO","LUGLIO","AGOSTO","SETTEMBRE","OTTOBRE","NOVEMBRE","DICEMBRE"},0)</f>
        <v>10</v>
      </c>
      <c r="E311" s="57" t="str">
        <f>CONCATENATE(,B311," ",C311)</f>
        <v>OTTOBRE 2025</v>
      </c>
      <c r="F311" s="57" t="str">
        <f>CONCATENATE(D311," ",E311)</f>
        <v>10 OTTOBRE 2025</v>
      </c>
      <c r="G311" s="59">
        <v>0.4</v>
      </c>
      <c r="H311" s="1338" t="s">
        <v>777</v>
      </c>
      <c r="I311" s="960"/>
      <c r="J311" s="59"/>
      <c r="K311" s="59"/>
    </row>
    <row r="312" spans="1:11" x14ac:dyDescent="0.25">
      <c r="A312" s="57" t="s">
        <v>67</v>
      </c>
      <c r="B312" s="57" t="s">
        <v>215</v>
      </c>
      <c r="C312" s="57">
        <v>2025</v>
      </c>
      <c r="D312" s="58">
        <f>MATCH(B312,{"GENNAIO","FEBBRAIO","MARZO","APRILE","MAGGIO","GIUGNO","LUGLIO","AGOSTO","SETTEMBRE","OTTOBRE","NOVEMBRE","DICEMBRE"},0)</f>
        <v>10</v>
      </c>
      <c r="E312" s="57" t="str">
        <f t="shared" ref="E312" si="454">CONCATENATE(,B312," ",C312)</f>
        <v>OTTOBRE 2025</v>
      </c>
      <c r="F312" s="57" t="str">
        <f t="shared" ref="F312" si="455">CONCATENATE(D312," ",E312)</f>
        <v>10 OTTOBRE 2025</v>
      </c>
      <c r="G312" s="59">
        <v>7</v>
      </c>
      <c r="H312" s="1338" t="s">
        <v>776</v>
      </c>
      <c r="I312" s="960"/>
      <c r="J312" s="59"/>
      <c r="K312" s="59"/>
    </row>
    <row r="313" spans="1:11" x14ac:dyDescent="0.25">
      <c r="A313" s="57" t="s">
        <v>113</v>
      </c>
      <c r="B313" s="57" t="s">
        <v>215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 t="shared" ref="E313" si="456">CONCATENATE(,B313," ",C313)</f>
        <v>OTTOBRE 2025</v>
      </c>
      <c r="F313" s="57" t="str">
        <f t="shared" ref="F313" si="457">CONCATENATE(D313," ",E313)</f>
        <v>10 OTTOBRE 2025</v>
      </c>
      <c r="G313" s="59">
        <v>33</v>
      </c>
      <c r="H313" s="1338" t="s">
        <v>114</v>
      </c>
      <c r="I313" s="960"/>
      <c r="J313" s="59"/>
      <c r="K313" s="59"/>
    </row>
    <row r="314" spans="1:11" x14ac:dyDescent="0.25">
      <c r="A314" s="57" t="s">
        <v>173</v>
      </c>
      <c r="B314" s="57" t="s">
        <v>215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 t="shared" ref="E314" si="458">CONCATENATE(,B314," ",C314)</f>
        <v>OTTOBRE 2025</v>
      </c>
      <c r="F314" s="57" t="str">
        <f t="shared" ref="F314" si="459">CONCATENATE(D314," ",E314)</f>
        <v>10 OTTOBRE 2025</v>
      </c>
      <c r="G314" s="59">
        <v>60</v>
      </c>
      <c r="H314" s="1338" t="s">
        <v>741</v>
      </c>
      <c r="I314" s="960"/>
      <c r="J314" s="59" t="s">
        <v>173</v>
      </c>
      <c r="K314" s="59" t="s">
        <v>1090</v>
      </c>
    </row>
    <row r="315" spans="1:11" x14ac:dyDescent="0.25">
      <c r="A315" s="57" t="s">
        <v>1089</v>
      </c>
      <c r="B315" s="57" t="s">
        <v>215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 t="shared" ref="E315" si="460">CONCATENATE(,B315," ",C315)</f>
        <v>OTTOBRE 2025</v>
      </c>
      <c r="F315" s="57" t="str">
        <f t="shared" ref="F315" si="461">CONCATENATE(D315," ",E315)</f>
        <v>10 OTTOBRE 2025</v>
      </c>
      <c r="G315" s="59">
        <v>31.5</v>
      </c>
      <c r="H315" s="1338" t="s">
        <v>69</v>
      </c>
      <c r="I315" s="960"/>
      <c r="J315" s="59"/>
      <c r="K315" s="59"/>
    </row>
    <row r="316" spans="1:11" x14ac:dyDescent="0.25">
      <c r="A316" s="57" t="s">
        <v>1088</v>
      </c>
      <c r="B316" s="57" t="s">
        <v>215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 t="shared" ref="E316" si="462">CONCATENATE(,B316," ",C316)</f>
        <v>OTTOBRE 2025</v>
      </c>
      <c r="F316" s="57" t="str">
        <f t="shared" ref="F316" si="463">CONCATENATE(D316," ",E316)</f>
        <v>10 OTTOBRE 2025</v>
      </c>
      <c r="G316" s="59">
        <v>5</v>
      </c>
      <c r="H316" s="1338" t="s">
        <v>69</v>
      </c>
      <c r="I316" s="960"/>
      <c r="J316" s="59"/>
      <c r="K316" s="59"/>
    </row>
    <row r="317" spans="1:11" x14ac:dyDescent="0.25">
      <c r="A317" s="57" t="s">
        <v>1088</v>
      </c>
      <c r="B317" s="57" t="s">
        <v>215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 t="shared" ref="E317" si="464">CONCATENATE(,B317," ",C317)</f>
        <v>OTTOBRE 2025</v>
      </c>
      <c r="F317" s="57" t="str">
        <f t="shared" ref="F317" si="465">CONCATENATE(D317," ",E317)</f>
        <v>10 OTTOBRE 2025</v>
      </c>
      <c r="G317" s="59">
        <v>15</v>
      </c>
      <c r="H317" s="1338" t="s">
        <v>69</v>
      </c>
      <c r="I317" s="960"/>
      <c r="J317" s="59"/>
      <c r="K317" s="59"/>
    </row>
    <row r="318" spans="1:11" x14ac:dyDescent="0.25">
      <c r="A318" s="57" t="s">
        <v>140</v>
      </c>
      <c r="B318" s="57" t="s">
        <v>215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66">CONCATENATE(,B318," ",C318)</f>
        <v>OTTOBRE 2025</v>
      </c>
      <c r="F318" s="57" t="str">
        <f t="shared" ref="F318" si="467">CONCATENATE(D318," ",E318)</f>
        <v>10 OTTOBRE 2025</v>
      </c>
      <c r="G318" s="59">
        <v>78.400000000000006</v>
      </c>
      <c r="H318" s="1338" t="s">
        <v>69</v>
      </c>
      <c r="I318" s="960"/>
      <c r="J318" s="59"/>
      <c r="K318" s="59"/>
    </row>
    <row r="319" spans="1:11" x14ac:dyDescent="0.25">
      <c r="A319" s="57" t="s">
        <v>67</v>
      </c>
      <c r="B319" s="57" t="s">
        <v>215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 t="shared" ref="E319" si="468">CONCATENATE(,B319," ",C319)</f>
        <v>OTTOBRE 2025</v>
      </c>
      <c r="F319" s="57" t="str">
        <f t="shared" ref="F319" si="469">CONCATENATE(D319," ",E319)</f>
        <v>10 OTTOBRE 2025</v>
      </c>
      <c r="G319" s="59">
        <v>7</v>
      </c>
      <c r="H319" s="1338" t="s">
        <v>776</v>
      </c>
      <c r="I319" s="960"/>
      <c r="J319" s="59"/>
      <c r="K319" s="59"/>
    </row>
    <row r="320" spans="1:11" x14ac:dyDescent="0.25">
      <c r="A320" s="57" t="s">
        <v>121</v>
      </c>
      <c r="B320" s="57" t="s">
        <v>215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>CONCATENATE(,B320," ",C320)</f>
        <v>OTTOBRE 2025</v>
      </c>
      <c r="F320" s="57" t="str">
        <f>CONCATENATE(D320," ",E320)</f>
        <v>10 OTTOBRE 2025</v>
      </c>
      <c r="G320" s="59">
        <v>0.4</v>
      </c>
      <c r="H320" s="1338" t="s">
        <v>777</v>
      </c>
      <c r="I320" s="960"/>
      <c r="J320" s="59"/>
      <c r="K320" s="59"/>
    </row>
    <row r="321" spans="1:11" x14ac:dyDescent="0.25">
      <c r="A321" s="57" t="s">
        <v>121</v>
      </c>
      <c r="B321" s="57" t="s">
        <v>215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>CONCATENATE(,B321," ",C321)</f>
        <v>OTTOBRE 2025</v>
      </c>
      <c r="F321" s="57" t="str">
        <f>CONCATENATE(D321," ",E321)</f>
        <v>10 OTTOBRE 2025</v>
      </c>
      <c r="G321" s="59">
        <v>0.4</v>
      </c>
      <c r="H321" s="1338" t="s">
        <v>777</v>
      </c>
      <c r="I321" s="960"/>
      <c r="J321" s="59"/>
      <c r="K321" s="59"/>
    </row>
    <row r="322" spans="1:11" x14ac:dyDescent="0.25">
      <c r="A322" s="57" t="s">
        <v>121</v>
      </c>
      <c r="B322" s="57" t="s">
        <v>215</v>
      </c>
      <c r="C322" s="57">
        <v>2025</v>
      </c>
      <c r="D322" s="58">
        <f>MATCH(B322,{"GENNAIO","FEBBRAIO","MARZO","APRILE","MAGGIO","GIUGNO","LUGLIO","AGOSTO","SETTEMBRE","OTTOBRE","NOVEMBRE","DICEMBRE"},0)</f>
        <v>10</v>
      </c>
      <c r="E322" s="57" t="str">
        <f>CONCATENATE(,B322," ",C322)</f>
        <v>OTTOBRE 2025</v>
      </c>
      <c r="F322" s="57" t="str">
        <f>CONCATENATE(D322," ",E322)</f>
        <v>10 OTTOBRE 2025</v>
      </c>
      <c r="G322" s="59">
        <v>0.4</v>
      </c>
      <c r="H322" s="1338" t="s">
        <v>777</v>
      </c>
      <c r="I322" s="960"/>
      <c r="J322" s="59"/>
      <c r="K322" s="59"/>
    </row>
    <row r="323" spans="1:11" x14ac:dyDescent="0.25">
      <c r="A323" s="57" t="s">
        <v>121</v>
      </c>
      <c r="B323" s="57" t="s">
        <v>215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>CONCATENATE(,B323," ",C323)</f>
        <v>OTTOBRE 2025</v>
      </c>
      <c r="F323" s="57" t="str">
        <f>CONCATENATE(D323," ",E323)</f>
        <v>10 OTTOBRE 2025</v>
      </c>
      <c r="G323" s="59">
        <v>0.4</v>
      </c>
      <c r="H323" s="1338" t="s">
        <v>777</v>
      </c>
      <c r="I323" s="960"/>
      <c r="J323" s="59"/>
      <c r="K323" s="59"/>
    </row>
    <row r="324" spans="1:11" x14ac:dyDescent="0.25">
      <c r="A324" s="57" t="s">
        <v>67</v>
      </c>
      <c r="B324" s="57" t="s">
        <v>215</v>
      </c>
      <c r="C324" s="57">
        <v>2025</v>
      </c>
      <c r="D324" s="58">
        <f>MATCH(B324,{"GENNAIO","FEBBRAIO","MARZO","APRILE","MAGGIO","GIUGNO","LUGLIO","AGOSTO","SETTEMBRE","OTTOBRE","NOVEMBRE","DICEMBRE"},0)</f>
        <v>10</v>
      </c>
      <c r="E324" s="57" t="str">
        <f t="shared" ref="E324" si="470">CONCATENATE(,B324," ",C324)</f>
        <v>OTTOBRE 2025</v>
      </c>
      <c r="F324" s="57" t="str">
        <f t="shared" ref="F324" si="471">CONCATENATE(D324," ",E324)</f>
        <v>10 OTTOBRE 2025</v>
      </c>
      <c r="G324" s="59">
        <v>4.2</v>
      </c>
      <c r="H324" s="1338" t="s">
        <v>69</v>
      </c>
      <c r="I324" s="960"/>
      <c r="J324" s="59"/>
      <c r="K324" s="59"/>
    </row>
    <row r="325" spans="1:11" x14ac:dyDescent="0.25">
      <c r="A325" s="57" t="s">
        <v>122</v>
      </c>
      <c r="B325" s="57" t="s">
        <v>215</v>
      </c>
      <c r="C325" s="57">
        <v>2025</v>
      </c>
      <c r="D325" s="58">
        <f>MATCH(B325,{"GENNAIO","FEBBRAIO","MARZO","APRILE","MAGGIO","GIUGNO","LUGLIO","AGOSTO","SETTEMBRE","OTTOBRE","NOVEMBRE","DICEMBRE"},0)</f>
        <v>10</v>
      </c>
      <c r="E325" s="57" t="str">
        <f t="shared" ref="E325" si="472">CONCATENATE(,B325," ",C325)</f>
        <v>OTTOBRE 2025</v>
      </c>
      <c r="F325" s="57" t="str">
        <f t="shared" ref="F325" si="473">CONCATENATE(D325," ",E325)</f>
        <v>10 OTTOBRE 2025</v>
      </c>
      <c r="G325" s="59">
        <v>17.559999999999999</v>
      </c>
      <c r="H325" s="1338" t="s">
        <v>77</v>
      </c>
      <c r="I325" s="960"/>
      <c r="J325" s="59"/>
      <c r="K325" s="59"/>
    </row>
    <row r="326" spans="1:11" x14ac:dyDescent="0.25">
      <c r="A326" s="57" t="s">
        <v>121</v>
      </c>
      <c r="B326" s="57" t="s">
        <v>215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>CONCATENATE(,B326," ",C326)</f>
        <v>OTTOBRE 2025</v>
      </c>
      <c r="F326" s="57" t="str">
        <f>CONCATENATE(D326," ",E326)</f>
        <v>10 OTTOBRE 2025</v>
      </c>
      <c r="G326" s="59">
        <v>0.4</v>
      </c>
      <c r="H326" s="1338" t="s">
        <v>777</v>
      </c>
      <c r="I326" s="960"/>
      <c r="J326" s="59"/>
      <c r="K326" s="59"/>
    </row>
    <row r="327" spans="1:11" x14ac:dyDescent="0.25">
      <c r="A327" s="57" t="s">
        <v>83</v>
      </c>
      <c r="B327" s="57" t="s">
        <v>215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 t="shared" ref="E327" si="474">CONCATENATE(,B327," ",C327)</f>
        <v>OTTOBRE 2025</v>
      </c>
      <c r="F327" s="57" t="str">
        <f t="shared" ref="F327" si="475">CONCATENATE(D327," ",E327)</f>
        <v>10 OTTOBRE 2025</v>
      </c>
      <c r="G327" s="59">
        <v>1.99</v>
      </c>
      <c r="H327" s="1338" t="s">
        <v>77</v>
      </c>
      <c r="I327" s="960"/>
      <c r="J327" s="59"/>
      <c r="K327" s="59"/>
    </row>
    <row r="328" spans="1:11" x14ac:dyDescent="0.25">
      <c r="A328" s="57" t="s">
        <v>83</v>
      </c>
      <c r="B328" s="57" t="s">
        <v>215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 t="shared" ref="E328" si="476">CONCATENATE(,B328," ",C328)</f>
        <v>OTTOBRE 2025</v>
      </c>
      <c r="F328" s="57" t="str">
        <f t="shared" ref="F328" si="477">CONCATENATE(D328," ",E328)</f>
        <v>10 OTTOBRE 2025</v>
      </c>
      <c r="G328" s="59">
        <v>27.08</v>
      </c>
      <c r="H328" s="1338" t="s">
        <v>77</v>
      </c>
      <c r="I328" s="960"/>
      <c r="J328" s="59"/>
      <c r="K328" s="59"/>
    </row>
    <row r="329" spans="1:11" x14ac:dyDescent="0.25">
      <c r="A329" s="57" t="s">
        <v>108</v>
      </c>
      <c r="B329" s="57" t="s">
        <v>215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 t="shared" ref="E329" si="478">CONCATENATE(,B329," ",C329)</f>
        <v>OTTOBRE 2025</v>
      </c>
      <c r="F329" s="57" t="str">
        <f t="shared" ref="F329" si="479">CONCATENATE(D329," ",E329)</f>
        <v>10 OTTOBRE 2025</v>
      </c>
      <c r="G329" s="59">
        <v>38.89</v>
      </c>
      <c r="H329" s="1338" t="s">
        <v>75</v>
      </c>
      <c r="I329" s="960"/>
      <c r="J329" s="57"/>
      <c r="K329" s="59"/>
    </row>
    <row r="330" spans="1:11" x14ac:dyDescent="0.25">
      <c r="A330" s="57" t="s">
        <v>1084</v>
      </c>
      <c r="B330" s="57" t="s">
        <v>215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 t="shared" ref="E330" si="480">CONCATENATE(,B330," ",C330)</f>
        <v>OTTOBRE 2025</v>
      </c>
      <c r="F330" s="57" t="str">
        <f t="shared" ref="F330" si="481">CONCATENATE(D330," ",E330)</f>
        <v>10 OTTOBRE 2025</v>
      </c>
      <c r="G330" s="59">
        <v>22</v>
      </c>
      <c r="H330" s="1338" t="s">
        <v>69</v>
      </c>
      <c r="I330" s="960"/>
      <c r="J330" s="59"/>
      <c r="K330" s="59"/>
    </row>
    <row r="331" spans="1:11" ht="16.5" customHeight="1" x14ac:dyDescent="0.25">
      <c r="A331" s="57" t="s">
        <v>76</v>
      </c>
      <c r="B331" s="57" t="s">
        <v>215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 t="shared" ref="E331" si="482">CONCATENATE(,B331," ",C331)</f>
        <v>OTTOBRE 2025</v>
      </c>
      <c r="F331" s="57" t="str">
        <f t="shared" ref="F331" si="483">CONCATENATE(D331," ",E331)</f>
        <v>10 OTTOBRE 2025</v>
      </c>
      <c r="G331" s="59">
        <v>7.6</v>
      </c>
      <c r="H331" s="1338" t="s">
        <v>77</v>
      </c>
      <c r="I331" s="960"/>
      <c r="J331" s="59"/>
      <c r="K331" s="59"/>
    </row>
    <row r="332" spans="1:11" x14ac:dyDescent="0.25">
      <c r="A332" s="57" t="s">
        <v>171</v>
      </c>
      <c r="B332" s="57" t="s">
        <v>215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84">CONCATENATE(,B332," ",C332)</f>
        <v>OTTOBRE 2025</v>
      </c>
      <c r="F332" s="57" t="str">
        <f t="shared" ref="F332" si="485">CONCATENATE(D332," ",E332)</f>
        <v>10 OTTOBRE 2025</v>
      </c>
      <c r="G332" s="59">
        <v>22.9</v>
      </c>
      <c r="H332" s="1338" t="s">
        <v>81</v>
      </c>
      <c r="I332" s="960"/>
      <c r="J332" s="59"/>
      <c r="K332" s="953" t="s">
        <v>1083</v>
      </c>
    </row>
    <row r="333" spans="1:11" x14ac:dyDescent="0.25">
      <c r="A333" s="951" t="s">
        <v>173</v>
      </c>
      <c r="B333" s="951" t="s">
        <v>215</v>
      </c>
      <c r="C333" s="951">
        <v>2025</v>
      </c>
      <c r="D333" s="952">
        <f>MATCH(B333,{"GENNAIO","FEBBRAIO","MARZO","APRILE","MAGGIO","GIUGNO","LUGLIO","AGOSTO","SETTEMBRE","OTTOBRE","NOVEMBRE","DICEMBRE"},0)</f>
        <v>10</v>
      </c>
      <c r="E333" s="951" t="str">
        <f t="shared" ref="E333" si="486">CONCATENATE(,B333," ",C333)</f>
        <v>OTTOBRE 2025</v>
      </c>
      <c r="F333" s="951" t="str">
        <f t="shared" ref="F333" si="487">CONCATENATE(D333," ",E333)</f>
        <v>10 OTTOBRE 2025</v>
      </c>
      <c r="G333" s="953">
        <v>100</v>
      </c>
      <c r="H333" s="1338" t="s">
        <v>741</v>
      </c>
      <c r="I333" s="964"/>
      <c r="J333" s="59" t="s">
        <v>173</v>
      </c>
      <c r="K333" s="953" t="s">
        <v>1083</v>
      </c>
    </row>
    <row r="334" spans="1:11" x14ac:dyDescent="0.25">
      <c r="A334" s="951" t="s">
        <v>173</v>
      </c>
      <c r="B334" s="951" t="s">
        <v>215</v>
      </c>
      <c r="C334" s="951">
        <v>2025</v>
      </c>
      <c r="D334" s="952">
        <f>MATCH(B334,{"GENNAIO","FEBBRAIO","MARZO","APRILE","MAGGIO","GIUGNO","LUGLIO","AGOSTO","SETTEMBRE","OTTOBRE","NOVEMBRE","DICEMBRE"},0)</f>
        <v>10</v>
      </c>
      <c r="E334" s="951" t="str">
        <f t="shared" ref="E334" si="488">CONCATENATE(,B334," ",C334)</f>
        <v>OTTOBRE 2025</v>
      </c>
      <c r="F334" s="951" t="str">
        <f t="shared" ref="F334" si="489">CONCATENATE(D334," ",E334)</f>
        <v>10 OTTOBRE 2025</v>
      </c>
      <c r="G334" s="953">
        <v>50</v>
      </c>
      <c r="H334" s="1338" t="s">
        <v>1137</v>
      </c>
      <c r="I334" s="964"/>
      <c r="J334" s="59" t="s">
        <v>173</v>
      </c>
      <c r="K334" s="953" t="s">
        <v>1136</v>
      </c>
    </row>
    <row r="335" spans="1:11" x14ac:dyDescent="0.25">
      <c r="A335" s="57" t="s">
        <v>121</v>
      </c>
      <c r="B335" s="57" t="s">
        <v>215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>CONCATENATE(,B335," ",C335)</f>
        <v>OTTOBRE 2025</v>
      </c>
      <c r="F335" s="57" t="str">
        <f>CONCATENATE(D335," ",E335)</f>
        <v>10 OTTOBRE 2025</v>
      </c>
      <c r="G335" s="59">
        <v>0.6</v>
      </c>
      <c r="H335" s="1338" t="s">
        <v>777</v>
      </c>
      <c r="I335" s="960"/>
      <c r="J335" s="59"/>
      <c r="K335" s="59"/>
    </row>
    <row r="336" spans="1:11" x14ac:dyDescent="0.25">
      <c r="A336" s="57" t="s">
        <v>67</v>
      </c>
      <c r="B336" s="57" t="s">
        <v>215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 t="shared" ref="E336" si="490">CONCATENATE(,B336," ",C336)</f>
        <v>OTTOBRE 2025</v>
      </c>
      <c r="F336" s="57" t="str">
        <f t="shared" ref="F336" si="491">CONCATENATE(D336," ",E336)</f>
        <v>10 OTTOBRE 2025</v>
      </c>
      <c r="G336" s="59">
        <v>7</v>
      </c>
      <c r="H336" s="1338" t="s">
        <v>776</v>
      </c>
      <c r="I336" s="960"/>
      <c r="J336" s="59"/>
      <c r="K336" s="59"/>
    </row>
    <row r="337" spans="1:11" x14ac:dyDescent="0.25">
      <c r="A337" s="57" t="s">
        <v>121</v>
      </c>
      <c r="B337" s="57" t="s">
        <v>215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>CONCATENATE(,B337," ",C337)</f>
        <v>OTTOBRE 2025</v>
      </c>
      <c r="F337" s="57" t="str">
        <f>CONCATENATE(D337," ",E337)</f>
        <v>10 OTTOBRE 2025</v>
      </c>
      <c r="G337" s="59">
        <v>0.4</v>
      </c>
      <c r="H337" s="1338" t="s">
        <v>777</v>
      </c>
      <c r="I337" s="960"/>
      <c r="J337" s="59"/>
      <c r="K337" s="59"/>
    </row>
    <row r="338" spans="1:11" x14ac:dyDescent="0.25">
      <c r="A338" s="57" t="s">
        <v>121</v>
      </c>
      <c r="B338" s="57" t="s">
        <v>215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>CONCATENATE(,B338," ",C338)</f>
        <v>OTTOBRE 2025</v>
      </c>
      <c r="F338" s="57" t="str">
        <f>CONCATENATE(D338," ",E338)</f>
        <v>10 OTTOBRE 2025</v>
      </c>
      <c r="G338" s="59">
        <v>0.4</v>
      </c>
      <c r="H338" s="1338" t="s">
        <v>777</v>
      </c>
      <c r="I338" s="960"/>
      <c r="J338" s="59"/>
      <c r="K338" s="59"/>
    </row>
    <row r="339" spans="1:11" x14ac:dyDescent="0.25">
      <c r="A339" s="57" t="s">
        <v>121</v>
      </c>
      <c r="B339" s="57" t="s">
        <v>215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>CONCATENATE(,B339," ",C339)</f>
        <v>OTTOBRE 2025</v>
      </c>
      <c r="F339" s="57" t="str">
        <f>CONCATENATE(D339," ",E339)</f>
        <v>10 OTTOBRE 2025</v>
      </c>
      <c r="G339" s="59">
        <v>0.4</v>
      </c>
      <c r="H339" s="1338" t="s">
        <v>777</v>
      </c>
      <c r="I339" s="960"/>
      <c r="J339" s="59"/>
      <c r="K339" s="59"/>
    </row>
    <row r="340" spans="1:11" x14ac:dyDescent="0.25">
      <c r="A340" s="57" t="s">
        <v>121</v>
      </c>
      <c r="B340" s="57" t="s">
        <v>215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>CONCATENATE(,B340," ",C340)</f>
        <v>OTTOBRE 2025</v>
      </c>
      <c r="F340" s="57" t="str">
        <f>CONCATENATE(D340," ",E340)</f>
        <v>10 OTTOBRE 2025</v>
      </c>
      <c r="G340" s="59">
        <v>0.4</v>
      </c>
      <c r="H340" s="1338" t="s">
        <v>777</v>
      </c>
      <c r="I340" s="960"/>
      <c r="J340" s="59"/>
      <c r="K340" s="59"/>
    </row>
    <row r="341" spans="1:11" x14ac:dyDescent="0.25">
      <c r="A341" s="57" t="s">
        <v>190</v>
      </c>
      <c r="B341" s="57" t="s">
        <v>215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492">CONCATENATE(,B341," ",C341)</f>
        <v>OTTOBRE 2025</v>
      </c>
      <c r="F341" s="57" t="str">
        <f t="shared" ref="F341" si="493">CONCATENATE(D341," ",E341)</f>
        <v>10 OTTOBRE 2025</v>
      </c>
      <c r="G341" s="59">
        <v>4</v>
      </c>
      <c r="H341" s="1338" t="s">
        <v>93</v>
      </c>
      <c r="I341" s="960"/>
      <c r="J341" s="59"/>
      <c r="K341" s="59" t="s">
        <v>1082</v>
      </c>
    </row>
    <row r="342" spans="1:11" x14ac:dyDescent="0.25">
      <c r="A342" s="57" t="s">
        <v>189</v>
      </c>
      <c r="B342" s="57" t="s">
        <v>215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494">CONCATENATE(,B342," ",C342)</f>
        <v>OTTOBRE 2025</v>
      </c>
      <c r="F342" s="57" t="str">
        <f t="shared" ref="F342" si="495">CONCATENATE(D342," ",E342)</f>
        <v>10 OTTOBRE 2025</v>
      </c>
      <c r="G342" s="59">
        <v>57.99</v>
      </c>
      <c r="H342" s="1338" t="s">
        <v>93</v>
      </c>
      <c r="I342" s="960"/>
      <c r="J342" s="59"/>
      <c r="K342" s="59" t="s">
        <v>1082</v>
      </c>
    </row>
    <row r="343" spans="1:11" x14ac:dyDescent="0.25">
      <c r="A343" s="57" t="s">
        <v>67</v>
      </c>
      <c r="B343" s="57" t="s">
        <v>215</v>
      </c>
      <c r="C343" s="57">
        <v>2025</v>
      </c>
      <c r="D343" s="58">
        <f>MATCH(B343,{"GENNAIO","FEBBRAIO","MARZO","APRILE","MAGGIO","GIUGNO","LUGLIO","AGOSTO","SETTEMBRE","OTTOBRE","NOVEMBRE","DICEMBRE"},0)</f>
        <v>10</v>
      </c>
      <c r="E343" s="57" t="str">
        <f t="shared" ref="E343" si="496">CONCATENATE(,B343," ",C343)</f>
        <v>OTTOBRE 2025</v>
      </c>
      <c r="F343" s="57" t="str">
        <f t="shared" ref="F343" si="497">CONCATENATE(D343," ",E343)</f>
        <v>10 OTTOBRE 2025</v>
      </c>
      <c r="G343" s="59">
        <v>4.2</v>
      </c>
      <c r="H343" s="1338" t="s">
        <v>69</v>
      </c>
      <c r="I343" s="960"/>
      <c r="J343" s="59"/>
      <c r="K343" s="59"/>
    </row>
    <row r="344" spans="1:11" x14ac:dyDescent="0.25">
      <c r="A344" s="57" t="s">
        <v>121</v>
      </c>
      <c r="B344" s="57" t="s">
        <v>215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>CONCATENATE(,B344," ",C344)</f>
        <v>OTTOBRE 2025</v>
      </c>
      <c r="F344" s="57" t="str">
        <f>CONCATENATE(D344," ",E344)</f>
        <v>10 OTTOBRE 2025</v>
      </c>
      <c r="G344" s="59">
        <v>0.4</v>
      </c>
      <c r="H344" s="1338" t="s">
        <v>777</v>
      </c>
      <c r="I344" s="960"/>
      <c r="J344" s="59"/>
      <c r="K344" s="59"/>
    </row>
    <row r="345" spans="1:11" x14ac:dyDescent="0.25">
      <c r="A345" s="57" t="s">
        <v>67</v>
      </c>
      <c r="B345" s="57" t="s">
        <v>215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498">CONCATENATE(,B345," ",C345)</f>
        <v>OTTOBRE 2025</v>
      </c>
      <c r="F345" s="57" t="str">
        <f t="shared" ref="F345" si="499">CONCATENATE(D345," ",E345)</f>
        <v>10 OTTOBRE 2025</v>
      </c>
      <c r="G345" s="59">
        <v>7</v>
      </c>
      <c r="H345" s="1338" t="s">
        <v>776</v>
      </c>
      <c r="I345" s="960"/>
      <c r="J345" s="59"/>
      <c r="K345" s="59"/>
    </row>
    <row r="346" spans="1:11" x14ac:dyDescent="0.25">
      <c r="A346" s="57" t="s">
        <v>121</v>
      </c>
      <c r="B346" s="57" t="s">
        <v>215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>CONCATENATE(,B346," ",C346)</f>
        <v>OTTOBRE 2025</v>
      </c>
      <c r="F346" s="57" t="str">
        <f>CONCATENATE(D346," ",E346)</f>
        <v>10 OTTOBRE 2025</v>
      </c>
      <c r="G346" s="59">
        <v>0.4</v>
      </c>
      <c r="H346" s="1338" t="s">
        <v>777</v>
      </c>
      <c r="I346" s="960"/>
      <c r="J346" s="59"/>
      <c r="K346" s="59"/>
    </row>
    <row r="347" spans="1:11" x14ac:dyDescent="0.25">
      <c r="A347" s="57" t="s">
        <v>121</v>
      </c>
      <c r="B347" s="57" t="s">
        <v>215</v>
      </c>
      <c r="C347" s="57">
        <v>2025</v>
      </c>
      <c r="D347" s="58">
        <f>MATCH(B347,{"GENNAIO","FEBBRAIO","MARZO","APRILE","MAGGIO","GIUGNO","LUGLIO","AGOSTO","SETTEMBRE","OTTOBRE","NOVEMBRE","DICEMBRE"},0)</f>
        <v>10</v>
      </c>
      <c r="E347" s="57" t="str">
        <f>CONCATENATE(,B347," ",C347)</f>
        <v>OTTOBRE 2025</v>
      </c>
      <c r="F347" s="57" t="str">
        <f>CONCATENATE(D347," ",E347)</f>
        <v>10 OTTOBRE 2025</v>
      </c>
      <c r="G347" s="59">
        <v>0.4</v>
      </c>
      <c r="H347" s="1338" t="s">
        <v>777</v>
      </c>
      <c r="I347" s="960"/>
      <c r="J347" s="59"/>
      <c r="K347" s="59"/>
    </row>
    <row r="348" spans="1:11" x14ac:dyDescent="0.25">
      <c r="A348" s="57" t="s">
        <v>108</v>
      </c>
      <c r="B348" s="57" t="s">
        <v>215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00">CONCATENATE(,B348," ",C348)</f>
        <v>OTTOBRE 2025</v>
      </c>
      <c r="F348" s="57" t="str">
        <f t="shared" ref="F348" si="501">CONCATENATE(D348," ",E348)</f>
        <v>10 OTTOBRE 2025</v>
      </c>
      <c r="G348" s="59">
        <v>94.8</v>
      </c>
      <c r="H348" s="1338" t="s">
        <v>75</v>
      </c>
      <c r="I348" s="960" t="s">
        <v>1027</v>
      </c>
      <c r="J348" s="59" t="s">
        <v>108</v>
      </c>
      <c r="K348" s="59" t="s">
        <v>1081</v>
      </c>
    </row>
    <row r="349" spans="1:11" ht="16.5" customHeight="1" x14ac:dyDescent="0.25">
      <c r="A349" s="57" t="s">
        <v>1079</v>
      </c>
      <c r="B349" s="57" t="s">
        <v>215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02">CONCATENATE(,B349," ",C349)</f>
        <v>OTTOBRE 2025</v>
      </c>
      <c r="F349" s="57" t="str">
        <f t="shared" ref="F349" si="503">CONCATENATE(D349," ",E349)</f>
        <v>10 OTTOBRE 2025</v>
      </c>
      <c r="G349" s="59">
        <v>49</v>
      </c>
      <c r="H349" s="1338" t="s">
        <v>77</v>
      </c>
      <c r="I349" s="960"/>
      <c r="J349" s="59"/>
      <c r="K349" s="59"/>
    </row>
    <row r="350" spans="1:11" x14ac:dyDescent="0.25">
      <c r="A350" s="57" t="s">
        <v>138</v>
      </c>
      <c r="B350" s="57" t="s">
        <v>215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04">CONCATENATE(,B350," ",C350)</f>
        <v>OTTOBRE 2025</v>
      </c>
      <c r="F350" s="57" t="str">
        <f t="shared" ref="F350" si="505">CONCATENATE(D350," ",E350)</f>
        <v>10 OTTOBRE 2025</v>
      </c>
      <c r="G350" s="59">
        <v>23</v>
      </c>
      <c r="H350" s="1338" t="s">
        <v>69</v>
      </c>
      <c r="I350" s="960"/>
      <c r="J350" s="59"/>
      <c r="K350" s="59"/>
    </row>
    <row r="351" spans="1:11" x14ac:dyDescent="0.25">
      <c r="A351" s="57" t="s">
        <v>79</v>
      </c>
      <c r="B351" s="57" t="s">
        <v>215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06">CONCATENATE(,B351," ",C351)</f>
        <v>OTTOBRE 2025</v>
      </c>
      <c r="F351" s="57" t="str">
        <f t="shared" ref="F351" si="507">CONCATENATE(D351," ",E351)</f>
        <v>10 OTTOBRE 2025</v>
      </c>
      <c r="G351" s="59">
        <v>27.21</v>
      </c>
      <c r="H351" s="1338" t="s">
        <v>81</v>
      </c>
      <c r="I351" s="960"/>
      <c r="J351" s="59"/>
      <c r="K351" s="59"/>
    </row>
    <row r="352" spans="1:11" x14ac:dyDescent="0.25">
      <c r="A352" s="951" t="s">
        <v>173</v>
      </c>
      <c r="B352" s="951" t="s">
        <v>215</v>
      </c>
      <c r="C352" s="951">
        <v>2025</v>
      </c>
      <c r="D352" s="952">
        <f>MATCH(B352,{"GENNAIO","FEBBRAIO","MARZO","APRILE","MAGGIO","GIUGNO","LUGLIO","AGOSTO","SETTEMBRE","OTTOBRE","NOVEMBRE","DICEMBRE"},0)</f>
        <v>10</v>
      </c>
      <c r="E352" s="951" t="str">
        <f t="shared" ref="E352" si="508">CONCATENATE(,B352," ",C352)</f>
        <v>OTTOBRE 2025</v>
      </c>
      <c r="F352" s="951" t="str">
        <f t="shared" ref="F352" si="509">CONCATENATE(D352," ",E352)</f>
        <v>10 OTTOBRE 2025</v>
      </c>
      <c r="G352" s="953">
        <v>50</v>
      </c>
      <c r="H352" s="1338" t="s">
        <v>741</v>
      </c>
      <c r="I352" s="964"/>
      <c r="J352" s="59" t="s">
        <v>173</v>
      </c>
      <c r="K352" s="953" t="s">
        <v>1078</v>
      </c>
    </row>
    <row r="353" spans="1:11" ht="16.5" customHeight="1" x14ac:dyDescent="0.25">
      <c r="A353" s="57" t="s">
        <v>67</v>
      </c>
      <c r="B353" s="57" t="s">
        <v>215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0">CONCATENATE(,B353," ",C353)</f>
        <v>OTTOBRE 2025</v>
      </c>
      <c r="F353" s="57" t="str">
        <f t="shared" ref="F353" si="511">CONCATENATE(D353," ",E353)</f>
        <v>10 OTTOBRE 2025</v>
      </c>
      <c r="G353" s="59">
        <v>14</v>
      </c>
      <c r="H353" s="1338" t="s">
        <v>69</v>
      </c>
      <c r="I353" s="960"/>
      <c r="J353" s="59"/>
      <c r="K353" s="59"/>
    </row>
    <row r="354" spans="1:11" x14ac:dyDescent="0.25">
      <c r="A354" s="57" t="s">
        <v>67</v>
      </c>
      <c r="B354" s="57" t="s">
        <v>215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 t="shared" ref="E354" si="512">CONCATENATE(,B354," ",C354)</f>
        <v>OTTOBRE 2025</v>
      </c>
      <c r="F354" s="57" t="str">
        <f t="shared" ref="F354" si="513">CONCATENATE(D354," ",E354)</f>
        <v>10 OTTOBRE 2025</v>
      </c>
      <c r="G354" s="59">
        <v>7</v>
      </c>
      <c r="H354" s="1338" t="s">
        <v>776</v>
      </c>
      <c r="I354" s="960"/>
      <c r="J354" s="59"/>
      <c r="K354" s="59"/>
    </row>
    <row r="355" spans="1:11" x14ac:dyDescent="0.25">
      <c r="A355" s="57" t="s">
        <v>121</v>
      </c>
      <c r="B355" s="57" t="s">
        <v>215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>CONCATENATE(,B355," ",C355)</f>
        <v>OTTOBRE 2025</v>
      </c>
      <c r="F355" s="57" t="str">
        <f>CONCATENATE(D355," ",E355)</f>
        <v>10 OTTOBRE 2025</v>
      </c>
      <c r="G355" s="59">
        <v>0.4</v>
      </c>
      <c r="H355" s="1338" t="s">
        <v>777</v>
      </c>
      <c r="I355" s="960"/>
      <c r="J355" s="59"/>
      <c r="K355" s="59"/>
    </row>
    <row r="356" spans="1:11" x14ac:dyDescent="0.25">
      <c r="A356" s="951" t="s">
        <v>173</v>
      </c>
      <c r="B356" s="951" t="s">
        <v>215</v>
      </c>
      <c r="C356" s="951">
        <v>2025</v>
      </c>
      <c r="D356" s="952">
        <f>MATCH(B356,{"GENNAIO","FEBBRAIO","MARZO","APRILE","MAGGIO","GIUGNO","LUGLIO","AGOSTO","SETTEMBRE","OTTOBRE","NOVEMBRE","DICEMBRE"},0)</f>
        <v>10</v>
      </c>
      <c r="E356" s="951" t="str">
        <f t="shared" ref="E356" si="514">CONCATENATE(,B356," ",C356)</f>
        <v>OTTOBRE 2025</v>
      </c>
      <c r="F356" s="951" t="str">
        <f t="shared" ref="F356" si="515">CONCATENATE(D356," ",E356)</f>
        <v>10 OTTOBRE 2025</v>
      </c>
      <c r="G356" s="953">
        <v>150</v>
      </c>
      <c r="H356" s="1338" t="s">
        <v>741</v>
      </c>
      <c r="I356" s="964"/>
      <c r="J356" s="59" t="s">
        <v>173</v>
      </c>
      <c r="K356" s="953" t="s">
        <v>1126</v>
      </c>
    </row>
    <row r="357" spans="1:11" x14ac:dyDescent="0.25">
      <c r="A357" s="57" t="s">
        <v>122</v>
      </c>
      <c r="B357" s="57" t="s">
        <v>215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 t="shared" ref="E357" si="516">CONCATENATE(,B357," ",C357)</f>
        <v>OTTOBRE 2025</v>
      </c>
      <c r="F357" s="57" t="str">
        <f t="shared" ref="F357" si="517">CONCATENATE(D357," ",E357)</f>
        <v>10 OTTOBRE 2025</v>
      </c>
      <c r="G357" s="59">
        <v>9.67</v>
      </c>
      <c r="H357" s="1338" t="s">
        <v>77</v>
      </c>
      <c r="I357" s="960"/>
      <c r="J357" s="59"/>
      <c r="K357" s="59"/>
    </row>
    <row r="358" spans="1:11" x14ac:dyDescent="0.25">
      <c r="A358" s="57" t="s">
        <v>76</v>
      </c>
      <c r="B358" s="57" t="s">
        <v>215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 t="shared" ref="E358" si="518">CONCATENATE(,B358," ",C358)</f>
        <v>OTTOBRE 2025</v>
      </c>
      <c r="F358" s="57" t="str">
        <f t="shared" ref="F358" si="519">CONCATENATE(D358," ",E358)</f>
        <v>10 OTTOBRE 2025</v>
      </c>
      <c r="G358" s="59">
        <v>31.45</v>
      </c>
      <c r="H358" s="1338" t="s">
        <v>77</v>
      </c>
      <c r="I358" s="960"/>
      <c r="J358" s="59"/>
      <c r="K358" s="59"/>
    </row>
    <row r="359" spans="1:11" x14ac:dyDescent="0.25">
      <c r="A359" s="57" t="s">
        <v>108</v>
      </c>
      <c r="B359" s="57" t="s">
        <v>215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 t="shared" ref="E359" si="520">CONCATENATE(,B359," ",C359)</f>
        <v>OTTOBRE 2025</v>
      </c>
      <c r="F359" s="57" t="str">
        <f t="shared" ref="F359" si="521">CONCATENATE(D359," ",E359)</f>
        <v>10 OTTOBRE 2025</v>
      </c>
      <c r="G359" s="59">
        <v>10.95</v>
      </c>
      <c r="H359" s="1338" t="s">
        <v>75</v>
      </c>
      <c r="I359" s="960" t="s">
        <v>1046</v>
      </c>
      <c r="J359" s="59" t="s">
        <v>108</v>
      </c>
      <c r="K359" s="59" t="s">
        <v>918</v>
      </c>
    </row>
    <row r="360" spans="1:11" x14ac:dyDescent="0.25">
      <c r="A360" s="57" t="s">
        <v>110</v>
      </c>
      <c r="B360" s="57" t="s">
        <v>215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22">CONCATENATE(,B360," ",C360)</f>
        <v>OTTOBRE 2025</v>
      </c>
      <c r="F360" s="57" t="str">
        <f t="shared" ref="F360" si="523">CONCATENATE(D360," ",E360)</f>
        <v>10 OTTOBRE 2025</v>
      </c>
      <c r="G360" s="59">
        <v>127.58</v>
      </c>
      <c r="H360" s="1338" t="s">
        <v>772</v>
      </c>
      <c r="I360" s="960" t="s">
        <v>988</v>
      </c>
      <c r="J360" s="59" t="s">
        <v>768</v>
      </c>
      <c r="K360" s="59" t="s">
        <v>984</v>
      </c>
    </row>
    <row r="361" spans="1:11" x14ac:dyDescent="0.25">
      <c r="A361" s="57" t="s">
        <v>171</v>
      </c>
      <c r="B361" s="57" t="s">
        <v>215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4">CONCATENATE(,B361," ",C361)</f>
        <v>OTTOBRE 2025</v>
      </c>
      <c r="F361" s="57" t="str">
        <f t="shared" ref="F361" si="525">CONCATENATE(D361," ",E361)</f>
        <v>10 OTTOBRE 2025</v>
      </c>
      <c r="G361" s="59">
        <v>33.340000000000003</v>
      </c>
      <c r="H361" s="1338" t="s">
        <v>81</v>
      </c>
      <c r="I361" s="960" t="s">
        <v>988</v>
      </c>
      <c r="J361" s="59" t="s">
        <v>768</v>
      </c>
      <c r="K361" s="59"/>
    </row>
    <row r="362" spans="1:11" x14ac:dyDescent="0.25">
      <c r="A362" s="57" t="s">
        <v>998</v>
      </c>
      <c r="B362" s="57" t="s">
        <v>215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6">CONCATENATE(,B362," ",C362)</f>
        <v>OTTOBRE 2025</v>
      </c>
      <c r="F362" s="57" t="str">
        <f t="shared" ref="F362" si="527">CONCATENATE(D362," ",E362)</f>
        <v>10 OTTOBRE 2025</v>
      </c>
      <c r="G362" s="59">
        <v>12.73</v>
      </c>
      <c r="H362" s="1338" t="s">
        <v>70</v>
      </c>
      <c r="I362" s="960" t="s">
        <v>989</v>
      </c>
      <c r="J362" s="59" t="s">
        <v>768</v>
      </c>
      <c r="K362" s="59" t="s">
        <v>991</v>
      </c>
    </row>
    <row r="363" spans="1:11" x14ac:dyDescent="0.25">
      <c r="A363" s="57" t="s">
        <v>1076</v>
      </c>
      <c r="B363" s="57" t="s">
        <v>215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8">CONCATENATE(,B363," ",C363)</f>
        <v>OTTOBRE 2025</v>
      </c>
      <c r="F363" s="57" t="str">
        <f t="shared" ref="F363" si="529">CONCATENATE(D363," ",E363)</f>
        <v>10 OTTOBRE 2025</v>
      </c>
      <c r="G363" s="59">
        <v>5.9</v>
      </c>
      <c r="H363" s="1338" t="s">
        <v>91</v>
      </c>
      <c r="I363" s="960"/>
      <c r="J363" s="59"/>
      <c r="K363" s="59" t="s">
        <v>984</v>
      </c>
    </row>
    <row r="364" spans="1:11" x14ac:dyDescent="0.25">
      <c r="A364" s="57" t="s">
        <v>1075</v>
      </c>
      <c r="B364" s="57" t="s">
        <v>215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30">CONCATENATE(,B364," ",C364)</f>
        <v>OTTOBRE 2025</v>
      </c>
      <c r="F364" s="57" t="str">
        <f t="shared" ref="F364" si="531">CONCATENATE(D364," ",E364)</f>
        <v>10 OTTOBRE 2025</v>
      </c>
      <c r="G364" s="59">
        <v>5.0999999999999996</v>
      </c>
      <c r="H364" s="1338" t="s">
        <v>69</v>
      </c>
      <c r="I364" s="960"/>
      <c r="J364" s="59"/>
      <c r="K364" s="59" t="s">
        <v>984</v>
      </c>
    </row>
    <row r="365" spans="1:11" x14ac:dyDescent="0.25">
      <c r="A365" s="57" t="s">
        <v>1074</v>
      </c>
      <c r="B365" s="57" t="s">
        <v>215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>CONCATENATE(,B365," ",C365)</f>
        <v>OTTOBRE 2025</v>
      </c>
      <c r="F365" s="57" t="str">
        <f>CONCATENATE(D365," ",E365)</f>
        <v>10 OTTOBRE 2025</v>
      </c>
      <c r="G365" s="59">
        <v>19</v>
      </c>
      <c r="H365" s="1338" t="s">
        <v>93</v>
      </c>
      <c r="I365" s="960"/>
      <c r="J365" s="59"/>
      <c r="K365" s="59" t="s">
        <v>984</v>
      </c>
    </row>
    <row r="366" spans="1:11" x14ac:dyDescent="0.25">
      <c r="A366" s="57" t="s">
        <v>1073</v>
      </c>
      <c r="B366" s="57" t="s">
        <v>215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>CONCATENATE(,B366," ",C366)</f>
        <v>OTTOBRE 2025</v>
      </c>
      <c r="F366" s="57" t="str">
        <f>CONCATENATE(D366," ",E366)</f>
        <v>10 OTTOBRE 2025</v>
      </c>
      <c r="G366" s="59">
        <v>13.1</v>
      </c>
      <c r="H366" s="1338" t="s">
        <v>93</v>
      </c>
      <c r="I366" s="960"/>
      <c r="J366" s="59"/>
      <c r="K366" s="59" t="s">
        <v>984</v>
      </c>
    </row>
    <row r="367" spans="1:11" x14ac:dyDescent="0.25">
      <c r="A367" s="57" t="s">
        <v>1072</v>
      </c>
      <c r="B367" s="57" t="s">
        <v>215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" si="532">CONCATENATE(,B367," ",C367)</f>
        <v>OTTOBRE 2025</v>
      </c>
      <c r="F367" s="57" t="str">
        <f t="shared" ref="F367" si="533">CONCATENATE(D367," ",E367)</f>
        <v>10 OTTOBRE 2025</v>
      </c>
      <c r="G367" s="59">
        <v>7.5</v>
      </c>
      <c r="H367" s="1338" t="s">
        <v>69</v>
      </c>
      <c r="I367" s="960"/>
      <c r="J367" s="59"/>
      <c r="K367" s="59" t="s">
        <v>984</v>
      </c>
    </row>
    <row r="368" spans="1:11" x14ac:dyDescent="0.25">
      <c r="A368" s="57" t="s">
        <v>1071</v>
      </c>
      <c r="B368" s="57" t="s">
        <v>215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>CONCATENATE(,B368," ",C368)</f>
        <v>OTTOBRE 2025</v>
      </c>
      <c r="F368" s="57" t="str">
        <f>CONCATENATE(D368," ",E368)</f>
        <v>10 OTTOBRE 2025</v>
      </c>
      <c r="G368" s="59">
        <v>1</v>
      </c>
      <c r="H368" s="1338" t="s">
        <v>777</v>
      </c>
      <c r="I368" s="960"/>
      <c r="J368" s="59"/>
      <c r="K368" s="59" t="s">
        <v>984</v>
      </c>
    </row>
    <row r="369" spans="1:11" x14ac:dyDescent="0.25">
      <c r="A369" s="57" t="s">
        <v>1069</v>
      </c>
      <c r="B369" s="57" t="s">
        <v>215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 t="shared" ref="E369" si="534">CONCATENATE(,B369," ",C369)</f>
        <v>OTTOBRE 2025</v>
      </c>
      <c r="F369" s="57" t="str">
        <f t="shared" ref="F369" si="535">CONCATENATE(D369," ",E369)</f>
        <v>10 OTTOBRE 2025</v>
      </c>
      <c r="G369" s="59">
        <v>19.760000000000002</v>
      </c>
      <c r="H369" s="1338" t="s">
        <v>91</v>
      </c>
      <c r="I369" s="960"/>
      <c r="J369" s="59"/>
      <c r="K369" s="59" t="s">
        <v>984</v>
      </c>
    </row>
    <row r="370" spans="1:11" x14ac:dyDescent="0.25">
      <c r="A370" s="57" t="s">
        <v>1069</v>
      </c>
      <c r="B370" s="57" t="s">
        <v>215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 t="shared" ref="E370" si="536">CONCATENATE(,B370," ",C370)</f>
        <v>OTTOBRE 2025</v>
      </c>
      <c r="F370" s="57" t="str">
        <f t="shared" ref="F370" si="537">CONCATENATE(D370," ",E370)</f>
        <v>10 OTTOBRE 2025</v>
      </c>
      <c r="G370" s="59">
        <v>26</v>
      </c>
      <c r="H370" s="1338" t="s">
        <v>91</v>
      </c>
      <c r="I370" s="960"/>
      <c r="J370" s="59"/>
      <c r="K370" s="59" t="s">
        <v>984</v>
      </c>
    </row>
    <row r="371" spans="1:11" x14ac:dyDescent="0.25">
      <c r="A371" s="57" t="s">
        <v>1069</v>
      </c>
      <c r="B371" s="57" t="s">
        <v>215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 t="shared" ref="E371" si="538">CONCATENATE(,B371," ",C371)</f>
        <v>OTTOBRE 2025</v>
      </c>
      <c r="F371" s="57" t="str">
        <f t="shared" ref="F371" si="539">CONCATENATE(D371," ",E371)</f>
        <v>10 OTTOBRE 2025</v>
      </c>
      <c r="G371" s="59">
        <v>3.99</v>
      </c>
      <c r="H371" s="1338" t="s">
        <v>91</v>
      </c>
      <c r="I371" s="960"/>
      <c r="J371" s="59"/>
      <c r="K371" s="59" t="s">
        <v>984</v>
      </c>
    </row>
    <row r="372" spans="1:11" x14ac:dyDescent="0.25">
      <c r="A372" s="57" t="s">
        <v>1069</v>
      </c>
      <c r="B372" s="57" t="s">
        <v>215</v>
      </c>
      <c r="C372" s="57">
        <v>2025</v>
      </c>
      <c r="D372" s="58">
        <f>MATCH(B372,{"GENNAIO","FEBBRAIO","MARZO","APRILE","MAGGIO","GIUGNO","LUGLIO","AGOSTO","SETTEMBRE","OTTOBRE","NOVEMBRE","DICEMBRE"},0)</f>
        <v>10</v>
      </c>
      <c r="E372" s="57" t="str">
        <f t="shared" ref="E372" si="540">CONCATENATE(,B372," ",C372)</f>
        <v>OTTOBRE 2025</v>
      </c>
      <c r="F372" s="57" t="str">
        <f t="shared" ref="F372" si="541">CONCATENATE(D372," ",E372)</f>
        <v>10 OTTOBRE 2025</v>
      </c>
      <c r="G372" s="59">
        <v>19.95</v>
      </c>
      <c r="H372" s="1338" t="s">
        <v>91</v>
      </c>
      <c r="I372" s="960"/>
      <c r="J372" s="59"/>
      <c r="K372" s="59" t="s">
        <v>984</v>
      </c>
    </row>
    <row r="373" spans="1:11" x14ac:dyDescent="0.25">
      <c r="A373" s="57" t="s">
        <v>1068</v>
      </c>
      <c r="B373" s="57" t="s">
        <v>215</v>
      </c>
      <c r="C373" s="57">
        <v>2025</v>
      </c>
      <c r="D373" s="58">
        <f>MATCH(B373,{"GENNAIO","FEBBRAIO","MARZO","APRILE","MAGGIO","GIUGNO","LUGLIO","AGOSTO","SETTEMBRE","OTTOBRE","NOVEMBRE","DICEMBRE"},0)</f>
        <v>10</v>
      </c>
      <c r="E373" s="57" t="str">
        <f t="shared" ref="E373" si="542">CONCATENATE(,B373," ",C373)</f>
        <v>OTTOBRE 2025</v>
      </c>
      <c r="F373" s="57" t="str">
        <f t="shared" ref="F373" si="543">CONCATENATE(D373," ",E373)</f>
        <v>10 OTTOBRE 2025</v>
      </c>
      <c r="G373" s="59">
        <v>161.19999999999999</v>
      </c>
      <c r="H373" s="1338" t="s">
        <v>69</v>
      </c>
      <c r="I373" s="960"/>
      <c r="J373" s="59"/>
      <c r="K373" s="59" t="s">
        <v>984</v>
      </c>
    </row>
    <row r="374" spans="1:11" x14ac:dyDescent="0.25">
      <c r="A374" s="57" t="s">
        <v>1067</v>
      </c>
      <c r="B374" s="57" t="s">
        <v>215</v>
      </c>
      <c r="C374" s="57">
        <v>2025</v>
      </c>
      <c r="D374" s="58">
        <f>MATCH(B374,{"GENNAIO","FEBBRAIO","MARZO","APRILE","MAGGIO","GIUGNO","LUGLIO","AGOSTO","SETTEMBRE","OTTOBRE","NOVEMBRE","DICEMBRE"},0)</f>
        <v>10</v>
      </c>
      <c r="E374" s="57" t="str">
        <f>CONCATENATE(,B374," ",C374)</f>
        <v>OTTOBRE 2025</v>
      </c>
      <c r="F374" s="57" t="str">
        <f>CONCATENATE(D374," ",E374)</f>
        <v>10 OTTOBRE 2025</v>
      </c>
      <c r="G374" s="59">
        <v>2</v>
      </c>
      <c r="H374" s="1338" t="s">
        <v>777</v>
      </c>
      <c r="I374" s="960"/>
      <c r="J374" s="59"/>
      <c r="K374" s="59" t="s">
        <v>984</v>
      </c>
    </row>
    <row r="375" spans="1:11" x14ac:dyDescent="0.25">
      <c r="A375" s="57" t="s">
        <v>1067</v>
      </c>
      <c r="B375" s="57" t="s">
        <v>215</v>
      </c>
      <c r="C375" s="57">
        <v>2025</v>
      </c>
      <c r="D375" s="58">
        <f>MATCH(B375,{"GENNAIO","FEBBRAIO","MARZO","APRILE","MAGGIO","GIUGNO","LUGLIO","AGOSTO","SETTEMBRE","OTTOBRE","NOVEMBRE","DICEMBRE"},0)</f>
        <v>10</v>
      </c>
      <c r="E375" s="57" t="str">
        <f t="shared" ref="E375" si="544">CONCATENATE(,B375," ",C375)</f>
        <v>OTTOBRE 2025</v>
      </c>
      <c r="F375" s="57" t="str">
        <f t="shared" ref="F375" si="545">CONCATENATE(D375," ",E375)</f>
        <v>10 OTTOBRE 2025</v>
      </c>
      <c r="G375" s="59">
        <v>9.4</v>
      </c>
      <c r="H375" s="1338" t="s">
        <v>70</v>
      </c>
      <c r="I375" s="960"/>
      <c r="J375" s="59"/>
      <c r="K375" s="59" t="s">
        <v>984</v>
      </c>
    </row>
    <row r="376" spans="1:11" x14ac:dyDescent="0.25">
      <c r="A376" s="57" t="s">
        <v>1067</v>
      </c>
      <c r="B376" s="57" t="s">
        <v>215</v>
      </c>
      <c r="C376" s="57">
        <v>2025</v>
      </c>
      <c r="D376" s="58">
        <f>MATCH(B376,{"GENNAIO","FEBBRAIO","MARZO","APRILE","MAGGIO","GIUGNO","LUGLIO","AGOSTO","SETTEMBRE","OTTOBRE","NOVEMBRE","DICEMBRE"},0)</f>
        <v>10</v>
      </c>
      <c r="E376" s="57" t="str">
        <f t="shared" ref="E376:E378" si="546">CONCATENATE(,B376," ",C376)</f>
        <v>OTTOBRE 2025</v>
      </c>
      <c r="F376" s="57" t="str">
        <f t="shared" ref="F376:F378" si="547">CONCATENATE(D376," ",E376)</f>
        <v>10 OTTOBRE 2025</v>
      </c>
      <c r="G376" s="59">
        <v>3.5</v>
      </c>
      <c r="H376" s="1338" t="s">
        <v>70</v>
      </c>
      <c r="I376" s="960"/>
      <c r="J376" s="59"/>
      <c r="K376" s="59" t="s">
        <v>984</v>
      </c>
    </row>
    <row r="377" spans="1:11" x14ac:dyDescent="0.25">
      <c r="A377" s="57" t="s">
        <v>1070</v>
      </c>
      <c r="B377" s="57" t="s">
        <v>215</v>
      </c>
      <c r="C377" s="57">
        <v>2025</v>
      </c>
      <c r="D377" s="58">
        <f>MATCH(B377,{"GENNAIO","FEBBRAIO","MARZO","APRILE","MAGGIO","GIUGNO","LUGLIO","AGOSTO","SETTEMBRE","OTTOBRE","NOVEMBRE","DICEMBRE"},0)</f>
        <v>10</v>
      </c>
      <c r="E377" s="57" t="str">
        <f t="shared" ref="E377" si="548">CONCATENATE(,B377," ",C377)</f>
        <v>OTTOBRE 2025</v>
      </c>
      <c r="F377" s="57" t="str">
        <f t="shared" ref="F377" si="549">CONCATENATE(D377," ",E377)</f>
        <v>10 OTTOBRE 2025</v>
      </c>
      <c r="G377" s="59">
        <v>2.9</v>
      </c>
      <c r="H377" s="1338" t="s">
        <v>69</v>
      </c>
      <c r="I377" s="960"/>
      <c r="J377" s="59"/>
      <c r="K377" s="59" t="s">
        <v>984</v>
      </c>
    </row>
    <row r="378" spans="1:11" x14ac:dyDescent="0.25">
      <c r="A378" s="57" t="s">
        <v>1070</v>
      </c>
      <c r="B378" s="57" t="s">
        <v>215</v>
      </c>
      <c r="C378" s="57">
        <v>2025</v>
      </c>
      <c r="D378" s="58">
        <f>MATCH(B378,{"GENNAIO","FEBBRAIO","MARZO","APRILE","MAGGIO","GIUGNO","LUGLIO","AGOSTO","SETTEMBRE","OTTOBRE","NOVEMBRE","DICEMBRE"},0)</f>
        <v>10</v>
      </c>
      <c r="E378" s="57" t="str">
        <f t="shared" si="546"/>
        <v>OTTOBRE 2025</v>
      </c>
      <c r="F378" s="57" t="str">
        <f t="shared" si="547"/>
        <v>10 OTTOBRE 2025</v>
      </c>
      <c r="G378" s="59">
        <v>14.9</v>
      </c>
      <c r="H378" s="1338" t="s">
        <v>69</v>
      </c>
      <c r="I378" s="960"/>
      <c r="J378" s="59"/>
      <c r="K378" s="59" t="s">
        <v>984</v>
      </c>
    </row>
    <row r="379" spans="1:11" x14ac:dyDescent="0.25">
      <c r="A379" s="57" t="s">
        <v>67</v>
      </c>
      <c r="B379" s="57" t="s">
        <v>215</v>
      </c>
      <c r="C379" s="57">
        <v>2025</v>
      </c>
      <c r="D379" s="58">
        <f>MATCH(B379,{"GENNAIO","FEBBRAIO","MARZO","APRILE","MAGGIO","GIUGNO","LUGLIO","AGOSTO","SETTEMBRE","OTTOBRE","NOVEMBRE","DICEMBRE"},0)</f>
        <v>10</v>
      </c>
      <c r="E379" s="57" t="str">
        <f t="shared" ref="E379" si="550">CONCATENATE(,B379," ",C379)</f>
        <v>OTTOBRE 2025</v>
      </c>
      <c r="F379" s="57" t="str">
        <f t="shared" ref="F379" si="551">CONCATENATE(D379," ",E379)</f>
        <v>10 OTTOBRE 2025</v>
      </c>
      <c r="G379" s="59">
        <v>7</v>
      </c>
      <c r="H379" s="1338" t="s">
        <v>776</v>
      </c>
      <c r="I379" s="960"/>
      <c r="J379" s="59"/>
      <c r="K379" s="59"/>
    </row>
    <row r="380" spans="1:11" x14ac:dyDescent="0.25">
      <c r="A380" s="57" t="s">
        <v>121</v>
      </c>
      <c r="B380" s="57" t="s">
        <v>215</v>
      </c>
      <c r="C380" s="57">
        <v>2025</v>
      </c>
      <c r="D380" s="58">
        <f>MATCH(B380,{"GENNAIO","FEBBRAIO","MARZO","APRILE","MAGGIO","GIUGNO","LUGLIO","AGOSTO","SETTEMBRE","OTTOBRE","NOVEMBRE","DICEMBRE"},0)</f>
        <v>10</v>
      </c>
      <c r="E380" s="57" t="str">
        <f>CONCATENATE(,B380," ",C380)</f>
        <v>OTTOBRE 2025</v>
      </c>
      <c r="F380" s="57" t="str">
        <f>CONCATENATE(D380," ",E380)</f>
        <v>10 OTTOBRE 2025</v>
      </c>
      <c r="G380" s="59">
        <v>0.4</v>
      </c>
      <c r="H380" s="1338" t="s">
        <v>777</v>
      </c>
      <c r="I380" s="960"/>
      <c r="J380" s="59"/>
      <c r="K380" s="59"/>
    </row>
    <row r="381" spans="1:11" x14ac:dyDescent="0.25">
      <c r="A381" s="57" t="s">
        <v>121</v>
      </c>
      <c r="B381" s="57" t="s">
        <v>68</v>
      </c>
      <c r="C381" s="57">
        <v>2025</v>
      </c>
      <c r="D381" s="58">
        <f>MATCH(B381,{"GENNAIO","FEBBRAIO","MARZO","APRILE","MAGGIO","GIUGNO","LUGLIO","AGOSTO","SETTEMBRE","OTTOBRE","NOVEMBRE","DICEMBRE"},0)</f>
        <v>9</v>
      </c>
      <c r="E381" s="57" t="str">
        <f>CONCATENATE(,B381," ",C381)</f>
        <v>SETTEMBRE 2025</v>
      </c>
      <c r="F381" s="57" t="str">
        <f>CONCATENATE(D381," ",E381)</f>
        <v>9 SETTEMBRE 2025</v>
      </c>
      <c r="G381" s="59">
        <v>0.4</v>
      </c>
      <c r="H381" s="1338" t="s">
        <v>777</v>
      </c>
      <c r="I381" s="960"/>
      <c r="J381" s="59"/>
      <c r="K381" s="59"/>
    </row>
    <row r="382" spans="1:11" x14ac:dyDescent="0.25">
      <c r="A382" s="57" t="s">
        <v>121</v>
      </c>
      <c r="B382" s="57" t="s">
        <v>68</v>
      </c>
      <c r="C382" s="57">
        <v>2025</v>
      </c>
      <c r="D382" s="58">
        <f>MATCH(B382,{"GENNAIO","FEBBRAIO","MARZO","APRILE","MAGGIO","GIUGNO","LUGLIO","AGOSTO","SETTEMBRE","OTTOBRE","NOVEMBRE","DICEMBRE"},0)</f>
        <v>9</v>
      </c>
      <c r="E382" s="57" t="str">
        <f>CONCATENATE(,B382," ",C382)</f>
        <v>SETTEMBRE 2025</v>
      </c>
      <c r="F382" s="57" t="str">
        <f>CONCATENATE(D382," ",E382)</f>
        <v>9 SETTEMBRE 2025</v>
      </c>
      <c r="G382" s="59">
        <v>0.4</v>
      </c>
      <c r="H382" s="1338" t="s">
        <v>777</v>
      </c>
      <c r="I382" s="960"/>
      <c r="J382" s="59"/>
      <c r="K382" s="59"/>
    </row>
    <row r="383" spans="1:11" x14ac:dyDescent="0.25">
      <c r="A383" s="57" t="s">
        <v>121</v>
      </c>
      <c r="B383" s="57" t="s">
        <v>68</v>
      </c>
      <c r="C383" s="57">
        <v>2025</v>
      </c>
      <c r="D383" s="58">
        <f>MATCH(B383,{"GENNAIO","FEBBRAIO","MARZO","APRILE","MAGGIO","GIUGNO","LUGLIO","AGOSTO","SETTEMBRE","OTTOBRE","NOVEMBRE","DICEMBRE"},0)</f>
        <v>9</v>
      </c>
      <c r="E383" s="57" t="str">
        <f>CONCATENATE(,B383," ",C383)</f>
        <v>SETTEMBRE 2025</v>
      </c>
      <c r="F383" s="57" t="str">
        <f>CONCATENATE(D383," ",E383)</f>
        <v>9 SETTEMBRE 2025</v>
      </c>
      <c r="G383" s="59">
        <v>0.4</v>
      </c>
      <c r="H383" s="1338" t="s">
        <v>777</v>
      </c>
      <c r="I383" s="960"/>
      <c r="J383" s="59"/>
      <c r="K383" s="59"/>
    </row>
    <row r="384" spans="1:11" x14ac:dyDescent="0.25">
      <c r="A384" s="57" t="s">
        <v>1009</v>
      </c>
      <c r="B384" s="57" t="s">
        <v>68</v>
      </c>
      <c r="C384" s="57">
        <v>2025</v>
      </c>
      <c r="D384" s="58">
        <f>MATCH(B384,{"GENNAIO","FEBBRAIO","MARZO","APRILE","MAGGIO","GIUGNO","LUGLIO","AGOSTO","SETTEMBRE","OTTOBRE","NOVEMBRE","DICEMBRE"},0)</f>
        <v>9</v>
      </c>
      <c r="E384" s="57" t="str">
        <f t="shared" ref="E384" si="552">CONCATENATE(,B384," ",C384)</f>
        <v>SETTEMBRE 2025</v>
      </c>
      <c r="F384" s="57" t="str">
        <f t="shared" ref="F384" si="553">CONCATENATE(D384," ",E384)</f>
        <v>9 SETTEMBRE 2025</v>
      </c>
      <c r="G384" s="59">
        <v>12.49</v>
      </c>
      <c r="H384" s="1338" t="s">
        <v>174</v>
      </c>
      <c r="I384" s="960"/>
      <c r="J384" s="59" t="s">
        <v>768</v>
      </c>
      <c r="K384" s="59"/>
    </row>
    <row r="385" spans="1:11" x14ac:dyDescent="0.25">
      <c r="A385" s="57" t="s">
        <v>246</v>
      </c>
      <c r="B385" s="57" t="s">
        <v>68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 t="shared" ref="E385" si="554">CONCATENATE(,B385," ",C385)</f>
        <v>SETTEMBRE 2025</v>
      </c>
      <c r="F385" s="57" t="str">
        <f t="shared" ref="F385" si="555">CONCATENATE(D385," ",E385)</f>
        <v>9 SETTEMBRE 2025</v>
      </c>
      <c r="G385" s="59">
        <v>43</v>
      </c>
      <c r="H385" s="1338" t="s">
        <v>69</v>
      </c>
      <c r="I385" s="960"/>
      <c r="J385" s="59"/>
      <c r="K385" s="59"/>
    </row>
    <row r="386" spans="1:11" x14ac:dyDescent="0.25">
      <c r="A386" s="57" t="s">
        <v>138</v>
      </c>
      <c r="B386" s="57" t="s">
        <v>68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 t="shared" ref="E386" si="556">CONCATENATE(,B386," ",C386)</f>
        <v>SETTEMBRE 2025</v>
      </c>
      <c r="F386" s="57" t="str">
        <f t="shared" ref="F386" si="557">CONCATENATE(D386," ",E386)</f>
        <v>9 SETTEMBRE 2025</v>
      </c>
      <c r="G386" s="59">
        <v>18</v>
      </c>
      <c r="H386" s="1338" t="s">
        <v>69</v>
      </c>
      <c r="I386" s="960"/>
      <c r="J386" s="59"/>
      <c r="K386" s="59"/>
    </row>
    <row r="387" spans="1:11" x14ac:dyDescent="0.25">
      <c r="A387" s="57" t="s">
        <v>76</v>
      </c>
      <c r="B387" s="57" t="s">
        <v>68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 t="shared" ref="E387" si="558">CONCATENATE(,B387," ",C387)</f>
        <v>SETTEMBRE 2025</v>
      </c>
      <c r="F387" s="57" t="str">
        <f t="shared" ref="F387" si="559">CONCATENATE(D387," ",E387)</f>
        <v>9 SETTEMBRE 2025</v>
      </c>
      <c r="G387" s="59">
        <v>12.14</v>
      </c>
      <c r="H387" s="1338" t="s">
        <v>77</v>
      </c>
      <c r="I387" s="960"/>
      <c r="J387" s="59"/>
      <c r="K387" s="59"/>
    </row>
    <row r="388" spans="1:11" x14ac:dyDescent="0.25">
      <c r="A388" s="57" t="s">
        <v>83</v>
      </c>
      <c r="B388" s="57" t="s">
        <v>68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60">CONCATENATE(,B388," ",C388)</f>
        <v>SETTEMBRE 2025</v>
      </c>
      <c r="F388" s="57" t="str">
        <f t="shared" ref="F388" si="561">CONCATENATE(D388," ",E388)</f>
        <v>9 SETTEMBRE 2025</v>
      </c>
      <c r="G388" s="59">
        <v>6.17</v>
      </c>
      <c r="H388" s="1338" t="s">
        <v>77</v>
      </c>
      <c r="I388" s="960"/>
      <c r="J388" s="59"/>
      <c r="K388" s="59"/>
    </row>
    <row r="389" spans="1:11" x14ac:dyDescent="0.25">
      <c r="A389" s="57" t="s">
        <v>1060</v>
      </c>
      <c r="B389" s="57" t="s">
        <v>68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62">CONCATENATE(,B389," ",C389)</f>
        <v>SETTEMBRE 2025</v>
      </c>
      <c r="F389" s="57" t="str">
        <f t="shared" ref="F389" si="563">CONCATENATE(D389," ",E389)</f>
        <v>9 SETTEMBRE 2025</v>
      </c>
      <c r="G389" s="59">
        <v>34</v>
      </c>
      <c r="H389" s="1338" t="s">
        <v>69</v>
      </c>
      <c r="I389" s="960"/>
      <c r="J389" s="59"/>
      <c r="K389" s="59"/>
    </row>
    <row r="390" spans="1:11" x14ac:dyDescent="0.25">
      <c r="A390" s="57" t="s">
        <v>67</v>
      </c>
      <c r="B390" s="57" t="s">
        <v>68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4">CONCATENATE(,B390," ",C390)</f>
        <v>SETTEMBRE 2025</v>
      </c>
      <c r="F390" s="57" t="str">
        <f t="shared" ref="F390" si="565">CONCATENATE(D390," ",E390)</f>
        <v>9 SETTEMBRE 2025</v>
      </c>
      <c r="G390" s="59">
        <v>7</v>
      </c>
      <c r="H390" s="1338" t="s">
        <v>776</v>
      </c>
      <c r="I390" s="960"/>
      <c r="J390" s="59"/>
      <c r="K390" s="59"/>
    </row>
    <row r="391" spans="1:11" x14ac:dyDescent="0.25">
      <c r="A391" s="57" t="s">
        <v>121</v>
      </c>
      <c r="B391" s="57" t="s">
        <v>68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>CONCATENATE(,B391," ",C391)</f>
        <v>SETTEMBRE 2025</v>
      </c>
      <c r="F391" s="57" t="str">
        <f>CONCATENATE(D391," ",E391)</f>
        <v>9 SETTEMBRE 2025</v>
      </c>
      <c r="G391" s="59">
        <v>0.4</v>
      </c>
      <c r="H391" s="1338" t="s">
        <v>777</v>
      </c>
      <c r="I391" s="960"/>
      <c r="J391" s="59"/>
      <c r="K391" s="59"/>
    </row>
    <row r="392" spans="1:11" x14ac:dyDescent="0.25">
      <c r="A392" s="57" t="s">
        <v>121</v>
      </c>
      <c r="B392" s="57" t="s">
        <v>68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>CONCATENATE(,B392," ",C392)</f>
        <v>SETTEMBRE 2025</v>
      </c>
      <c r="F392" s="57" t="str">
        <f>CONCATENATE(D392," ",E392)</f>
        <v>9 SETTEMBRE 2025</v>
      </c>
      <c r="G392" s="59">
        <v>0.4</v>
      </c>
      <c r="H392" s="1338" t="s">
        <v>777</v>
      </c>
      <c r="I392" s="960"/>
      <c r="J392" s="59"/>
      <c r="K392" s="59"/>
    </row>
    <row r="393" spans="1:11" x14ac:dyDescent="0.25">
      <c r="A393" s="57" t="s">
        <v>121</v>
      </c>
      <c r="B393" s="57" t="s">
        <v>68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>CONCATENATE(,B393," ",C393)</f>
        <v>SETTEMBRE 2025</v>
      </c>
      <c r="F393" s="57" t="str">
        <f>CONCATENATE(D393," ",E393)</f>
        <v>9 SETTEMBRE 2025</v>
      </c>
      <c r="G393" s="59">
        <v>0.4</v>
      </c>
      <c r="H393" s="1338" t="s">
        <v>777</v>
      </c>
      <c r="I393" s="960"/>
      <c r="J393" s="59"/>
      <c r="K393" s="59"/>
    </row>
    <row r="394" spans="1:11" x14ac:dyDescent="0.25">
      <c r="A394" s="57" t="s">
        <v>67</v>
      </c>
      <c r="B394" s="57" t="s">
        <v>68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 t="shared" ref="E394" si="566">CONCATENATE(,B394," ",C394)</f>
        <v>SETTEMBRE 2025</v>
      </c>
      <c r="F394" s="57" t="str">
        <f t="shared" ref="F394" si="567">CONCATENATE(D394," ",E394)</f>
        <v>9 SETTEMBRE 2025</v>
      </c>
      <c r="G394" s="59">
        <v>2.8</v>
      </c>
      <c r="H394" s="1338" t="s">
        <v>69</v>
      </c>
      <c r="I394" s="960"/>
      <c r="J394" s="59"/>
      <c r="K394" s="59"/>
    </row>
    <row r="395" spans="1:11" x14ac:dyDescent="0.25">
      <c r="A395" s="57" t="s">
        <v>990</v>
      </c>
      <c r="B395" s="57" t="s">
        <v>68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 t="shared" ref="E395" si="568">CONCATENATE(,B395," ",C395)</f>
        <v>SETTEMBRE 2025</v>
      </c>
      <c r="F395" s="57" t="str">
        <f t="shared" ref="F395" si="569">CONCATENATE(D395," ",E395)</f>
        <v>9 SETTEMBRE 2025</v>
      </c>
      <c r="G395" s="59">
        <v>24</v>
      </c>
      <c r="H395" s="1338" t="s">
        <v>772</v>
      </c>
      <c r="I395" s="960"/>
      <c r="J395" s="59" t="s">
        <v>768</v>
      </c>
      <c r="K395" s="59" t="s">
        <v>984</v>
      </c>
    </row>
    <row r="396" spans="1:11" x14ac:dyDescent="0.25">
      <c r="A396" s="57" t="s">
        <v>110</v>
      </c>
      <c r="B396" s="57" t="s">
        <v>68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 t="shared" ref="E396" si="570">CONCATENATE(,B396," ",C396)</f>
        <v>SETTEMBRE 2025</v>
      </c>
      <c r="F396" s="57" t="str">
        <f t="shared" ref="F396" si="571">CONCATENATE(D396," ",E396)</f>
        <v>9 SETTEMBRE 2025</v>
      </c>
      <c r="G396" s="59">
        <v>127.58</v>
      </c>
      <c r="H396" s="1338" t="s">
        <v>772</v>
      </c>
      <c r="I396" s="960" t="s">
        <v>993</v>
      </c>
      <c r="J396" s="59" t="s">
        <v>768</v>
      </c>
      <c r="K396" s="59" t="s">
        <v>984</v>
      </c>
    </row>
    <row r="397" spans="1:11" x14ac:dyDescent="0.25">
      <c r="A397" s="57" t="s">
        <v>122</v>
      </c>
      <c r="B397" s="57" t="s">
        <v>68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 t="shared" ref="E397" si="572">CONCATENATE(,B397," ",C397)</f>
        <v>SETTEMBRE 2025</v>
      </c>
      <c r="F397" s="57" t="str">
        <f t="shared" ref="F397" si="573">CONCATENATE(D397," ",E397)</f>
        <v>9 SETTEMBRE 2025</v>
      </c>
      <c r="G397" s="59">
        <v>13.41</v>
      </c>
      <c r="H397" s="1338" t="s">
        <v>77</v>
      </c>
      <c r="I397" s="960"/>
      <c r="J397" s="59"/>
      <c r="K397" s="59"/>
    </row>
    <row r="398" spans="1:11" x14ac:dyDescent="0.25">
      <c r="A398" s="57" t="s">
        <v>67</v>
      </c>
      <c r="B398" s="57" t="s">
        <v>68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 t="shared" ref="E398" si="574">CONCATENATE(,B398," ",C398)</f>
        <v>SETTEMBRE 2025</v>
      </c>
      <c r="F398" s="57" t="str">
        <f t="shared" ref="F398" si="575">CONCATENATE(D398," ",E398)</f>
        <v>9 SETTEMBRE 2025</v>
      </c>
      <c r="G398" s="59">
        <v>7</v>
      </c>
      <c r="H398" s="1338" t="s">
        <v>776</v>
      </c>
      <c r="I398" s="960"/>
      <c r="J398" s="59"/>
      <c r="K398" s="59"/>
    </row>
    <row r="399" spans="1:11" x14ac:dyDescent="0.25">
      <c r="A399" s="57" t="s">
        <v>171</v>
      </c>
      <c r="B399" s="57" t="s">
        <v>68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6">CONCATENATE(,B399," ",C399)</f>
        <v>SETTEMBRE 2025</v>
      </c>
      <c r="F399" s="57" t="str">
        <f t="shared" ref="F399" si="577">CONCATENATE(D399," ",E399)</f>
        <v>9 SETTEMBRE 2025</v>
      </c>
      <c r="G399" s="59">
        <v>33.33</v>
      </c>
      <c r="H399" s="1338" t="s">
        <v>81</v>
      </c>
      <c r="I399" s="960" t="s">
        <v>993</v>
      </c>
      <c r="J399" s="59" t="s">
        <v>768</v>
      </c>
      <c r="K399" s="59"/>
    </row>
    <row r="400" spans="1:11" x14ac:dyDescent="0.25">
      <c r="A400" s="57" t="s">
        <v>983</v>
      </c>
      <c r="B400" s="57" t="s">
        <v>68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59">
        <v>13.1</v>
      </c>
      <c r="H400" s="1338" t="s">
        <v>69</v>
      </c>
      <c r="I400" s="960"/>
      <c r="J400" s="59"/>
      <c r="K400" s="59"/>
    </row>
    <row r="401" spans="1:11" x14ac:dyDescent="0.25">
      <c r="A401" s="57" t="s">
        <v>67</v>
      </c>
      <c r="B401" s="57" t="s">
        <v>68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 t="shared" ref="E401" si="580">CONCATENATE(,B401," ",C401)</f>
        <v>SETTEMBRE 2025</v>
      </c>
      <c r="F401" s="57" t="str">
        <f t="shared" ref="F401" si="581">CONCATENATE(D401," ",E401)</f>
        <v>9 SETTEMBRE 2025</v>
      </c>
      <c r="G401" s="59">
        <v>20</v>
      </c>
      <c r="H401" s="1338" t="s">
        <v>69</v>
      </c>
      <c r="I401" s="960"/>
      <c r="J401" s="59"/>
      <c r="K401" s="59"/>
    </row>
    <row r="402" spans="1:11" x14ac:dyDescent="0.25">
      <c r="A402" s="57" t="s">
        <v>982</v>
      </c>
      <c r="B402" s="57" t="s">
        <v>68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 t="shared" ref="E402" si="582">CONCATENATE(,B402," ",C402)</f>
        <v>SETTEMBRE 2025</v>
      </c>
      <c r="F402" s="57" t="str">
        <f t="shared" ref="F402" si="583">CONCATENATE(D402," ",E402)</f>
        <v>9 SETTEMBRE 2025</v>
      </c>
      <c r="G402" s="59">
        <v>6</v>
      </c>
      <c r="H402" s="1338" t="s">
        <v>69</v>
      </c>
      <c r="I402" s="960"/>
      <c r="J402" s="59"/>
      <c r="K402" s="59" t="s">
        <v>980</v>
      </c>
    </row>
    <row r="403" spans="1:11" x14ac:dyDescent="0.25">
      <c r="A403" s="57" t="s">
        <v>981</v>
      </c>
      <c r="B403" s="57" t="s">
        <v>68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4">CONCATENATE(,B403," ",C403)</f>
        <v>SETTEMBRE 2025</v>
      </c>
      <c r="F403" s="57" t="str">
        <f t="shared" ref="F403" si="585">CONCATENATE(D403," ",E403)</f>
        <v>9 SETTEMBRE 2025</v>
      </c>
      <c r="G403" s="59">
        <v>20</v>
      </c>
      <c r="H403" s="1338" t="s">
        <v>69</v>
      </c>
      <c r="I403" s="960"/>
      <c r="J403" s="59"/>
      <c r="K403" s="59" t="s">
        <v>980</v>
      </c>
    </row>
    <row r="404" spans="1:11" x14ac:dyDescent="0.25">
      <c r="A404" s="57" t="s">
        <v>73</v>
      </c>
      <c r="B404" s="57" t="s">
        <v>68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6">CONCATENATE(,B404," ",C404)</f>
        <v>SETTEMBRE 2025</v>
      </c>
      <c r="F404" s="57" t="str">
        <f t="shared" ref="F404" si="587">CONCATENATE(D404," ",E404)</f>
        <v>9 SETTEMBRE 2025</v>
      </c>
      <c r="G404" s="59">
        <v>9</v>
      </c>
      <c r="H404" s="1338" t="s">
        <v>74</v>
      </c>
      <c r="I404" s="960"/>
      <c r="J404" s="59"/>
      <c r="K404" s="59"/>
    </row>
    <row r="405" spans="1:11" x14ac:dyDescent="0.25">
      <c r="A405" s="57" t="s">
        <v>979</v>
      </c>
      <c r="B405" s="57" t="s">
        <v>68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8">CONCATENATE(,B405," ",C405)</f>
        <v>SETTEMBRE 2025</v>
      </c>
      <c r="F405" s="57" t="str">
        <f t="shared" ref="F405" si="589">CONCATENATE(D405," ",E405)</f>
        <v>9 SETTEMBRE 2025</v>
      </c>
      <c r="G405" s="59">
        <v>37</v>
      </c>
      <c r="H405" s="1338" t="s">
        <v>69</v>
      </c>
      <c r="I405" s="960"/>
      <c r="J405" s="59"/>
      <c r="K405" s="59" t="s">
        <v>980</v>
      </c>
    </row>
    <row r="406" spans="1:11" x14ac:dyDescent="0.25">
      <c r="A406" s="57" t="s">
        <v>108</v>
      </c>
      <c r="B406" s="57" t="s">
        <v>68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90">CONCATENATE(,B406," ",C406)</f>
        <v>SETTEMBRE 2025</v>
      </c>
      <c r="F406" s="57" t="str">
        <f t="shared" ref="F406" si="591">CONCATENATE(D406," ",E406)</f>
        <v>9 SETTEMBRE 2025</v>
      </c>
      <c r="G406" s="59">
        <v>49.9</v>
      </c>
      <c r="H406" s="1338" t="s">
        <v>75</v>
      </c>
      <c r="I406" s="960"/>
      <c r="J406" s="59"/>
      <c r="K406" s="59"/>
    </row>
    <row r="407" spans="1:11" x14ac:dyDescent="0.25">
      <c r="A407" s="57" t="s">
        <v>121</v>
      </c>
      <c r="B407" s="57" t="s">
        <v>68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>CONCATENATE(,B407," ",C407)</f>
        <v>SETTEMBRE 2025</v>
      </c>
      <c r="F407" s="57" t="str">
        <f>CONCATENATE(D407," ",E407)</f>
        <v>9 SETTEMBRE 2025</v>
      </c>
      <c r="G407" s="59">
        <v>0.6</v>
      </c>
      <c r="H407" s="1338" t="s">
        <v>777</v>
      </c>
      <c r="I407" s="960"/>
      <c r="J407" s="59"/>
      <c r="K407" s="59"/>
    </row>
    <row r="408" spans="1:11" x14ac:dyDescent="0.25">
      <c r="A408" s="57" t="s">
        <v>67</v>
      </c>
      <c r="B408" s="57" t="s">
        <v>68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2">CONCATENATE(,B408," ",C408)</f>
        <v>SETTEMBRE 2025</v>
      </c>
      <c r="F408" s="57" t="str">
        <f t="shared" ref="F408" si="593">CONCATENATE(D408," ",E408)</f>
        <v>9 SETTEMBRE 2025</v>
      </c>
      <c r="G408" s="59">
        <v>7</v>
      </c>
      <c r="H408" s="1338" t="s">
        <v>776</v>
      </c>
      <c r="I408" s="960"/>
      <c r="J408" s="59"/>
      <c r="K408" s="59"/>
    </row>
    <row r="409" spans="1:11" x14ac:dyDescent="0.25">
      <c r="A409" s="57" t="s">
        <v>122</v>
      </c>
      <c r="B409" s="57" t="s">
        <v>68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4">CONCATENATE(,B409," ",C409)</f>
        <v>SETTEMBRE 2025</v>
      </c>
      <c r="F409" s="57" t="str">
        <f t="shared" ref="F409" si="595">CONCATENATE(D409," ",E409)</f>
        <v>9 SETTEMBRE 2025</v>
      </c>
      <c r="G409" s="59">
        <v>11.76</v>
      </c>
      <c r="H409" s="1338" t="s">
        <v>77</v>
      </c>
      <c r="I409" s="960"/>
      <c r="J409" s="59"/>
      <c r="K409" s="59"/>
    </row>
    <row r="410" spans="1:11" x14ac:dyDescent="0.25">
      <c r="A410" s="57" t="s">
        <v>121</v>
      </c>
      <c r="B410" s="57" t="s">
        <v>68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>CONCATENATE(,B410," ",C410)</f>
        <v>SETTEMBRE 2025</v>
      </c>
      <c r="F410" s="57" t="str">
        <f>CONCATENATE(D410," ",E410)</f>
        <v>9 SETTEMBRE 2025</v>
      </c>
      <c r="G410" s="59">
        <v>0.4</v>
      </c>
      <c r="H410" s="1338" t="s">
        <v>777</v>
      </c>
      <c r="I410" s="960"/>
      <c r="J410" s="59"/>
      <c r="K410" s="59"/>
    </row>
    <row r="411" spans="1:11" x14ac:dyDescent="0.25">
      <c r="A411" s="57" t="s">
        <v>121</v>
      </c>
      <c r="B411" s="57" t="s">
        <v>68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>CONCATENATE(,B411," ",C411)</f>
        <v>SETTEMBRE 2025</v>
      </c>
      <c r="F411" s="57" t="str">
        <f>CONCATENATE(D411," ",E411)</f>
        <v>9 SETTEMBRE 2025</v>
      </c>
      <c r="G411" s="59">
        <v>0.4</v>
      </c>
      <c r="H411" s="1338" t="s">
        <v>777</v>
      </c>
      <c r="I411" s="960"/>
      <c r="J411" s="59"/>
      <c r="K411" s="59"/>
    </row>
    <row r="412" spans="1:11" ht="14.25" customHeight="1" x14ac:dyDescent="0.25">
      <c r="A412" s="57" t="s">
        <v>122</v>
      </c>
      <c r="B412" s="57" t="s">
        <v>68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596">CONCATENATE(,B412," ",C412)</f>
        <v>SETTEMBRE 2025</v>
      </c>
      <c r="F412" s="57" t="str">
        <f t="shared" ref="F412" si="597">CONCATENATE(D412," ",E412)</f>
        <v>9 SETTEMBRE 2025</v>
      </c>
      <c r="G412" s="59">
        <v>7.23</v>
      </c>
      <c r="H412" s="1338" t="s">
        <v>77</v>
      </c>
      <c r="I412" s="960"/>
      <c r="J412" s="59"/>
      <c r="K412" s="59"/>
    </row>
    <row r="413" spans="1:11" x14ac:dyDescent="0.25">
      <c r="A413" s="57" t="s">
        <v>79</v>
      </c>
      <c r="B413" s="57" t="s">
        <v>68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598">CONCATENATE(,B413," ",C413)</f>
        <v>SETTEMBRE 2025</v>
      </c>
      <c r="F413" s="57" t="str">
        <f t="shared" ref="F413" si="599">CONCATENATE(D413," ",E413)</f>
        <v>9 SETTEMBRE 2025</v>
      </c>
      <c r="G413" s="59">
        <v>21.07</v>
      </c>
      <c r="H413" s="1338" t="s">
        <v>81</v>
      </c>
      <c r="I413" s="960"/>
      <c r="J413" s="59"/>
      <c r="K413" s="59"/>
    </row>
    <row r="414" spans="1:11" x14ac:dyDescent="0.25">
      <c r="A414" s="57" t="s">
        <v>998</v>
      </c>
      <c r="B414" s="57" t="s">
        <v>68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0">CONCATENATE(,B414," ",C414)</f>
        <v>SETTEMBRE 2025</v>
      </c>
      <c r="F414" s="57" t="str">
        <f t="shared" ref="F414" si="601">CONCATENATE(D414," ",E414)</f>
        <v>9 SETTEMBRE 2025</v>
      </c>
      <c r="G414" s="59">
        <v>12.73</v>
      </c>
      <c r="H414" s="1338" t="s">
        <v>70</v>
      </c>
      <c r="I414" s="960" t="s">
        <v>988</v>
      </c>
      <c r="J414" s="59" t="s">
        <v>768</v>
      </c>
      <c r="K414" s="59" t="s">
        <v>991</v>
      </c>
    </row>
    <row r="415" spans="1:11" x14ac:dyDescent="0.25">
      <c r="A415" s="57" t="s">
        <v>108</v>
      </c>
      <c r="B415" s="57" t="s">
        <v>68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2">CONCATENATE(,B415," ",C415)</f>
        <v>SETTEMBRE 2025</v>
      </c>
      <c r="F415" s="57" t="str">
        <f t="shared" ref="F415" si="603">CONCATENATE(D415," ",E415)</f>
        <v>9 SETTEMBRE 2025</v>
      </c>
      <c r="G415" s="59">
        <v>16.66</v>
      </c>
      <c r="H415" s="1338" t="s">
        <v>93</v>
      </c>
      <c r="I415" s="960" t="s">
        <v>989</v>
      </c>
      <c r="J415" s="59" t="s">
        <v>768</v>
      </c>
      <c r="K415" s="59" t="s">
        <v>1035</v>
      </c>
    </row>
    <row r="416" spans="1:11" x14ac:dyDescent="0.25">
      <c r="A416" s="57" t="s">
        <v>171</v>
      </c>
      <c r="B416" s="57" t="s">
        <v>68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4">CONCATENATE(,B416," ",C416)</f>
        <v>SETTEMBRE 2025</v>
      </c>
      <c r="F416" s="57" t="str">
        <f t="shared" ref="F416" si="605">CONCATENATE(D416," ",E416)</f>
        <v>9 SETTEMBRE 2025</v>
      </c>
      <c r="G416" s="59">
        <v>2</v>
      </c>
      <c r="H416" s="1338" t="s">
        <v>69</v>
      </c>
      <c r="I416" s="960"/>
      <c r="J416" s="59"/>
      <c r="K416" s="59"/>
    </row>
    <row r="417" spans="1:11" x14ac:dyDescent="0.25">
      <c r="A417" s="57" t="s">
        <v>171</v>
      </c>
      <c r="B417" s="57" t="s">
        <v>68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 t="shared" ref="E417" si="606">CONCATENATE(,B417," ",C417)</f>
        <v>SETTEMBRE 2025</v>
      </c>
      <c r="F417" s="57" t="str">
        <f t="shared" ref="F417" si="607">CONCATENATE(D417," ",E417)</f>
        <v>9 SETTEMBRE 2025</v>
      </c>
      <c r="G417" s="59">
        <v>0.8</v>
      </c>
      <c r="H417" s="1338" t="s">
        <v>81</v>
      </c>
      <c r="I417" s="960"/>
      <c r="J417" s="59"/>
      <c r="K417" s="59"/>
    </row>
    <row r="418" spans="1:11" x14ac:dyDescent="0.25">
      <c r="A418" s="57" t="s">
        <v>302</v>
      </c>
      <c r="B418" s="57" t="s">
        <v>68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59">
        <v>39.93</v>
      </c>
      <c r="H418" s="1338" t="s">
        <v>93</v>
      </c>
      <c r="I418" s="960"/>
      <c r="J418" s="59"/>
      <c r="K418" s="59" t="s">
        <v>920</v>
      </c>
    </row>
    <row r="419" spans="1:11" x14ac:dyDescent="0.25">
      <c r="A419" s="57" t="s">
        <v>108</v>
      </c>
      <c r="B419" s="57" t="s">
        <v>68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59">
        <v>16.899999999999999</v>
      </c>
      <c r="H419" s="1338" t="s">
        <v>75</v>
      </c>
      <c r="I419" s="960" t="s">
        <v>989</v>
      </c>
      <c r="J419" s="57" t="s">
        <v>108</v>
      </c>
      <c r="K419" s="59" t="s">
        <v>891</v>
      </c>
    </row>
    <row r="420" spans="1:11" x14ac:dyDescent="0.25">
      <c r="A420" s="57" t="s">
        <v>76</v>
      </c>
      <c r="B420" s="57" t="s">
        <v>68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15.38</v>
      </c>
      <c r="H420" s="1338" t="s">
        <v>77</v>
      </c>
      <c r="I420" s="960"/>
      <c r="J420" s="59"/>
      <c r="K420" s="59"/>
    </row>
    <row r="421" spans="1:11" x14ac:dyDescent="0.25">
      <c r="A421" s="57" t="s">
        <v>919</v>
      </c>
      <c r="B421" s="57" t="s">
        <v>68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 t="shared" ref="E421" si="614">CONCATENATE(,B421," ",C421)</f>
        <v>SETTEMBRE 2025</v>
      </c>
      <c r="F421" s="57" t="str">
        <f t="shared" ref="F421" si="615">CONCATENATE(D421," ",E421)</f>
        <v>9 SETTEMBRE 2025</v>
      </c>
      <c r="G421" s="59">
        <v>8.6</v>
      </c>
      <c r="H421" s="1338" t="s">
        <v>69</v>
      </c>
      <c r="I421" s="960"/>
      <c r="J421" s="59"/>
      <c r="K421" s="59"/>
    </row>
    <row r="422" spans="1:11" x14ac:dyDescent="0.25">
      <c r="A422" s="57" t="s">
        <v>108</v>
      </c>
      <c r="B422" s="57" t="s">
        <v>68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6">CONCATENATE(,B422," ",C422)</f>
        <v>SETTEMBRE 2025</v>
      </c>
      <c r="F422" s="57" t="str">
        <f t="shared" ref="F422" si="617">CONCATENATE(D422," ",E422)</f>
        <v>9 SETTEMBRE 2025</v>
      </c>
      <c r="G422" s="59">
        <v>23.54</v>
      </c>
      <c r="H422" s="1338" t="s">
        <v>75</v>
      </c>
      <c r="I422" s="960"/>
      <c r="J422" s="57" t="s">
        <v>108</v>
      </c>
      <c r="K422" s="59"/>
    </row>
    <row r="423" spans="1:11" x14ac:dyDescent="0.25">
      <c r="A423" s="57" t="s">
        <v>67</v>
      </c>
      <c r="B423" s="57" t="s">
        <v>68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8">CONCATENATE(,B423," ",C423)</f>
        <v>SETTEMBRE 2025</v>
      </c>
      <c r="F423" s="57" t="str">
        <f t="shared" ref="F423" si="619">CONCATENATE(D423," ",E423)</f>
        <v>9 SETTEMBRE 2025</v>
      </c>
      <c r="G423" s="59">
        <v>7</v>
      </c>
      <c r="H423" s="1338" t="s">
        <v>776</v>
      </c>
      <c r="I423" s="960"/>
      <c r="J423" s="59"/>
      <c r="K423" s="59"/>
    </row>
    <row r="424" spans="1:11" x14ac:dyDescent="0.25">
      <c r="A424" s="57" t="s">
        <v>67</v>
      </c>
      <c r="B424" s="57" t="s">
        <v>68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20">CONCATENATE(,B424," ",C424)</f>
        <v>SETTEMBRE 2025</v>
      </c>
      <c r="F424" s="57" t="str">
        <f t="shared" ref="F424" si="621">CONCATENATE(D424," ",E424)</f>
        <v>9 SETTEMBRE 2025</v>
      </c>
      <c r="G424" s="59">
        <v>5.6</v>
      </c>
      <c r="H424" s="1338" t="s">
        <v>69</v>
      </c>
      <c r="I424" s="960"/>
      <c r="J424" s="59"/>
      <c r="K424" s="59"/>
    </row>
    <row r="425" spans="1:11" x14ac:dyDescent="0.25">
      <c r="A425" s="57" t="s">
        <v>108</v>
      </c>
      <c r="B425" s="57" t="s">
        <v>68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2">CONCATENATE(,B425," ",C425)</f>
        <v>SETTEMBRE 2025</v>
      </c>
      <c r="F425" s="57" t="str">
        <f t="shared" ref="F425" si="623">CONCATENATE(D425," ",E425)</f>
        <v>9 SETTEMBRE 2025</v>
      </c>
      <c r="G425" s="59">
        <v>12.17</v>
      </c>
      <c r="H425" s="1338" t="s">
        <v>75</v>
      </c>
      <c r="I425" s="960"/>
      <c r="J425" s="57" t="s">
        <v>108</v>
      </c>
      <c r="K425" s="59"/>
    </row>
    <row r="426" spans="1:11" x14ac:dyDescent="0.25">
      <c r="A426" s="57" t="s">
        <v>121</v>
      </c>
      <c r="B426" s="57" t="s">
        <v>68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>CONCATENATE(,B426," ",C426)</f>
        <v>SETTEMBRE 2025</v>
      </c>
      <c r="F426" s="57" t="str">
        <f>CONCATENATE(D426," ",E426)</f>
        <v>9 SETTEMBRE 2025</v>
      </c>
      <c r="G426" s="59">
        <v>0.4</v>
      </c>
      <c r="H426" s="1338" t="s">
        <v>777</v>
      </c>
      <c r="I426" s="960"/>
      <c r="J426" s="59"/>
      <c r="K426" s="59"/>
    </row>
    <row r="427" spans="1:11" x14ac:dyDescent="0.25">
      <c r="A427" s="57" t="s">
        <v>108</v>
      </c>
      <c r="B427" s="57" t="s">
        <v>68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ref="E427" si="624">CONCATENATE(,B427," ",C427)</f>
        <v>SETTEMBRE 2025</v>
      </c>
      <c r="F427" s="57" t="str">
        <f t="shared" ref="F427" si="625">CONCATENATE(D427," ",E427)</f>
        <v>9 SETTEMBRE 2025</v>
      </c>
      <c r="G427" s="59">
        <v>10.95</v>
      </c>
      <c r="H427" s="1338" t="s">
        <v>75</v>
      </c>
      <c r="I427" s="960" t="s">
        <v>1027</v>
      </c>
      <c r="J427" s="57" t="s">
        <v>108</v>
      </c>
      <c r="K427" s="59" t="s">
        <v>918</v>
      </c>
    </row>
    <row r="428" spans="1:11" x14ac:dyDescent="0.25">
      <c r="A428" s="57" t="s">
        <v>79</v>
      </c>
      <c r="B428" s="57" t="s">
        <v>68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6">CONCATENATE(,B428," ",C428)</f>
        <v>SETTEMBRE 2025</v>
      </c>
      <c r="F428" s="57" t="str">
        <f t="shared" ref="F428" si="627">CONCATENATE(D428," ",E428)</f>
        <v>9 SETTEMBRE 2025</v>
      </c>
      <c r="G428" s="59">
        <v>28.93</v>
      </c>
      <c r="H428" s="1338" t="s">
        <v>81</v>
      </c>
      <c r="I428" s="960"/>
      <c r="J428" s="59"/>
      <c r="K428" s="59"/>
    </row>
    <row r="429" spans="1:11" x14ac:dyDescent="0.25">
      <c r="A429" s="57" t="s">
        <v>67</v>
      </c>
      <c r="B429" s="57" t="s">
        <v>68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8">CONCATENATE(,B429," ",C429)</f>
        <v>SETTEMBRE 2025</v>
      </c>
      <c r="F429" s="57" t="str">
        <f t="shared" ref="F429" si="629">CONCATENATE(D429," ",E429)</f>
        <v>9 SETTEMBRE 2025</v>
      </c>
      <c r="G429" s="59">
        <v>7</v>
      </c>
      <c r="H429" s="1338" t="s">
        <v>776</v>
      </c>
      <c r="I429" s="960"/>
      <c r="J429" s="59"/>
      <c r="K429" s="59"/>
    </row>
    <row r="430" spans="1:11" x14ac:dyDescent="0.25">
      <c r="A430" s="57" t="s">
        <v>121</v>
      </c>
      <c r="B430" s="57" t="s">
        <v>68</v>
      </c>
      <c r="C430" s="57">
        <v>2025</v>
      </c>
      <c r="D430" s="58">
        <f>MATCH(B430,{"GENNAIO","FEBBRAIO","MARZO","APRILE","MAGGIO","GIUGNO","LUGLIO","AGOSTO","SETTEMBRE","OTTOBRE","NOVEMBRE","DICEMBRE"},0)</f>
        <v>9</v>
      </c>
      <c r="E430" s="57" t="str">
        <f>CONCATENATE(,B430," ",C430)</f>
        <v>SETTEMBRE 2025</v>
      </c>
      <c r="F430" s="57" t="str">
        <f>CONCATENATE(D430," ",E430)</f>
        <v>9 SETTEMBRE 2025</v>
      </c>
      <c r="G430" s="59">
        <v>0.4</v>
      </c>
      <c r="H430" s="1338" t="s">
        <v>777</v>
      </c>
      <c r="I430" s="960"/>
      <c r="J430" s="59"/>
      <c r="K430" s="59"/>
    </row>
    <row r="431" spans="1:11" x14ac:dyDescent="0.25">
      <c r="A431" s="57" t="s">
        <v>79</v>
      </c>
      <c r="B431" s="57" t="s">
        <v>68</v>
      </c>
      <c r="C431" s="57">
        <v>2025</v>
      </c>
      <c r="D431" s="58">
        <f>MATCH(B431,{"GENNAIO","FEBBRAIO","MARZO","APRILE","MAGGIO","GIUGNO","LUGLIO","AGOSTO","SETTEMBRE","OTTOBRE","NOVEMBRE","DICEMBRE"},0)</f>
        <v>9</v>
      </c>
      <c r="E431" s="57" t="str">
        <f t="shared" ref="E431" si="630">CONCATENATE(,B431," ",C431)</f>
        <v>SETTEMBRE 2025</v>
      </c>
      <c r="F431" s="57" t="str">
        <f t="shared" ref="F431" si="631">CONCATENATE(D431," ",E431)</f>
        <v>9 SETTEMBRE 2025</v>
      </c>
      <c r="G431" s="59">
        <v>26.57</v>
      </c>
      <c r="H431" s="1338" t="s">
        <v>81</v>
      </c>
      <c r="I431" s="960"/>
      <c r="J431" s="59"/>
      <c r="K431" s="59"/>
    </row>
    <row r="432" spans="1:11" x14ac:dyDescent="0.25">
      <c r="A432" s="57" t="s">
        <v>154</v>
      </c>
      <c r="B432" s="57" t="s">
        <v>68</v>
      </c>
      <c r="C432" s="57">
        <v>2025</v>
      </c>
      <c r="D432" s="58">
        <f>MATCH(B432,{"GENNAIO","FEBBRAIO","MARZO","APRILE","MAGGIO","GIUGNO","LUGLIO","AGOSTO","SETTEMBRE","OTTOBRE","NOVEMBRE","DICEMBRE"},0)</f>
        <v>9</v>
      </c>
      <c r="E432" s="57" t="str">
        <f t="shared" ref="E432" si="632">CONCATENATE(,B432," ",C432)</f>
        <v>SETTEMBRE 2025</v>
      </c>
      <c r="F432" s="57" t="str">
        <f t="shared" ref="F432" si="633">CONCATENATE(D432," ",E432)</f>
        <v>9 SETTEMBRE 2025</v>
      </c>
      <c r="G432" s="59">
        <v>13.9</v>
      </c>
      <c r="H432" s="1338" t="s">
        <v>81</v>
      </c>
      <c r="I432" s="960"/>
      <c r="J432" s="59"/>
      <c r="K432" s="59"/>
    </row>
    <row r="433" spans="1:11" x14ac:dyDescent="0.25">
      <c r="A433" s="57" t="s">
        <v>917</v>
      </c>
      <c r="B433" s="57" t="s">
        <v>68</v>
      </c>
      <c r="C433" s="57">
        <v>2025</v>
      </c>
      <c r="D433" s="58">
        <f>MATCH(B433,{"GENNAIO","FEBBRAIO","MARZO","APRILE","MAGGIO","GIUGNO","LUGLIO","AGOSTO","SETTEMBRE","OTTOBRE","NOVEMBRE","DICEMBRE"},0)</f>
        <v>9</v>
      </c>
      <c r="E433" s="57" t="str">
        <f t="shared" ref="E433" si="634">CONCATENATE(,B433," ",C433)</f>
        <v>SETTEMBRE 2025</v>
      </c>
      <c r="F433" s="57" t="str">
        <f t="shared" ref="F433" si="635">CONCATENATE(D433," ",E433)</f>
        <v>9 SETTEMBRE 2025</v>
      </c>
      <c r="G433" s="60">
        <v>1.5</v>
      </c>
      <c r="H433" s="1338" t="s">
        <v>91</v>
      </c>
      <c r="I433" s="960"/>
      <c r="J433" s="59"/>
      <c r="K433" s="59"/>
    </row>
    <row r="434" spans="1:11" x14ac:dyDescent="0.25">
      <c r="A434" s="57" t="s">
        <v>916</v>
      </c>
      <c r="B434" s="57" t="s">
        <v>68</v>
      </c>
      <c r="C434" s="57">
        <v>2025</v>
      </c>
      <c r="D434" s="58">
        <f>MATCH(B434,{"GENNAIO","FEBBRAIO","MARZO","APRILE","MAGGIO","GIUGNO","LUGLIO","AGOSTO","SETTEMBRE","OTTOBRE","NOVEMBRE","DICEMBRE"},0)</f>
        <v>9</v>
      </c>
      <c r="E434" s="57" t="str">
        <f t="shared" ref="E434" si="636">CONCATENATE(,B434," ",C434)</f>
        <v>SETTEMBRE 2025</v>
      </c>
      <c r="F434" s="57" t="str">
        <f t="shared" ref="F434" si="637">CONCATENATE(D434," ",E434)</f>
        <v>9 SETTEMBRE 2025</v>
      </c>
      <c r="G434" s="59">
        <v>85</v>
      </c>
      <c r="H434" s="1338" t="s">
        <v>69</v>
      </c>
      <c r="I434" s="960"/>
      <c r="J434" s="59"/>
      <c r="K434" s="59"/>
    </row>
    <row r="435" spans="1:11" x14ac:dyDescent="0.25">
      <c r="A435" s="57" t="s">
        <v>992</v>
      </c>
      <c r="B435" s="57" t="s">
        <v>68</v>
      </c>
      <c r="C435" s="57">
        <v>2025</v>
      </c>
      <c r="D435" s="58">
        <f>MATCH(B435,{"GENNAIO","FEBBRAIO","MARZO","APRILE","MAGGIO","GIUGNO","LUGLIO","AGOSTO","SETTEMBRE","OTTOBRE","NOVEMBRE","DICEMBRE"},0)</f>
        <v>9</v>
      </c>
      <c r="E435" s="57" t="str">
        <f t="shared" ref="E435:E436" si="638">CONCATENATE(,B435," ",C435)</f>
        <v>SETTEMBRE 2025</v>
      </c>
      <c r="F435" s="57" t="str">
        <f t="shared" ref="F435:F436" si="639">CONCATENATE(D435," ",E435)</f>
        <v>9 SETTEMBRE 2025</v>
      </c>
      <c r="G435" s="59">
        <v>40</v>
      </c>
      <c r="H435" s="1338" t="s">
        <v>93</v>
      </c>
      <c r="I435" s="960"/>
      <c r="J435" s="59" t="s">
        <v>768</v>
      </c>
      <c r="K435" s="59" t="s">
        <v>1015</v>
      </c>
    </row>
    <row r="436" spans="1:11" x14ac:dyDescent="0.25">
      <c r="A436" s="57" t="s">
        <v>122</v>
      </c>
      <c r="B436" s="57" t="s">
        <v>68</v>
      </c>
      <c r="C436" s="57">
        <v>2025</v>
      </c>
      <c r="D436" s="58">
        <f>MATCH(B436,{"GENNAIO","FEBBRAIO","MARZO","APRILE","MAGGIO","GIUGNO","LUGLIO","AGOSTO","SETTEMBRE","OTTOBRE","NOVEMBRE","DICEMBRE"},0)</f>
        <v>9</v>
      </c>
      <c r="E436" s="57" t="str">
        <f t="shared" si="638"/>
        <v>SETTEMBRE 2025</v>
      </c>
      <c r="F436" s="57" t="str">
        <f t="shared" si="639"/>
        <v>9 SETTEMBRE 2025</v>
      </c>
      <c r="G436" s="59">
        <v>5.72</v>
      </c>
      <c r="H436" s="1338" t="s">
        <v>77</v>
      </c>
      <c r="I436" s="960"/>
      <c r="J436" s="59"/>
      <c r="K436" s="59"/>
    </row>
    <row r="437" spans="1:11" x14ac:dyDescent="0.25">
      <c r="A437" s="57" t="s">
        <v>76</v>
      </c>
      <c r="B437" s="57" t="s">
        <v>68</v>
      </c>
      <c r="C437" s="57">
        <v>2025</v>
      </c>
      <c r="D437" s="58">
        <f>MATCH(B437,{"GENNAIO","FEBBRAIO","MARZO","APRILE","MAGGIO","GIUGNO","LUGLIO","AGOSTO","SETTEMBRE","OTTOBRE","NOVEMBRE","DICEMBRE"},0)</f>
        <v>9</v>
      </c>
      <c r="E437" s="57" t="str">
        <f t="shared" ref="E437" si="640">CONCATENATE(,B437," ",C437)</f>
        <v>SETTEMBRE 2025</v>
      </c>
      <c r="F437" s="57" t="str">
        <f t="shared" ref="F437" si="641">CONCATENATE(D437," ",E437)</f>
        <v>9 SETTEMBRE 2025</v>
      </c>
      <c r="G437" s="59">
        <v>12.32</v>
      </c>
      <c r="H437" s="1338" t="s">
        <v>77</v>
      </c>
      <c r="I437" s="960"/>
      <c r="J437" s="59"/>
      <c r="K437" s="59"/>
    </row>
    <row r="438" spans="1:11" x14ac:dyDescent="0.25">
      <c r="A438" s="57" t="s">
        <v>909</v>
      </c>
      <c r="B438" s="57" t="s">
        <v>68</v>
      </c>
      <c r="C438" s="57">
        <v>2025</v>
      </c>
      <c r="D438" s="58">
        <f>MATCH(B438,{"GENNAIO","FEBBRAIO","MARZO","APRILE","MAGGIO","GIUGNO","LUGLIO","AGOSTO","SETTEMBRE","OTTOBRE","NOVEMBRE","DICEMBRE"},0)</f>
        <v>9</v>
      </c>
      <c r="E438" s="57" t="str">
        <f t="shared" ref="E438" si="642">CONCATENATE(,B438," ",C438)</f>
        <v>SETTEMBRE 2025</v>
      </c>
      <c r="F438" s="57" t="str">
        <f t="shared" ref="F438" si="643">CONCATENATE(D438," ",E438)</f>
        <v>9 SETTEMBRE 2025</v>
      </c>
      <c r="G438" s="60">
        <v>37.799999999999997</v>
      </c>
      <c r="H438" s="1338" t="s">
        <v>91</v>
      </c>
      <c r="I438" s="960"/>
      <c r="J438" s="59"/>
      <c r="K438" s="59" t="s">
        <v>863</v>
      </c>
    </row>
    <row r="439" spans="1:11" x14ac:dyDescent="0.25">
      <c r="A439" s="57" t="s">
        <v>121</v>
      </c>
      <c r="B439" s="57" t="s">
        <v>80</v>
      </c>
      <c r="C439" s="57">
        <v>2025</v>
      </c>
      <c r="D439" s="58">
        <f>MATCH(B439,{"GENNAIO","FEBBRAIO","MARZO","APRILE","MAGGIO","GIUGNO","LUGLIO","AGOSTO","SETTEMBRE","OTTOBRE","NOVEMBRE","DICEMBRE"},0)</f>
        <v>8</v>
      </c>
      <c r="E439" s="57" t="str">
        <f>CONCATENATE(,B439," ",C439)</f>
        <v>AGOSTO 2025</v>
      </c>
      <c r="F439" s="57" t="str">
        <f>CONCATENATE(D439," ",E439)</f>
        <v>8 AGOSTO 2025</v>
      </c>
      <c r="G439" s="59">
        <v>0.4</v>
      </c>
      <c r="H439" s="1338" t="s">
        <v>777</v>
      </c>
      <c r="I439" s="960"/>
      <c r="J439" s="59"/>
      <c r="K439" s="59"/>
    </row>
    <row r="440" spans="1:11" x14ac:dyDescent="0.25">
      <c r="A440" s="57" t="s">
        <v>121</v>
      </c>
      <c r="B440" s="57" t="s">
        <v>80</v>
      </c>
      <c r="C440" s="57">
        <v>2025</v>
      </c>
      <c r="D440" s="58">
        <f>MATCH(B440,{"GENNAIO","FEBBRAIO","MARZO","APRILE","MAGGIO","GIUGNO","LUGLIO","AGOSTO","SETTEMBRE","OTTOBRE","NOVEMBRE","DICEMBRE"},0)</f>
        <v>8</v>
      </c>
      <c r="E440" s="57" t="str">
        <f>CONCATENATE(,B440," ",C440)</f>
        <v>AGOSTO 2025</v>
      </c>
      <c r="F440" s="57" t="str">
        <f>CONCATENATE(D440," ",E440)</f>
        <v>8 AGOSTO 2025</v>
      </c>
      <c r="G440" s="59">
        <v>0.35</v>
      </c>
      <c r="H440" s="1338" t="s">
        <v>777</v>
      </c>
      <c r="I440" s="960"/>
      <c r="J440" s="59"/>
      <c r="K440" s="59"/>
    </row>
    <row r="441" spans="1:11" x14ac:dyDescent="0.25">
      <c r="A441" s="57" t="s">
        <v>121</v>
      </c>
      <c r="B441" s="57" t="s">
        <v>80</v>
      </c>
      <c r="C441" s="57">
        <v>2025</v>
      </c>
      <c r="D441" s="58">
        <f>MATCH(B441,{"GENNAIO","FEBBRAIO","MARZO","APRILE","MAGGIO","GIUGNO","LUGLIO","AGOSTO","SETTEMBRE","OTTOBRE","NOVEMBRE","DICEMBRE"},0)</f>
        <v>8</v>
      </c>
      <c r="E441" s="57" t="str">
        <f>CONCATENATE(,B441," ",C441)</f>
        <v>AGOSTO 2025</v>
      </c>
      <c r="F441" s="57" t="str">
        <f>CONCATENATE(D441," ",E441)</f>
        <v>8 AGOSTO 2025</v>
      </c>
      <c r="G441" s="59">
        <v>0.4</v>
      </c>
      <c r="H441" s="1338" t="s">
        <v>777</v>
      </c>
      <c r="I441" s="960"/>
      <c r="J441" s="59"/>
      <c r="K441" s="59"/>
    </row>
    <row r="442" spans="1:11" x14ac:dyDescent="0.25">
      <c r="A442" s="57" t="s">
        <v>83</v>
      </c>
      <c r="B442" s="57" t="s">
        <v>80</v>
      </c>
      <c r="C442" s="57">
        <v>2025</v>
      </c>
      <c r="D442" s="58">
        <f>MATCH(B442,{"GENNAIO","FEBBRAIO","MARZO","APRILE","MAGGIO","GIUGNO","LUGLIO","AGOSTO","SETTEMBRE","OTTOBRE","NOVEMBRE","DICEMBRE"},0)</f>
        <v>8</v>
      </c>
      <c r="E442" s="57" t="str">
        <f t="shared" ref="E442" si="644">CONCATENATE(,B442," ",C442)</f>
        <v>AGOSTO 2025</v>
      </c>
      <c r="F442" s="57" t="str">
        <f t="shared" ref="F442" si="645">CONCATENATE(D442," ",E442)</f>
        <v>8 AGOSTO 2025</v>
      </c>
      <c r="G442" s="59">
        <v>6.27</v>
      </c>
      <c r="H442" s="1338" t="s">
        <v>77</v>
      </c>
      <c r="I442" s="960"/>
      <c r="J442" s="59"/>
      <c r="K442" s="59"/>
    </row>
    <row r="443" spans="1:11" x14ac:dyDescent="0.25">
      <c r="A443" s="57" t="s">
        <v>83</v>
      </c>
      <c r="B443" s="57" t="s">
        <v>80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 t="shared" ref="E443" si="646">CONCATENATE(,B443," ",C443)</f>
        <v>AGOSTO 2025</v>
      </c>
      <c r="F443" s="57" t="str">
        <f t="shared" ref="F443" si="647">CONCATENATE(D443," ",E443)</f>
        <v>8 AGOSTO 2025</v>
      </c>
      <c r="G443" s="59">
        <v>24.56</v>
      </c>
      <c r="H443" s="1338" t="s">
        <v>77</v>
      </c>
      <c r="I443" s="960"/>
      <c r="J443" s="59"/>
      <c r="K443" s="59"/>
    </row>
    <row r="444" spans="1:11" x14ac:dyDescent="0.25">
      <c r="A444" s="57" t="s">
        <v>76</v>
      </c>
      <c r="B444" s="57" t="s">
        <v>80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 t="shared" ref="E444" si="648">CONCATENATE(,B444," ",C444)</f>
        <v>AGOSTO 2025</v>
      </c>
      <c r="F444" s="57" t="str">
        <f t="shared" ref="F444" si="649">CONCATENATE(D444," ",E444)</f>
        <v>8 AGOSTO 2025</v>
      </c>
      <c r="G444" s="59">
        <v>8.35</v>
      </c>
      <c r="H444" s="1338" t="s">
        <v>77</v>
      </c>
      <c r="I444" s="960"/>
      <c r="J444" s="59"/>
      <c r="K444" s="59"/>
    </row>
    <row r="445" spans="1:11" x14ac:dyDescent="0.25">
      <c r="A445" s="57" t="s">
        <v>246</v>
      </c>
      <c r="B445" s="57" t="s">
        <v>80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 t="shared" ref="E445" si="650">CONCATENATE(,B445," ",C445)</f>
        <v>AGOSTO 2025</v>
      </c>
      <c r="F445" s="57" t="str">
        <f t="shared" ref="F445" si="651">CONCATENATE(D445," ",E445)</f>
        <v>8 AGOSTO 2025</v>
      </c>
      <c r="G445" s="59">
        <v>17.5</v>
      </c>
      <c r="H445" s="1338" t="s">
        <v>69</v>
      </c>
      <c r="I445" s="960"/>
      <c r="J445" s="59"/>
      <c r="K445" s="59"/>
    </row>
    <row r="446" spans="1:11" x14ac:dyDescent="0.25">
      <c r="A446" s="57" t="s">
        <v>73</v>
      </c>
      <c r="B446" s="57" t="s">
        <v>80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ref="E446" si="652">CONCATENATE(,B446," ",C446)</f>
        <v>AGOSTO 2025</v>
      </c>
      <c r="F446" s="57" t="str">
        <f t="shared" ref="F446" si="653">CONCATENATE(D446," ",E446)</f>
        <v>8 AGOSTO 2025</v>
      </c>
      <c r="G446" s="59">
        <v>15</v>
      </c>
      <c r="H446" s="1338" t="s">
        <v>74</v>
      </c>
      <c r="I446" s="960"/>
      <c r="J446" s="59"/>
      <c r="K446" s="59"/>
    </row>
    <row r="447" spans="1:11" x14ac:dyDescent="0.25">
      <c r="A447" s="57" t="s">
        <v>911</v>
      </c>
      <c r="B447" s="57" t="s">
        <v>80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" si="654">CONCATENATE(,B447," ",C447)</f>
        <v>AGOSTO 2025</v>
      </c>
      <c r="F447" s="57" t="str">
        <f t="shared" ref="F447" si="655">CONCATENATE(D447," ",E447)</f>
        <v>8 AGOSTO 2025</v>
      </c>
      <c r="G447" s="59">
        <v>16</v>
      </c>
      <c r="H447" s="1338" t="s">
        <v>69</v>
      </c>
      <c r="I447" s="960"/>
      <c r="J447" s="59"/>
      <c r="K447" s="59"/>
    </row>
    <row r="448" spans="1:11" x14ac:dyDescent="0.25">
      <c r="A448" s="57" t="s">
        <v>122</v>
      </c>
      <c r="B448" s="57" t="s">
        <v>80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ref="E448" si="656">CONCATENATE(,B448," ",C448)</f>
        <v>AGOSTO 2025</v>
      </c>
      <c r="F448" s="57" t="str">
        <f t="shared" ref="F448" si="657">CONCATENATE(D448," ",E448)</f>
        <v>8 AGOSTO 2025</v>
      </c>
      <c r="G448" s="59">
        <v>11.39</v>
      </c>
      <c r="H448" s="1338" t="s">
        <v>77</v>
      </c>
      <c r="I448" s="960"/>
      <c r="J448" s="59"/>
      <c r="K448" s="59"/>
    </row>
    <row r="449" spans="1:11" x14ac:dyDescent="0.25">
      <c r="A449" s="57" t="s">
        <v>79</v>
      </c>
      <c r="B449" s="57" t="s">
        <v>80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58">CONCATENATE(,B449," ",C449)</f>
        <v>AGOSTO 2025</v>
      </c>
      <c r="F449" s="57" t="str">
        <f t="shared" ref="F449" si="659">CONCATENATE(D449," ",E449)</f>
        <v>8 AGOSTO 2025</v>
      </c>
      <c r="G449" s="59">
        <v>16.39</v>
      </c>
      <c r="H449" s="1338" t="s">
        <v>81</v>
      </c>
      <c r="I449" s="960"/>
      <c r="J449" s="59"/>
      <c r="K449" s="59"/>
    </row>
    <row r="450" spans="1:11" x14ac:dyDescent="0.25">
      <c r="A450" s="57" t="s">
        <v>998</v>
      </c>
      <c r="B450" s="57" t="s">
        <v>80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0">CONCATENATE(,B450," ",C450)</f>
        <v>AGOSTO 2025</v>
      </c>
      <c r="F450" s="57" t="str">
        <f t="shared" ref="F450" si="661">CONCATENATE(D450," ",E450)</f>
        <v>8 AGOSTO 2025</v>
      </c>
      <c r="G450" s="59">
        <v>12.73</v>
      </c>
      <c r="H450" s="1338" t="s">
        <v>70</v>
      </c>
      <c r="I450" s="960" t="s">
        <v>993</v>
      </c>
      <c r="J450" s="59" t="s">
        <v>768</v>
      </c>
      <c r="K450" s="59" t="s">
        <v>991</v>
      </c>
    </row>
    <row r="451" spans="1:11" x14ac:dyDescent="0.25">
      <c r="A451" s="57" t="s">
        <v>909</v>
      </c>
      <c r="B451" s="57" t="s">
        <v>80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2">CONCATENATE(,B451," ",C451)</f>
        <v>AGOSTO 2025</v>
      </c>
      <c r="F451" s="57" t="str">
        <f t="shared" ref="F451" si="663">CONCATENATE(D451," ",E451)</f>
        <v>8 AGOSTO 2025</v>
      </c>
      <c r="G451" s="60">
        <v>132.63999999999999</v>
      </c>
      <c r="H451" s="1338" t="s">
        <v>91</v>
      </c>
      <c r="I451" s="960"/>
      <c r="J451" s="59"/>
      <c r="K451" s="59" t="s">
        <v>863</v>
      </c>
    </row>
    <row r="452" spans="1:11" x14ac:dyDescent="0.25">
      <c r="A452" s="57" t="s">
        <v>994</v>
      </c>
      <c r="B452" s="57" t="s">
        <v>80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4">CONCATENATE(,B452," ",C452)</f>
        <v>AGOSTO 2025</v>
      </c>
      <c r="F452" s="57" t="str">
        <f t="shared" ref="F452" si="665">CONCATENATE(D452," ",E452)</f>
        <v>8 AGOSTO 2025</v>
      </c>
      <c r="G452" s="59">
        <v>14.8</v>
      </c>
      <c r="H452" s="1338" t="s">
        <v>69</v>
      </c>
      <c r="I452" s="960"/>
      <c r="J452" s="59" t="s">
        <v>768</v>
      </c>
      <c r="K452" s="59"/>
    </row>
    <row r="453" spans="1:11" x14ac:dyDescent="0.25">
      <c r="A453" s="57" t="s">
        <v>908</v>
      </c>
      <c r="B453" s="57" t="s">
        <v>80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6">CONCATENATE(,B453," ",C453)</f>
        <v>AGOSTO 2025</v>
      </c>
      <c r="F453" s="57" t="str">
        <f t="shared" ref="F453" si="667">CONCATENATE(D453," ",E453)</f>
        <v>8 AGOSTO 2025</v>
      </c>
      <c r="G453" s="59">
        <v>13</v>
      </c>
      <c r="H453" s="1338" t="s">
        <v>93</v>
      </c>
      <c r="I453" s="960"/>
      <c r="J453" s="59"/>
      <c r="K453" s="59" t="s">
        <v>863</v>
      </c>
    </row>
    <row r="454" spans="1:11" x14ac:dyDescent="0.25">
      <c r="A454" s="57" t="s">
        <v>907</v>
      </c>
      <c r="B454" s="57" t="s">
        <v>80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:E455" si="668">CONCATENATE(,B454," ",C454)</f>
        <v>AGOSTO 2025</v>
      </c>
      <c r="F454" s="57" t="str">
        <f t="shared" ref="F454:F455" si="669">CONCATENATE(D454," ",E454)</f>
        <v>8 AGOSTO 2025</v>
      </c>
      <c r="G454" s="59">
        <v>1.5</v>
      </c>
      <c r="H454" s="1338" t="s">
        <v>91</v>
      </c>
      <c r="I454" s="960"/>
      <c r="J454" s="59"/>
      <c r="K454" s="59"/>
    </row>
    <row r="455" spans="1:11" x14ac:dyDescent="0.25">
      <c r="A455" s="57" t="s">
        <v>910</v>
      </c>
      <c r="B455" s="57" t="s">
        <v>80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si="668"/>
        <v>AGOSTO 2025</v>
      </c>
      <c r="F455" s="57" t="str">
        <f t="shared" si="669"/>
        <v>8 AGOSTO 2025</v>
      </c>
      <c r="G455" s="59">
        <f>26.25</f>
        <v>26.25</v>
      </c>
      <c r="H455" s="1338" t="s">
        <v>74</v>
      </c>
      <c r="I455" s="960"/>
      <c r="J455" s="59"/>
      <c r="K455" s="59" t="s">
        <v>863</v>
      </c>
    </row>
    <row r="456" spans="1:11" x14ac:dyDescent="0.25">
      <c r="A456" s="57" t="s">
        <v>906</v>
      </c>
      <c r="B456" s="57" t="s">
        <v>80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70">CONCATENATE(,B456," ",C456)</f>
        <v>AGOSTO 2025</v>
      </c>
      <c r="F456" s="57" t="str">
        <f t="shared" ref="F456" si="671">CONCATENATE(D456," ",E456)</f>
        <v>8 AGOSTO 2025</v>
      </c>
      <c r="G456" s="59">
        <f>80.07</f>
        <v>80.069999999999993</v>
      </c>
      <c r="H456" s="1338" t="s">
        <v>74</v>
      </c>
      <c r="I456" s="960"/>
      <c r="J456" s="59"/>
      <c r="K456" s="59" t="s">
        <v>863</v>
      </c>
    </row>
    <row r="457" spans="1:11" x14ac:dyDescent="0.25">
      <c r="A457" s="57" t="s">
        <v>905</v>
      </c>
      <c r="B457" s="57" t="s">
        <v>80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72">CONCATENATE(,B457," ",C457)</f>
        <v>AGOSTO 2025</v>
      </c>
      <c r="F457" s="57" t="str">
        <f t="shared" ref="F457" si="673">CONCATENATE(D457," ",E457)</f>
        <v>8 AGOSTO 2025</v>
      </c>
      <c r="G457" s="59">
        <v>39.200000000000003</v>
      </c>
      <c r="H457" s="1338" t="s">
        <v>69</v>
      </c>
      <c r="I457" s="960"/>
      <c r="J457" s="59"/>
      <c r="K457" s="59" t="s">
        <v>863</v>
      </c>
    </row>
    <row r="458" spans="1:11" x14ac:dyDescent="0.25">
      <c r="A458" s="57" t="s">
        <v>904</v>
      </c>
      <c r="B458" s="57" t="s">
        <v>80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4">CONCATENATE(,B458," ",C458)</f>
        <v>AGOSTO 2025</v>
      </c>
      <c r="F458" s="57" t="str">
        <f t="shared" ref="F458" si="675">CONCATENATE(D458," ",E458)</f>
        <v>8 AGOSTO 2025</v>
      </c>
      <c r="G458" s="59">
        <v>17.600000000000001</v>
      </c>
      <c r="H458" s="1338" t="s">
        <v>69</v>
      </c>
      <c r="I458" s="960"/>
      <c r="J458" s="59"/>
      <c r="K458" s="59" t="s">
        <v>863</v>
      </c>
    </row>
    <row r="459" spans="1:11" x14ac:dyDescent="0.25">
      <c r="A459" s="57" t="s">
        <v>341</v>
      </c>
      <c r="B459" s="57" t="s">
        <v>80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6">CONCATENATE(,B459," ",C459)</f>
        <v>AGOSTO 2025</v>
      </c>
      <c r="F459" s="57" t="str">
        <f t="shared" ref="F459" si="677">CONCATENATE(D459," ",E459)</f>
        <v>8 AGOSTO 2025</v>
      </c>
      <c r="G459" s="59">
        <v>3.91</v>
      </c>
      <c r="H459" s="1338" t="s">
        <v>91</v>
      </c>
      <c r="I459" s="960"/>
      <c r="J459" s="59" t="s">
        <v>768</v>
      </c>
      <c r="K459" s="59" t="s">
        <v>863</v>
      </c>
    </row>
    <row r="460" spans="1:11" x14ac:dyDescent="0.25">
      <c r="A460" s="57" t="s">
        <v>903</v>
      </c>
      <c r="B460" s="57" t="s">
        <v>80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78">CONCATENATE(,B460," ",C460)</f>
        <v>AGOSTO 2025</v>
      </c>
      <c r="F460" s="57" t="str">
        <f t="shared" ref="F460" si="679">CONCATENATE(D460," ",E460)</f>
        <v>8 AGOSTO 2025</v>
      </c>
      <c r="G460" s="59">
        <v>42.46</v>
      </c>
      <c r="H460" s="1338" t="s">
        <v>69</v>
      </c>
      <c r="I460" s="960"/>
      <c r="J460" s="59"/>
      <c r="K460" s="59" t="s">
        <v>863</v>
      </c>
    </row>
    <row r="461" spans="1:11" x14ac:dyDescent="0.25">
      <c r="A461" s="57" t="s">
        <v>902</v>
      </c>
      <c r="B461" s="57" t="s">
        <v>80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0">CONCATENATE(,B461," ",C461)</f>
        <v>AGOSTO 2025</v>
      </c>
      <c r="F461" s="57" t="str">
        <f t="shared" ref="F461" si="681">CONCATENATE(D461," ",E461)</f>
        <v>8 AGOSTO 2025</v>
      </c>
      <c r="G461" s="59">
        <v>15</v>
      </c>
      <c r="H461" s="1338" t="s">
        <v>91</v>
      </c>
      <c r="I461" s="960"/>
      <c r="J461" s="59"/>
      <c r="K461" s="59" t="s">
        <v>863</v>
      </c>
    </row>
    <row r="462" spans="1:11" x14ac:dyDescent="0.25">
      <c r="A462" s="57" t="s">
        <v>901</v>
      </c>
      <c r="B462" s="57" t="s">
        <v>80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2">CONCATENATE(,B462," ",C462)</f>
        <v>AGOSTO 2025</v>
      </c>
      <c r="F462" s="57" t="str">
        <f t="shared" ref="F462" si="683">CONCATENATE(D462," ",E462)</f>
        <v>8 AGOSTO 2025</v>
      </c>
      <c r="G462" s="59">
        <v>7.5</v>
      </c>
      <c r="H462" s="1338" t="s">
        <v>69</v>
      </c>
      <c r="I462" s="960"/>
      <c r="J462" s="59"/>
      <c r="K462" s="59" t="s">
        <v>863</v>
      </c>
    </row>
    <row r="463" spans="1:11" x14ac:dyDescent="0.25">
      <c r="A463" s="57" t="s">
        <v>900</v>
      </c>
      <c r="B463" s="57" t="s">
        <v>80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4">CONCATENATE(,B463," ",C463)</f>
        <v>AGOSTO 2025</v>
      </c>
      <c r="F463" s="57" t="str">
        <f t="shared" ref="F463" si="685">CONCATENATE(D463," ",E463)</f>
        <v>8 AGOSTO 2025</v>
      </c>
      <c r="G463" s="59">
        <v>5</v>
      </c>
      <c r="H463" s="1338" t="s">
        <v>91</v>
      </c>
      <c r="I463" s="960"/>
      <c r="J463" s="59"/>
      <c r="K463" s="59"/>
    </row>
    <row r="464" spans="1:11" x14ac:dyDescent="0.25">
      <c r="A464" s="57" t="s">
        <v>900</v>
      </c>
      <c r="B464" s="57" t="s">
        <v>80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6">CONCATENATE(,B464," ",C464)</f>
        <v>AGOSTO 2025</v>
      </c>
      <c r="F464" s="57" t="str">
        <f t="shared" ref="F464" si="687">CONCATENATE(D464," ",E464)</f>
        <v>8 AGOSTO 2025</v>
      </c>
      <c r="G464" s="59">
        <v>5</v>
      </c>
      <c r="H464" s="1338" t="s">
        <v>91</v>
      </c>
      <c r="I464" s="960"/>
      <c r="J464" s="59"/>
      <c r="K464" s="59"/>
    </row>
    <row r="465" spans="1:11" x14ac:dyDescent="0.25">
      <c r="A465" s="57" t="s">
        <v>899</v>
      </c>
      <c r="B465" s="57" t="s">
        <v>80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88">CONCATENATE(,B465," ",C465)</f>
        <v>AGOSTO 2025</v>
      </c>
      <c r="F465" s="57" t="str">
        <f t="shared" ref="F465" si="689">CONCATENATE(D465," ",E465)</f>
        <v>8 AGOSTO 2025</v>
      </c>
      <c r="G465" s="59">
        <v>8.42</v>
      </c>
      <c r="H465" s="1338" t="s">
        <v>91</v>
      </c>
      <c r="I465" s="960"/>
      <c r="J465" s="59"/>
      <c r="K465" s="59" t="s">
        <v>863</v>
      </c>
    </row>
    <row r="466" spans="1:11" x14ac:dyDescent="0.25">
      <c r="A466" s="57" t="s">
        <v>899</v>
      </c>
      <c r="B466" s="57" t="s">
        <v>80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" si="690">CONCATENATE(,B466," ",C466)</f>
        <v>AGOSTO 2025</v>
      </c>
      <c r="F466" s="57" t="str">
        <f t="shared" ref="F466" si="691">CONCATENATE(D466," ",E466)</f>
        <v>8 AGOSTO 2025</v>
      </c>
      <c r="G466" s="59">
        <v>8.91</v>
      </c>
      <c r="H466" s="1338" t="s">
        <v>91</v>
      </c>
      <c r="I466" s="960"/>
      <c r="J466" s="59"/>
      <c r="K466" s="59" t="s">
        <v>863</v>
      </c>
    </row>
    <row r="467" spans="1:11" x14ac:dyDescent="0.25">
      <c r="A467" s="57" t="s">
        <v>899</v>
      </c>
      <c r="B467" s="57" t="s">
        <v>80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2">CONCATENATE(,B467," ",C467)</f>
        <v>AGOSTO 2025</v>
      </c>
      <c r="F467" s="57" t="str">
        <f t="shared" ref="F467" si="693">CONCATENATE(D467," ",E467)</f>
        <v>8 AGOSTO 2025</v>
      </c>
      <c r="G467" s="59">
        <v>11.04</v>
      </c>
      <c r="H467" s="1338" t="s">
        <v>91</v>
      </c>
      <c r="I467" s="960"/>
      <c r="J467" s="59"/>
      <c r="K467" s="59" t="s">
        <v>863</v>
      </c>
    </row>
    <row r="468" spans="1:11" x14ac:dyDescent="0.25">
      <c r="A468" s="57" t="s">
        <v>995</v>
      </c>
      <c r="B468" s="57" t="s">
        <v>80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ref="E468" si="694">CONCATENATE(,B468," ",C468)</f>
        <v>AGOSTO 2025</v>
      </c>
      <c r="F468" s="57" t="str">
        <f t="shared" ref="F468" si="695">CONCATENATE(D468," ",E468)</f>
        <v>8 AGOSTO 2025</v>
      </c>
      <c r="G468" s="59">
        <v>1.99</v>
      </c>
      <c r="H468" s="1338" t="s">
        <v>91</v>
      </c>
      <c r="I468" s="960"/>
      <c r="J468" s="59" t="s">
        <v>768</v>
      </c>
      <c r="K468" s="59"/>
    </row>
    <row r="469" spans="1:11" x14ac:dyDescent="0.25">
      <c r="A469" s="57" t="s">
        <v>995</v>
      </c>
      <c r="B469" s="57" t="s">
        <v>80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6">CONCATENATE(,B469," ",C469)</f>
        <v>AGOSTO 2025</v>
      </c>
      <c r="F469" s="57" t="str">
        <f t="shared" ref="F469" si="697">CONCATENATE(D469," ",E469)</f>
        <v>8 AGOSTO 2025</v>
      </c>
      <c r="G469" s="59">
        <v>5.99</v>
      </c>
      <c r="H469" s="1338" t="s">
        <v>91</v>
      </c>
      <c r="I469" s="960"/>
      <c r="J469" s="59" t="s">
        <v>768</v>
      </c>
      <c r="K469" s="59"/>
    </row>
    <row r="470" spans="1:11" x14ac:dyDescent="0.25">
      <c r="A470" s="57" t="s">
        <v>995</v>
      </c>
      <c r="B470" s="57" t="s">
        <v>80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8">CONCATENATE(,B470," ",C470)</f>
        <v>AGOSTO 2025</v>
      </c>
      <c r="F470" s="57" t="str">
        <f t="shared" ref="F470" si="699">CONCATENATE(D470," ",E470)</f>
        <v>8 AGOSTO 2025</v>
      </c>
      <c r="G470" s="59">
        <v>6.75</v>
      </c>
      <c r="H470" s="1338" t="s">
        <v>91</v>
      </c>
      <c r="I470" s="960"/>
      <c r="J470" s="59" t="s">
        <v>768</v>
      </c>
      <c r="K470" s="59"/>
    </row>
    <row r="471" spans="1:11" x14ac:dyDescent="0.25">
      <c r="A471" s="57" t="s">
        <v>898</v>
      </c>
      <c r="B471" s="57" t="s">
        <v>80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3.7</v>
      </c>
      <c r="H471" s="1338" t="s">
        <v>69</v>
      </c>
      <c r="I471" s="960"/>
      <c r="J471" s="59"/>
      <c r="K471" s="59"/>
    </row>
    <row r="472" spans="1:11" x14ac:dyDescent="0.25">
      <c r="A472" s="57" t="s">
        <v>1050</v>
      </c>
      <c r="B472" s="57" t="s">
        <v>80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 t="shared" ref="E472" si="702">CONCATENATE(,B472," ",C472)</f>
        <v>AGOSTO 2025</v>
      </c>
      <c r="F472" s="57" t="str">
        <f t="shared" ref="F472" si="703">CONCATENATE(D472," ",E472)</f>
        <v>8 AGOSTO 2025</v>
      </c>
      <c r="G472" s="59">
        <v>19.95</v>
      </c>
      <c r="H472" s="1338" t="s">
        <v>69</v>
      </c>
      <c r="I472" s="960"/>
      <c r="J472" s="59"/>
      <c r="K472" s="59" t="s">
        <v>1047</v>
      </c>
    </row>
    <row r="473" spans="1:11" x14ac:dyDescent="0.25">
      <c r="A473" s="57" t="s">
        <v>897</v>
      </c>
      <c r="B473" s="57" t="s">
        <v>80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4">CONCATENATE(,B473," ",C473)</f>
        <v>AGOSTO 2025</v>
      </c>
      <c r="F473" s="57" t="str">
        <f t="shared" ref="F473" si="705">CONCATENATE(D473," ",E473)</f>
        <v>8 AGOSTO 2025</v>
      </c>
      <c r="G473" s="59">
        <v>21.7</v>
      </c>
      <c r="H473" s="1338" t="s">
        <v>69</v>
      </c>
      <c r="I473" s="960"/>
      <c r="J473" s="59"/>
      <c r="K473" s="59" t="s">
        <v>863</v>
      </c>
    </row>
    <row r="474" spans="1:11" x14ac:dyDescent="0.25">
      <c r="A474" s="57" t="s">
        <v>896</v>
      </c>
      <c r="B474" s="57" t="s">
        <v>80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6">CONCATENATE(,B474," ",C474)</f>
        <v>AGOSTO 2025</v>
      </c>
      <c r="F474" s="57" t="str">
        <f t="shared" ref="F474" si="707">CONCATENATE(D474," ",E474)</f>
        <v>8 AGOSTO 2025</v>
      </c>
      <c r="G474" s="59">
        <v>20</v>
      </c>
      <c r="H474" s="1338" t="s">
        <v>91</v>
      </c>
      <c r="I474" s="960"/>
      <c r="J474" s="59"/>
      <c r="K474" s="59" t="s">
        <v>863</v>
      </c>
    </row>
    <row r="475" spans="1:11" x14ac:dyDescent="0.25">
      <c r="A475" s="57" t="s">
        <v>896</v>
      </c>
      <c r="B475" s="57" t="s">
        <v>80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:E477" si="708">CONCATENATE(,B475," ",C475)</f>
        <v>AGOSTO 2025</v>
      </c>
      <c r="F475" s="57" t="str">
        <f t="shared" ref="F475:F477" si="709">CONCATENATE(D475," ",E475)</f>
        <v>8 AGOSTO 2025</v>
      </c>
      <c r="G475" s="59">
        <v>20</v>
      </c>
      <c r="H475" s="1338" t="s">
        <v>91</v>
      </c>
      <c r="I475" s="960"/>
      <c r="J475" s="59"/>
      <c r="K475" s="59" t="s">
        <v>863</v>
      </c>
    </row>
    <row r="476" spans="1:11" x14ac:dyDescent="0.25">
      <c r="A476" s="57" t="s">
        <v>67</v>
      </c>
      <c r="B476" s="57" t="s">
        <v>80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" si="710">CONCATENATE(,B476," ",C476)</f>
        <v>AGOSTO 2025</v>
      </c>
      <c r="F476" s="57" t="str">
        <f t="shared" ref="F476" si="711">CONCATENATE(D476," ",E476)</f>
        <v>8 AGOSTO 2025</v>
      </c>
      <c r="G476" s="59">
        <v>6.5</v>
      </c>
      <c r="H476" s="1338" t="s">
        <v>776</v>
      </c>
      <c r="I476" s="960"/>
      <c r="J476" s="59"/>
      <c r="K476" s="59"/>
    </row>
    <row r="477" spans="1:11" x14ac:dyDescent="0.25">
      <c r="A477" s="57" t="s">
        <v>67</v>
      </c>
      <c r="B477" s="57" t="s">
        <v>80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si="708"/>
        <v>AGOSTO 2025</v>
      </c>
      <c r="F477" s="57" t="str">
        <f t="shared" si="709"/>
        <v>8 AGOSTO 2025</v>
      </c>
      <c r="G477" s="59">
        <v>6.5</v>
      </c>
      <c r="H477" s="1338" t="s">
        <v>776</v>
      </c>
      <c r="I477" s="960"/>
      <c r="J477" s="59"/>
      <c r="K477" s="59"/>
    </row>
    <row r="478" spans="1:11" x14ac:dyDescent="0.25">
      <c r="A478" s="57" t="s">
        <v>67</v>
      </c>
      <c r="B478" s="57" t="s">
        <v>80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12">CONCATENATE(,B478," ",C478)</f>
        <v>AGOSTO 2025</v>
      </c>
      <c r="F478" s="57" t="str">
        <f t="shared" ref="F478" si="713">CONCATENATE(D478," ",E478)</f>
        <v>8 AGOSTO 2025</v>
      </c>
      <c r="G478" s="59">
        <v>6.5</v>
      </c>
      <c r="H478" s="1338" t="s">
        <v>776</v>
      </c>
      <c r="I478" s="960"/>
      <c r="J478" s="59"/>
      <c r="K478" s="59"/>
    </row>
    <row r="479" spans="1:11" x14ac:dyDescent="0.25">
      <c r="A479" s="57" t="s">
        <v>895</v>
      </c>
      <c r="B479" s="57" t="s">
        <v>80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14">CONCATENATE(,B479," ",C479)</f>
        <v>AGOSTO 2025</v>
      </c>
      <c r="F479" s="57" t="str">
        <f t="shared" ref="F479" si="715">CONCATENATE(D479," ",E479)</f>
        <v>8 AGOSTO 2025</v>
      </c>
      <c r="G479" s="59">
        <v>12.3</v>
      </c>
      <c r="H479" s="1338" t="s">
        <v>69</v>
      </c>
      <c r="I479" s="960"/>
      <c r="J479" s="59"/>
      <c r="K479" s="59"/>
    </row>
    <row r="480" spans="1:11" x14ac:dyDescent="0.25">
      <c r="A480" s="57" t="s">
        <v>894</v>
      </c>
      <c r="B480" s="57" t="s">
        <v>80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6">CONCATENATE(,B480," ",C480)</f>
        <v>AGOSTO 2025</v>
      </c>
      <c r="F480" s="57" t="str">
        <f t="shared" ref="F480" si="717">CONCATENATE(D480," ",E480)</f>
        <v>8 AGOSTO 2025</v>
      </c>
      <c r="G480" s="59">
        <v>9.5</v>
      </c>
      <c r="H480" s="1338" t="s">
        <v>69</v>
      </c>
      <c r="I480" s="960"/>
      <c r="J480" s="59"/>
      <c r="K480" s="59"/>
    </row>
    <row r="481" spans="1:11" x14ac:dyDescent="0.25">
      <c r="A481" s="57" t="s">
        <v>121</v>
      </c>
      <c r="B481" s="57" t="s">
        <v>80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>CONCATENATE(,B481," ",C481)</f>
        <v>AGOSTO 2025</v>
      </c>
      <c r="F481" s="57" t="str">
        <f>CONCATENATE(D481," ",E481)</f>
        <v>8 AGOSTO 2025</v>
      </c>
      <c r="G481" s="59">
        <v>0.6</v>
      </c>
      <c r="H481" s="1338" t="s">
        <v>777</v>
      </c>
      <c r="I481" s="960"/>
      <c r="J481" s="59"/>
      <c r="K481" s="59"/>
    </row>
    <row r="482" spans="1:11" x14ac:dyDescent="0.25">
      <c r="A482" s="57" t="s">
        <v>892</v>
      </c>
      <c r="B482" s="57" t="s">
        <v>80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ref="E482" si="718">CONCATENATE(,B482," ",C482)</f>
        <v>AGOSTO 2025</v>
      </c>
      <c r="F482" s="57" t="str">
        <f t="shared" ref="F482" si="719">CONCATENATE(D482," ",E482)</f>
        <v>8 AGOSTO 2025</v>
      </c>
      <c r="G482" s="59">
        <v>20.18</v>
      </c>
      <c r="H482" s="1338" t="s">
        <v>137</v>
      </c>
      <c r="I482" s="960"/>
      <c r="J482" s="59"/>
      <c r="K482" s="59"/>
    </row>
    <row r="483" spans="1:11" x14ac:dyDescent="0.25">
      <c r="A483" s="57" t="s">
        <v>67</v>
      </c>
      <c r="B483" s="57" t="s">
        <v>80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 t="shared" ref="E483" si="720">CONCATENATE(,B483," ",C483)</f>
        <v>AGOSTO 2025</v>
      </c>
      <c r="F483" s="57" t="str">
        <f t="shared" ref="F483" si="721">CONCATENATE(D483," ",E483)</f>
        <v>8 AGOSTO 2025</v>
      </c>
      <c r="G483" s="59">
        <v>4.2</v>
      </c>
      <c r="H483" s="1338" t="s">
        <v>69</v>
      </c>
      <c r="I483" s="960"/>
      <c r="J483" s="59"/>
      <c r="K483" s="59"/>
    </row>
    <row r="484" spans="1:11" x14ac:dyDescent="0.25">
      <c r="A484" s="57" t="s">
        <v>110</v>
      </c>
      <c r="B484" s="57" t="s">
        <v>80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 t="shared" ref="E484" si="722">CONCATENATE(,B484," ",C484)</f>
        <v>AGOSTO 2025</v>
      </c>
      <c r="F484" s="57" t="str">
        <f t="shared" ref="F484" si="723">CONCATENATE(D484," ",E484)</f>
        <v>8 AGOSTO 2025</v>
      </c>
      <c r="G484" s="59">
        <v>557.46</v>
      </c>
      <c r="H484" s="1338" t="s">
        <v>772</v>
      </c>
      <c r="I484" s="960"/>
      <c r="J484" s="59"/>
      <c r="K484" s="59" t="s">
        <v>863</v>
      </c>
    </row>
    <row r="485" spans="1:11" ht="14.25" customHeight="1" x14ac:dyDescent="0.25">
      <c r="A485" s="57" t="s">
        <v>110</v>
      </c>
      <c r="B485" s="57" t="s">
        <v>80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 t="shared" ref="E485:E486" si="724">CONCATENATE(,B485," ",C485)</f>
        <v>AGOSTO 2025</v>
      </c>
      <c r="F485" s="57" t="str">
        <f t="shared" ref="F485:F486" si="725">CONCATENATE(D485," ",E485)</f>
        <v>8 AGOSTO 2025</v>
      </c>
      <c r="G485" s="59">
        <v>333.52</v>
      </c>
      <c r="H485" s="1338" t="s">
        <v>772</v>
      </c>
      <c r="I485" s="960"/>
      <c r="J485" s="59"/>
      <c r="K485" s="59" t="s">
        <v>863</v>
      </c>
    </row>
    <row r="486" spans="1:11" x14ac:dyDescent="0.25">
      <c r="A486" s="57" t="s">
        <v>108</v>
      </c>
      <c r="B486" s="57" t="s">
        <v>80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 t="shared" si="724"/>
        <v>AGOSTO 2025</v>
      </c>
      <c r="F486" s="57" t="str">
        <f t="shared" si="725"/>
        <v>8 AGOSTO 2025</v>
      </c>
      <c r="G486" s="59">
        <v>-9.82</v>
      </c>
      <c r="H486" s="1338" t="s">
        <v>1042</v>
      </c>
      <c r="I486" s="960"/>
      <c r="J486" s="57" t="s">
        <v>108</v>
      </c>
      <c r="K486" s="59" t="s">
        <v>1040</v>
      </c>
    </row>
    <row r="487" spans="1:11" x14ac:dyDescent="0.25">
      <c r="A487" s="57" t="s">
        <v>108</v>
      </c>
      <c r="B487" s="57" t="s">
        <v>80</v>
      </c>
      <c r="C487" s="57">
        <v>2025</v>
      </c>
      <c r="D487" s="58">
        <f>MATCH(B487,{"GENNAIO","FEBBRAIO","MARZO","APRILE","MAGGIO","GIUGNO","LUGLIO","AGOSTO","SETTEMBRE","OTTOBRE","NOVEMBRE","DICEMBRE"},0)</f>
        <v>8</v>
      </c>
      <c r="E487" s="57" t="str">
        <f t="shared" ref="E487" si="726">CONCATENATE(,B487," ",C487)</f>
        <v>AGOSTO 2025</v>
      </c>
      <c r="F487" s="57" t="str">
        <f t="shared" ref="F487" si="727">CONCATENATE(D487," ",E487)</f>
        <v>8 AGOSTO 2025</v>
      </c>
      <c r="G487" s="59">
        <v>16.899999999999999</v>
      </c>
      <c r="H487" s="1338" t="s">
        <v>75</v>
      </c>
      <c r="I487" s="960" t="s">
        <v>988</v>
      </c>
      <c r="J487" s="57" t="s">
        <v>108</v>
      </c>
      <c r="K487" s="59" t="s">
        <v>891</v>
      </c>
    </row>
    <row r="488" spans="1:11" x14ac:dyDescent="0.25">
      <c r="A488" s="57" t="s">
        <v>914</v>
      </c>
      <c r="B488" s="57" t="s">
        <v>80</v>
      </c>
      <c r="C488" s="57">
        <v>2025</v>
      </c>
      <c r="D488" s="58">
        <f>MATCH(B488,{"GENNAIO","FEBBRAIO","MARZO","APRILE","MAGGIO","GIUGNO","LUGLIO","AGOSTO","SETTEMBRE","OTTOBRE","NOVEMBRE","DICEMBRE"},0)</f>
        <v>8</v>
      </c>
      <c r="E488" s="57" t="str">
        <f t="shared" ref="E488" si="728">CONCATENATE(,B488," ",C488)</f>
        <v>AGOSTO 2025</v>
      </c>
      <c r="F488" s="57" t="str">
        <f t="shared" ref="F488" si="729">CONCATENATE(D488," ",E488)</f>
        <v>8 AGOSTO 2025</v>
      </c>
      <c r="G488" s="59">
        <v>16.66</v>
      </c>
      <c r="H488" s="1338" t="s">
        <v>93</v>
      </c>
      <c r="I488" s="960" t="s">
        <v>988</v>
      </c>
      <c r="J488" s="59" t="s">
        <v>768</v>
      </c>
      <c r="K488" s="59" t="s">
        <v>1014</v>
      </c>
    </row>
    <row r="489" spans="1:11" x14ac:dyDescent="0.25">
      <c r="A489" s="57" t="s">
        <v>877</v>
      </c>
      <c r="B489" s="57" t="s">
        <v>80</v>
      </c>
      <c r="C489" s="57">
        <v>2025</v>
      </c>
      <c r="D489" s="58">
        <f>MATCH(B489,{"GENNAIO","FEBBRAIO","MARZO","APRILE","MAGGIO","GIUGNO","LUGLIO","AGOSTO","SETTEMBRE","OTTOBRE","NOVEMBRE","DICEMBRE"},0)</f>
        <v>8</v>
      </c>
      <c r="E489" s="57" t="str">
        <f t="shared" ref="E489" si="730">CONCATENATE(,B489," ",C489)</f>
        <v>AGOSTO 2025</v>
      </c>
      <c r="F489" s="57" t="str">
        <f t="shared" ref="F489" si="731">CONCATENATE(D489," ",E489)</f>
        <v>8 AGOSTO 2025</v>
      </c>
      <c r="G489" s="59">
        <v>215.64</v>
      </c>
      <c r="H489" s="1338" t="s">
        <v>91</v>
      </c>
      <c r="I489" s="960" t="s">
        <v>989</v>
      </c>
      <c r="J489" s="59" t="s">
        <v>768</v>
      </c>
      <c r="K489" s="59" t="s">
        <v>863</v>
      </c>
    </row>
    <row r="490" spans="1:11" x14ac:dyDescent="0.25">
      <c r="A490" s="57" t="s">
        <v>108</v>
      </c>
      <c r="B490" s="57" t="s">
        <v>80</v>
      </c>
      <c r="C490" s="57">
        <v>2025</v>
      </c>
      <c r="D490" s="58">
        <f>MATCH(B490,{"GENNAIO","FEBBRAIO","MARZO","APRILE","MAGGIO","GIUGNO","LUGLIO","AGOSTO","SETTEMBRE","OTTOBRE","NOVEMBRE","DICEMBRE"},0)</f>
        <v>8</v>
      </c>
      <c r="E490" s="57" t="str">
        <f t="shared" ref="E490:E491" si="732">CONCATENATE(,B490," ",C490)</f>
        <v>AGOSTO 2025</v>
      </c>
      <c r="F490" s="57" t="str">
        <f t="shared" ref="F490:F491" si="733">CONCATENATE(D490," ",E490)</f>
        <v>8 AGOSTO 2025</v>
      </c>
      <c r="G490" s="59">
        <v>109.8</v>
      </c>
      <c r="H490" s="1338" t="s">
        <v>81</v>
      </c>
      <c r="I490" s="960" t="s">
        <v>1045</v>
      </c>
      <c r="J490" s="57" t="s">
        <v>108</v>
      </c>
      <c r="K490" s="59" t="s">
        <v>836</v>
      </c>
    </row>
    <row r="491" spans="1:11" x14ac:dyDescent="0.25">
      <c r="A491" s="57" t="s">
        <v>79</v>
      </c>
      <c r="B491" s="57" t="s">
        <v>80</v>
      </c>
      <c r="C491" s="57">
        <v>2025</v>
      </c>
      <c r="D491" s="58">
        <f>MATCH(B491,{"GENNAIO","FEBBRAIO","MARZO","APRILE","MAGGIO","GIUGNO","LUGLIO","AGOSTO","SETTEMBRE","OTTOBRE","NOVEMBRE","DICEMBRE"},0)</f>
        <v>8</v>
      </c>
      <c r="E491" s="57" t="str">
        <f t="shared" si="732"/>
        <v>AGOSTO 2025</v>
      </c>
      <c r="F491" s="57" t="str">
        <f t="shared" si="733"/>
        <v>8 AGOSTO 2025</v>
      </c>
      <c r="G491" s="59">
        <v>27.74</v>
      </c>
      <c r="H491" s="1338" t="s">
        <v>81</v>
      </c>
      <c r="I491" s="960"/>
      <c r="J491" s="59"/>
      <c r="K491" s="59"/>
    </row>
    <row r="492" spans="1:11" x14ac:dyDescent="0.25">
      <c r="A492" s="57" t="s">
        <v>121</v>
      </c>
      <c r="B492" s="57" t="s">
        <v>80</v>
      </c>
      <c r="C492" s="57">
        <v>2025</v>
      </c>
      <c r="D492" s="58">
        <f>MATCH(B492,{"GENNAIO","FEBBRAIO","MARZO","APRILE","MAGGIO","GIUGNO","LUGLIO","AGOSTO","SETTEMBRE","OTTOBRE","NOVEMBRE","DICEMBRE"},0)</f>
        <v>8</v>
      </c>
      <c r="E492" s="57" t="str">
        <f>CONCATENATE(,B492," ",C492)</f>
        <v>AGOSTO 2025</v>
      </c>
      <c r="F492" s="57" t="str">
        <f>CONCATENATE(D492," ",E492)</f>
        <v>8 AGOSTO 2025</v>
      </c>
      <c r="G492" s="59">
        <v>0.4</v>
      </c>
      <c r="H492" s="1338" t="s">
        <v>777</v>
      </c>
      <c r="I492" s="960"/>
      <c r="J492" s="59"/>
      <c r="K492" s="59"/>
    </row>
    <row r="493" spans="1:11" x14ac:dyDescent="0.25">
      <c r="A493" s="57" t="s">
        <v>121</v>
      </c>
      <c r="B493" s="57" t="s">
        <v>80</v>
      </c>
      <c r="C493" s="57">
        <v>2025</v>
      </c>
      <c r="D493" s="58">
        <f>MATCH(B493,{"GENNAIO","FEBBRAIO","MARZO","APRILE","MAGGIO","GIUGNO","LUGLIO","AGOSTO","SETTEMBRE","OTTOBRE","NOVEMBRE","DICEMBRE"},0)</f>
        <v>8</v>
      </c>
      <c r="E493" s="57" t="str">
        <f>CONCATENATE(,B493," ",C493)</f>
        <v>AGOSTO 2025</v>
      </c>
      <c r="F493" s="57" t="str">
        <f>CONCATENATE(D493," ",E493)</f>
        <v>8 AGOSTO 2025</v>
      </c>
      <c r="G493" s="59">
        <v>0.4</v>
      </c>
      <c r="H493" s="1338" t="s">
        <v>777</v>
      </c>
      <c r="I493" s="960"/>
      <c r="J493" s="59"/>
      <c r="K493" s="59"/>
    </row>
    <row r="494" spans="1:11" ht="16.5" customHeight="1" x14ac:dyDescent="0.25">
      <c r="A494" s="57" t="s">
        <v>121</v>
      </c>
      <c r="B494" s="57" t="s">
        <v>80</v>
      </c>
      <c r="C494" s="57">
        <v>2025</v>
      </c>
      <c r="D494" s="58">
        <f>MATCH(B494,{"GENNAIO","FEBBRAIO","MARZO","APRILE","MAGGIO","GIUGNO","LUGLIO","AGOSTO","SETTEMBRE","OTTOBRE","NOVEMBRE","DICEMBRE"},0)</f>
        <v>8</v>
      </c>
      <c r="E494" s="57" t="str">
        <f>CONCATENATE(,B494," ",C494)</f>
        <v>AGOSTO 2025</v>
      </c>
      <c r="F494" s="57" t="str">
        <f>CONCATENATE(D494," ",E494)</f>
        <v>8 AGOSTO 2025</v>
      </c>
      <c r="G494" s="59">
        <v>0.4</v>
      </c>
      <c r="H494" s="1338" t="s">
        <v>777</v>
      </c>
      <c r="I494" s="960"/>
      <c r="J494" s="59"/>
      <c r="K494" s="59"/>
    </row>
    <row r="495" spans="1:11" ht="16.5" customHeight="1" x14ac:dyDescent="0.25">
      <c r="A495" s="57" t="s">
        <v>121</v>
      </c>
      <c r="B495" s="57" t="s">
        <v>80</v>
      </c>
      <c r="C495" s="57">
        <v>2025</v>
      </c>
      <c r="D495" s="58">
        <f>MATCH(B495,{"GENNAIO","FEBBRAIO","MARZO","APRILE","MAGGIO","GIUGNO","LUGLIO","AGOSTO","SETTEMBRE","OTTOBRE","NOVEMBRE","DICEMBRE"},0)</f>
        <v>8</v>
      </c>
      <c r="E495" s="57" t="str">
        <f>CONCATENATE(,B495," ",C495)</f>
        <v>AGOSTO 2025</v>
      </c>
      <c r="F495" s="57" t="str">
        <f>CONCATENATE(D495," ",E495)</f>
        <v>8 AGOSTO 2025</v>
      </c>
      <c r="G495" s="59">
        <v>0.4</v>
      </c>
      <c r="H495" s="1338" t="s">
        <v>777</v>
      </c>
      <c r="I495" s="960"/>
      <c r="J495" s="59"/>
      <c r="K495" s="59"/>
    </row>
    <row r="496" spans="1:11" x14ac:dyDescent="0.25">
      <c r="A496" s="57" t="s">
        <v>83</v>
      </c>
      <c r="B496" s="57" t="s">
        <v>119</v>
      </c>
      <c r="C496" s="57">
        <v>2025</v>
      </c>
      <c r="D496" s="58">
        <f>MATCH(B496,{"GENNAIO","FEBBRAIO","MARZO","APRILE","MAGGIO","GIUGNO","LUGLIO","AGOSTO","SETTEMBRE","OTTOBRE","NOVEMBRE","DICEMBRE"},0)</f>
        <v>7</v>
      </c>
      <c r="E496" s="57" t="str">
        <f t="shared" ref="E496" si="734">CONCATENATE(,B496," ",C496)</f>
        <v>LUGLIO 2025</v>
      </c>
      <c r="F496" s="57" t="str">
        <f t="shared" ref="F496" si="735">CONCATENATE(D496," ",E496)</f>
        <v>7 LUGLIO 2025</v>
      </c>
      <c r="G496" s="59">
        <v>2.68</v>
      </c>
      <c r="H496" s="1338" t="s">
        <v>77</v>
      </c>
      <c r="I496" s="960"/>
      <c r="J496" s="59"/>
      <c r="K496" s="59"/>
    </row>
    <row r="497" spans="1:11" x14ac:dyDescent="0.25">
      <c r="A497" s="57" t="s">
        <v>202</v>
      </c>
      <c r="B497" s="57" t="s">
        <v>119</v>
      </c>
      <c r="C497" s="57">
        <v>2025</v>
      </c>
      <c r="D497" s="58">
        <f>MATCH(B497,{"GENNAIO","FEBBRAIO","MARZO","APRILE","MAGGIO","GIUGNO","LUGLIO","AGOSTO","SETTEMBRE","OTTOBRE","NOVEMBRE","DICEMBRE"},0)</f>
        <v>7</v>
      </c>
      <c r="E497" s="57" t="str">
        <f t="shared" ref="E497" si="736">CONCATENATE(,B497," ",C497)</f>
        <v>LUGLIO 2025</v>
      </c>
      <c r="F497" s="57" t="str">
        <f t="shared" ref="F497" si="737">CONCATENATE(D497," ",E497)</f>
        <v>7 LUGLIO 2025</v>
      </c>
      <c r="G497" s="59">
        <v>26.5</v>
      </c>
      <c r="H497" s="1338" t="s">
        <v>137</v>
      </c>
      <c r="I497" s="960"/>
      <c r="J497" s="59"/>
      <c r="K497" s="59"/>
    </row>
    <row r="498" spans="1:11" x14ac:dyDescent="0.25">
      <c r="A498" s="57" t="s">
        <v>136</v>
      </c>
      <c r="B498" s="57" t="s">
        <v>119</v>
      </c>
      <c r="C498" s="57">
        <v>2025</v>
      </c>
      <c r="D498" s="58">
        <f>MATCH(B498,{"GENNAIO","FEBBRAIO","MARZO","APRILE","MAGGIO","GIUGNO","LUGLIO","AGOSTO","SETTEMBRE","OTTOBRE","NOVEMBRE","DICEMBRE"},0)</f>
        <v>7</v>
      </c>
      <c r="E498" s="57" t="str">
        <f t="shared" ref="E498" si="738">CONCATENATE(,B498," ",C498)</f>
        <v>LUGLIO 2025</v>
      </c>
      <c r="F498" s="57" t="str">
        <f t="shared" ref="F498" si="739">CONCATENATE(D498," ",E498)</f>
        <v>7 LUGLIO 2025</v>
      </c>
      <c r="G498" s="59">
        <v>102.77</v>
      </c>
      <c r="H498" s="1338" t="s">
        <v>137</v>
      </c>
      <c r="I498" s="960"/>
      <c r="J498" s="59"/>
      <c r="K498" s="59"/>
    </row>
    <row r="499" spans="1:11" x14ac:dyDescent="0.25">
      <c r="A499" s="57" t="s">
        <v>890</v>
      </c>
      <c r="B499" s="57" t="s">
        <v>119</v>
      </c>
      <c r="C499" s="57">
        <v>2025</v>
      </c>
      <c r="D499" s="58">
        <f>MATCH(B499,{"GENNAIO","FEBBRAIO","MARZO","APRILE","MAGGIO","GIUGNO","LUGLIO","AGOSTO","SETTEMBRE","OTTOBRE","NOVEMBRE","DICEMBRE"},0)</f>
        <v>7</v>
      </c>
      <c r="E499" s="57" t="str">
        <f t="shared" ref="E499" si="740">CONCATENATE(,B499," ",C499)</f>
        <v>LUGLIO 2025</v>
      </c>
      <c r="F499" s="57" t="str">
        <f t="shared" ref="F499" si="741">CONCATENATE(D499," ",E499)</f>
        <v>7 LUGLIO 2025</v>
      </c>
      <c r="G499" s="59">
        <v>109.5</v>
      </c>
      <c r="H499" s="1338" t="s">
        <v>69</v>
      </c>
      <c r="I499" s="960"/>
      <c r="J499" s="59"/>
      <c r="K499" s="59"/>
    </row>
    <row r="500" spans="1:11" x14ac:dyDescent="0.25">
      <c r="A500" s="57" t="s">
        <v>341</v>
      </c>
      <c r="B500" s="57" t="s">
        <v>119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 t="shared" ref="E500" si="742">CONCATENATE(,B500," ",C500)</f>
        <v>LUGLIO 2025</v>
      </c>
      <c r="F500" s="57" t="str">
        <f t="shared" ref="F500" si="743">CONCATENATE(D500," ",E500)</f>
        <v>7 LUGLIO 2025</v>
      </c>
      <c r="G500" s="59">
        <v>5.29</v>
      </c>
      <c r="H500" s="1338" t="s">
        <v>91</v>
      </c>
      <c r="I500" s="960"/>
      <c r="J500" s="59" t="s">
        <v>768</v>
      </c>
      <c r="K500" s="59"/>
    </row>
    <row r="501" spans="1:11" x14ac:dyDescent="0.25">
      <c r="A501" s="57" t="s">
        <v>122</v>
      </c>
      <c r="B501" s="57" t="s">
        <v>119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 t="shared" ref="E501" si="744">CONCATENATE(,B501," ",C501)</f>
        <v>LUGLIO 2025</v>
      </c>
      <c r="F501" s="57" t="str">
        <f t="shared" ref="F501" si="745">CONCATENATE(D501," ",E501)</f>
        <v>7 LUGLIO 2025</v>
      </c>
      <c r="G501" s="59">
        <v>4.33</v>
      </c>
      <c r="H501" s="1338" t="s">
        <v>77</v>
      </c>
      <c r="I501" s="960"/>
      <c r="J501" s="59"/>
      <c r="K501" s="59"/>
    </row>
    <row r="502" spans="1:11" x14ac:dyDescent="0.25">
      <c r="A502" s="57" t="s">
        <v>138</v>
      </c>
      <c r="B502" s="57" t="s">
        <v>119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 t="shared" ref="E502" si="746">CONCATENATE(,B502," ",C502)</f>
        <v>LUGLIO 2025</v>
      </c>
      <c r="F502" s="57" t="str">
        <f t="shared" ref="F502" si="747">CONCATENATE(D502," ",E502)</f>
        <v>7 LUGLIO 2025</v>
      </c>
      <c r="G502" s="59">
        <v>9</v>
      </c>
      <c r="H502" s="1338" t="s">
        <v>69</v>
      </c>
      <c r="I502" s="960"/>
      <c r="J502" s="59"/>
      <c r="K502" s="59"/>
    </row>
    <row r="503" spans="1:11" x14ac:dyDescent="0.25">
      <c r="A503" s="57" t="s">
        <v>67</v>
      </c>
      <c r="B503" s="57" t="s">
        <v>119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 t="shared" ref="E503" si="748">CONCATENATE(,B503," ",C503)</f>
        <v>LUGLIO 2025</v>
      </c>
      <c r="F503" s="57" t="str">
        <f t="shared" ref="F503" si="749">CONCATENATE(D503," ",E503)</f>
        <v>7 LUGLIO 2025</v>
      </c>
      <c r="G503" s="59">
        <v>6.5</v>
      </c>
      <c r="H503" s="1338" t="s">
        <v>776</v>
      </c>
      <c r="I503" s="960"/>
      <c r="J503" s="59"/>
      <c r="K503" s="59"/>
    </row>
    <row r="504" spans="1:11" x14ac:dyDescent="0.25">
      <c r="A504" s="57" t="s">
        <v>129</v>
      </c>
      <c r="B504" s="57" t="s">
        <v>119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 t="shared" ref="E504" si="750">CONCATENATE(,B504," ",C504)</f>
        <v>LUGLIO 2025</v>
      </c>
      <c r="F504" s="57" t="str">
        <f t="shared" ref="F504" si="751">CONCATENATE(D504," ",E504)</f>
        <v>7 LUGLIO 2025</v>
      </c>
      <c r="G504" s="60">
        <v>586.55999999999995</v>
      </c>
      <c r="H504" s="1338" t="s">
        <v>91</v>
      </c>
      <c r="I504" s="960"/>
      <c r="J504" s="59"/>
      <c r="K504" s="59" t="s">
        <v>863</v>
      </c>
    </row>
    <row r="505" spans="1:11" x14ac:dyDescent="0.25">
      <c r="A505" s="57" t="s">
        <v>889</v>
      </c>
      <c r="B505" s="57" t="s">
        <v>119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2">CONCATENATE(,B505," ",C505)</f>
        <v>LUGLIO 2025</v>
      </c>
      <c r="F505" s="57" t="str">
        <f t="shared" ref="F505" si="753">CONCATENATE(D505," ",E505)</f>
        <v>7 LUGLIO 2025</v>
      </c>
      <c r="G505" s="59">
        <f>1.19+0.62</f>
        <v>1.81</v>
      </c>
      <c r="H505" s="1338" t="s">
        <v>69</v>
      </c>
      <c r="I505" s="960"/>
      <c r="J505" s="59"/>
      <c r="K505" s="59"/>
    </row>
    <row r="506" spans="1:11" x14ac:dyDescent="0.25">
      <c r="A506" s="57" t="s">
        <v>888</v>
      </c>
      <c r="B506" s="57" t="s">
        <v>119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4">CONCATENATE(,B506," ",C506)</f>
        <v>LUGLIO 2025</v>
      </c>
      <c r="F506" s="57" t="str">
        <f t="shared" ref="F506" si="755">CONCATENATE(D506," ",E506)</f>
        <v>7 LUGLIO 2025</v>
      </c>
      <c r="G506" s="59">
        <f>11.57+0.2</f>
        <v>11.77</v>
      </c>
      <c r="H506" s="1338" t="s">
        <v>69</v>
      </c>
      <c r="I506" s="960"/>
      <c r="J506" s="59"/>
      <c r="K506" s="59"/>
    </row>
    <row r="507" spans="1:11" x14ac:dyDescent="0.25">
      <c r="A507" s="57" t="s">
        <v>893</v>
      </c>
      <c r="B507" s="57" t="s">
        <v>119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6">CONCATENATE(,B507," ",C507)</f>
        <v>LUGLIO 2025</v>
      </c>
      <c r="F507" s="57" t="str">
        <f t="shared" ref="F507" si="757">CONCATENATE(D507," ",E507)</f>
        <v>7 LUGLIO 2025</v>
      </c>
      <c r="G507" s="59">
        <f>6.05+0.11</f>
        <v>6.16</v>
      </c>
      <c r="H507" s="1338" t="s">
        <v>69</v>
      </c>
      <c r="I507" s="960"/>
      <c r="J507" s="59"/>
      <c r="K507" s="59"/>
    </row>
    <row r="508" spans="1:11" x14ac:dyDescent="0.25">
      <c r="A508" s="57" t="s">
        <v>887</v>
      </c>
      <c r="B508" s="57" t="s">
        <v>119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8">CONCATENATE(,B508," ",C508)</f>
        <v>LUGLIO 2025</v>
      </c>
      <c r="F508" s="57" t="str">
        <f t="shared" ref="F508" si="759">CONCATENATE(D508," ",E508)</f>
        <v>7 LUGLIO 2025</v>
      </c>
      <c r="G508" s="59">
        <f>5.06+0.09</f>
        <v>5.1499999999999995</v>
      </c>
      <c r="H508" s="1338" t="s">
        <v>69</v>
      </c>
      <c r="I508" s="960"/>
      <c r="J508" s="59"/>
      <c r="K508" s="59"/>
    </row>
    <row r="509" spans="1:11" x14ac:dyDescent="0.25">
      <c r="A509" s="57" t="s">
        <v>79</v>
      </c>
      <c r="B509" s="57" t="s">
        <v>119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60">CONCATENATE(,B509," ",C509)</f>
        <v>LUGLIO 2025</v>
      </c>
      <c r="F509" s="57" t="str">
        <f t="shared" ref="F509" si="761">CONCATENATE(D509," ",E509)</f>
        <v>7 LUGLIO 2025</v>
      </c>
      <c r="G509" s="59">
        <v>3.9</v>
      </c>
      <c r="H509" s="1338" t="s">
        <v>81</v>
      </c>
      <c r="I509" s="960"/>
      <c r="J509" s="59"/>
      <c r="K509" s="59"/>
    </row>
    <row r="510" spans="1:11" ht="14.25" customHeight="1" x14ac:dyDescent="0.25">
      <c r="A510" s="57" t="s">
        <v>121</v>
      </c>
      <c r="B510" s="57" t="s">
        <v>119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>CONCATENATE(,B510," ",C510)</f>
        <v>LUGLIO 2025</v>
      </c>
      <c r="F510" s="57" t="str">
        <f>CONCATENATE(D510," ",E510)</f>
        <v>7 LUGLIO 2025</v>
      </c>
      <c r="G510" s="59">
        <v>0.4</v>
      </c>
      <c r="H510" s="1338" t="s">
        <v>777</v>
      </c>
      <c r="I510" s="960"/>
      <c r="J510" s="59"/>
      <c r="K510" s="59"/>
    </row>
    <row r="511" spans="1:11" x14ac:dyDescent="0.25">
      <c r="A511" s="57" t="s">
        <v>121</v>
      </c>
      <c r="B511" s="57" t="s">
        <v>119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>CONCATENATE(,B511," ",C511)</f>
        <v>LUGLIO 2025</v>
      </c>
      <c r="F511" s="57" t="str">
        <f>CONCATENATE(D511," ",E511)</f>
        <v>7 LUGLIO 2025</v>
      </c>
      <c r="G511" s="59">
        <v>0.4</v>
      </c>
      <c r="H511" s="1338" t="s">
        <v>777</v>
      </c>
      <c r="I511" s="960"/>
      <c r="J511" s="59"/>
      <c r="K511" s="59"/>
    </row>
    <row r="512" spans="1:11" x14ac:dyDescent="0.25">
      <c r="A512" s="57" t="s">
        <v>67</v>
      </c>
      <c r="B512" s="57" t="s">
        <v>119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2">CONCATENATE(,B512," ",C512)</f>
        <v>LUGLIO 2025</v>
      </c>
      <c r="F512" s="57" t="str">
        <f t="shared" ref="F512" si="763">CONCATENATE(D512," ",E512)</f>
        <v>7 LUGLIO 2025</v>
      </c>
      <c r="G512" s="59">
        <v>6.5</v>
      </c>
      <c r="H512" s="1338" t="s">
        <v>776</v>
      </c>
      <c r="I512" s="960"/>
      <c r="J512" s="59"/>
      <c r="K512" s="59"/>
    </row>
    <row r="513" spans="1:11" x14ac:dyDescent="0.25">
      <c r="A513" s="57" t="s">
        <v>914</v>
      </c>
      <c r="B513" s="57" t="s">
        <v>119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4">CONCATENATE(,B513," ",C513)</f>
        <v>LUGLIO 2025</v>
      </c>
      <c r="F513" s="57" t="str">
        <f t="shared" ref="F513" si="765">CONCATENATE(D513," ",E513)</f>
        <v>7 LUGLIO 2025</v>
      </c>
      <c r="G513" s="59">
        <v>16.670000000000002</v>
      </c>
      <c r="H513" s="1338" t="s">
        <v>93</v>
      </c>
      <c r="I513" s="960" t="s">
        <v>993</v>
      </c>
      <c r="J513" s="59" t="s">
        <v>768</v>
      </c>
      <c r="K513" s="59" t="s">
        <v>1014</v>
      </c>
    </row>
    <row r="514" spans="1:11" x14ac:dyDescent="0.25">
      <c r="A514" s="57" t="s">
        <v>842</v>
      </c>
      <c r="B514" s="57" t="s">
        <v>119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66">CONCATENATE(,B514," ",C514)</f>
        <v>LUGLIO 2025</v>
      </c>
      <c r="F514" s="57" t="str">
        <f t="shared" ref="F514" si="767">CONCATENATE(D514," ",E514)</f>
        <v>7 LUGLIO 2025</v>
      </c>
      <c r="G514" s="59">
        <v>27</v>
      </c>
      <c r="H514" s="1338" t="s">
        <v>69</v>
      </c>
      <c r="I514" s="960"/>
      <c r="J514" s="59"/>
      <c r="K514" s="59"/>
    </row>
    <row r="515" spans="1:11" x14ac:dyDescent="0.25">
      <c r="A515" s="57" t="s">
        <v>886</v>
      </c>
      <c r="B515" s="57" t="s">
        <v>119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68">CONCATENATE(,B515," ",C515)</f>
        <v>LUGLIO 2025</v>
      </c>
      <c r="F515" s="57" t="str">
        <f t="shared" ref="F515" si="769">CONCATENATE(D515," ",E515)</f>
        <v>7 LUGLIO 2025</v>
      </c>
      <c r="G515" s="59">
        <v>15.5</v>
      </c>
      <c r="H515" s="1338" t="s">
        <v>69</v>
      </c>
      <c r="I515" s="960"/>
      <c r="J515" s="59"/>
      <c r="K515" s="59"/>
    </row>
    <row r="516" spans="1:11" ht="14.25" customHeight="1" x14ac:dyDescent="0.25">
      <c r="A516" s="57" t="s">
        <v>83</v>
      </c>
      <c r="B516" s="57" t="s">
        <v>119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70">CONCATENATE(,B516," ",C516)</f>
        <v>LUGLIO 2025</v>
      </c>
      <c r="F516" s="57" t="str">
        <f t="shared" ref="F516" si="771">CONCATENATE(D516," ",E516)</f>
        <v>7 LUGLIO 2025</v>
      </c>
      <c r="G516" s="59">
        <v>20.89</v>
      </c>
      <c r="H516" s="1338" t="s">
        <v>77</v>
      </c>
      <c r="I516" s="960"/>
      <c r="J516" s="59"/>
      <c r="K516" s="59"/>
    </row>
    <row r="517" spans="1:11" x14ac:dyDescent="0.25">
      <c r="A517" s="57" t="s">
        <v>67</v>
      </c>
      <c r="B517" s="57" t="s">
        <v>119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2">CONCATENATE(,B517," ",C517)</f>
        <v>LUGLIO 2025</v>
      </c>
      <c r="F517" s="57" t="str">
        <f t="shared" ref="F517" si="773">CONCATENATE(D517," ",E517)</f>
        <v>7 LUGLIO 2025</v>
      </c>
      <c r="G517" s="59">
        <v>2.8</v>
      </c>
      <c r="H517" s="1338" t="s">
        <v>776</v>
      </c>
      <c r="I517" s="960"/>
      <c r="J517" s="59"/>
      <c r="K517" s="59"/>
    </row>
    <row r="518" spans="1:11" x14ac:dyDescent="0.25">
      <c r="A518" s="57" t="s">
        <v>171</v>
      </c>
      <c r="B518" s="57" t="s">
        <v>119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 t="shared" ref="E518" si="774">CONCATENATE(,B518," ",C518)</f>
        <v>LUGLIO 2025</v>
      </c>
      <c r="F518" s="57" t="str">
        <f t="shared" ref="F518" si="775">CONCATENATE(D518," ",E518)</f>
        <v>7 LUGLIO 2025</v>
      </c>
      <c r="G518" s="59">
        <v>35.9</v>
      </c>
      <c r="H518" s="1338" t="s">
        <v>81</v>
      </c>
      <c r="I518" s="960"/>
      <c r="J518" s="59"/>
      <c r="K518" s="59"/>
    </row>
    <row r="519" spans="1:11" x14ac:dyDescent="0.25">
      <c r="A519" s="57" t="s">
        <v>234</v>
      </c>
      <c r="B519" s="57" t="s">
        <v>119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6">CONCATENATE(,B519," ",C519)</f>
        <v>LUGLIO 2025</v>
      </c>
      <c r="F519" s="57" t="str">
        <f t="shared" ref="F519" si="777">CONCATENATE(D519," ",E519)</f>
        <v>7 LUGLIO 2025</v>
      </c>
      <c r="G519" s="59">
        <v>48.99</v>
      </c>
      <c r="H519" s="1338" t="s">
        <v>93</v>
      </c>
      <c r="I519" s="960"/>
      <c r="J519" s="59"/>
      <c r="K519" s="59" t="s">
        <v>885</v>
      </c>
    </row>
    <row r="520" spans="1:11" x14ac:dyDescent="0.25">
      <c r="A520" s="57" t="s">
        <v>67</v>
      </c>
      <c r="B520" s="57" t="s">
        <v>119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8">CONCATENATE(,B520," ",C520)</f>
        <v>LUGLIO 2025</v>
      </c>
      <c r="F520" s="57" t="str">
        <f t="shared" ref="F520" si="779">CONCATENATE(D520," ",E520)</f>
        <v>7 LUGLIO 2025</v>
      </c>
      <c r="G520" s="59">
        <v>4.2</v>
      </c>
      <c r="H520" s="1338" t="s">
        <v>69</v>
      </c>
      <c r="I520" s="960"/>
      <c r="J520" s="59"/>
      <c r="K520" s="59"/>
    </row>
    <row r="521" spans="1:11" x14ac:dyDescent="0.25">
      <c r="A521" s="57" t="s">
        <v>122</v>
      </c>
      <c r="B521" s="57" t="s">
        <v>119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0">CONCATENATE(,B521," ",C521)</f>
        <v>LUGLIO 2025</v>
      </c>
      <c r="F521" s="57" t="str">
        <f t="shared" ref="F521" si="781">CONCATENATE(D521," ",E521)</f>
        <v>7 LUGLIO 2025</v>
      </c>
      <c r="G521" s="59">
        <v>12.21</v>
      </c>
      <c r="H521" s="1338" t="s">
        <v>77</v>
      </c>
      <c r="I521" s="960"/>
      <c r="J521" s="59"/>
      <c r="K521" s="59"/>
    </row>
    <row r="522" spans="1:11" x14ac:dyDescent="0.25">
      <c r="A522" s="57" t="s">
        <v>139</v>
      </c>
      <c r="B522" s="57" t="s">
        <v>119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2">CONCATENATE(,B522," ",C522)</f>
        <v>LUGLIO 2025</v>
      </c>
      <c r="F522" s="57" t="str">
        <f t="shared" ref="F522" si="783">CONCATENATE(D522," ",E522)</f>
        <v>7 LUGLIO 2025</v>
      </c>
      <c r="G522" s="59">
        <v>33.9</v>
      </c>
      <c r="H522" s="1338" t="s">
        <v>69</v>
      </c>
      <c r="I522" s="960"/>
      <c r="J522" s="59"/>
      <c r="K522" s="59"/>
    </row>
    <row r="523" spans="1:11" x14ac:dyDescent="0.25">
      <c r="A523" s="57" t="s">
        <v>883</v>
      </c>
      <c r="B523" s="57" t="s">
        <v>119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4">CONCATENATE(,B523," ",C523)</f>
        <v>LUGLIO 2025</v>
      </c>
      <c r="F523" s="57" t="str">
        <f t="shared" ref="F523" si="785">CONCATENATE(D523," ",E523)</f>
        <v>7 LUGLIO 2025</v>
      </c>
      <c r="G523" s="59">
        <v>46</v>
      </c>
      <c r="H523" s="1338" t="s">
        <v>69</v>
      </c>
      <c r="I523" s="960"/>
      <c r="J523" s="59"/>
      <c r="K523" s="59"/>
    </row>
    <row r="524" spans="1:11" x14ac:dyDescent="0.25">
      <c r="A524" s="57" t="s">
        <v>341</v>
      </c>
      <c r="B524" s="57" t="s">
        <v>119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6">CONCATENATE(,B524," ",C524)</f>
        <v>LUGLIO 2025</v>
      </c>
      <c r="F524" s="57" t="str">
        <f t="shared" ref="F524" si="787">CONCATENATE(D524," ",E524)</f>
        <v>7 LUGLIO 2025</v>
      </c>
      <c r="G524" s="59">
        <v>7.44</v>
      </c>
      <c r="H524" s="1338" t="s">
        <v>91</v>
      </c>
      <c r="I524" s="960"/>
      <c r="J524" s="59" t="s">
        <v>768</v>
      </c>
      <c r="K524" s="59"/>
    </row>
    <row r="525" spans="1:11" x14ac:dyDescent="0.25">
      <c r="A525" s="57" t="s">
        <v>882</v>
      </c>
      <c r="B525" s="57" t="s">
        <v>119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8">CONCATENATE(,B525," ",C525)</f>
        <v>LUGLIO 2025</v>
      </c>
      <c r="F525" s="57" t="str">
        <f t="shared" ref="F525" si="789">CONCATENATE(D525," ",E525)</f>
        <v>7 LUGLIO 2025</v>
      </c>
      <c r="G525" s="59">
        <v>26</v>
      </c>
      <c r="H525" s="1338" t="s">
        <v>69</v>
      </c>
      <c r="I525" s="960"/>
      <c r="J525" s="59"/>
      <c r="K525" s="59"/>
    </row>
    <row r="526" spans="1:11" x14ac:dyDescent="0.25">
      <c r="A526" s="57" t="s">
        <v>67</v>
      </c>
      <c r="B526" s="57" t="s">
        <v>119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90">CONCATENATE(,B526," ",C526)</f>
        <v>LUGLIO 2025</v>
      </c>
      <c r="F526" s="57" t="str">
        <f t="shared" ref="F526" si="791">CONCATENATE(D526," ",E526)</f>
        <v>7 LUGLIO 2025</v>
      </c>
      <c r="G526" s="59">
        <v>6.5</v>
      </c>
      <c r="H526" s="1338" t="s">
        <v>776</v>
      </c>
      <c r="I526" s="960"/>
      <c r="J526" s="59"/>
      <c r="K526" s="59"/>
    </row>
    <row r="527" spans="1:11" x14ac:dyDescent="0.25">
      <c r="A527" s="57" t="s">
        <v>121</v>
      </c>
      <c r="B527" s="57" t="s">
        <v>119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>CONCATENATE(,B527," ",C527)</f>
        <v>LUGLIO 2025</v>
      </c>
      <c r="F527" s="57" t="str">
        <f>CONCATENATE(D527," ",E527)</f>
        <v>7 LUGLIO 2025</v>
      </c>
      <c r="G527" s="59">
        <v>0.4</v>
      </c>
      <c r="H527" s="1338" t="s">
        <v>777</v>
      </c>
      <c r="I527" s="960"/>
      <c r="J527" s="59"/>
      <c r="K527" s="59"/>
    </row>
    <row r="528" spans="1:11" x14ac:dyDescent="0.25">
      <c r="A528" s="57" t="s">
        <v>108</v>
      </c>
      <c r="B528" s="57" t="s">
        <v>119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 t="shared" ref="E528" si="792">CONCATENATE(,B528," ",C528)</f>
        <v>LUGLIO 2025</v>
      </c>
      <c r="F528" s="57" t="str">
        <f t="shared" ref="F528" si="793">CONCATENATE(D528," ",E528)</f>
        <v>7 LUGLIO 2025</v>
      </c>
      <c r="G528" s="59">
        <v>30.678000000000001</v>
      </c>
      <c r="H528" s="1338" t="s">
        <v>75</v>
      </c>
      <c r="I528" s="960"/>
      <c r="J528" s="57" t="s">
        <v>108</v>
      </c>
      <c r="K528" s="59"/>
    </row>
    <row r="529" spans="1:11" x14ac:dyDescent="0.25">
      <c r="A529" s="57" t="s">
        <v>67</v>
      </c>
      <c r="B529" s="57" t="s">
        <v>119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 t="shared" ref="E529" si="794">CONCATENATE(,B529," ",C529)</f>
        <v>LUGLIO 2025</v>
      </c>
      <c r="F529" s="57" t="str">
        <f t="shared" ref="F529" si="795">CONCATENATE(D529," ",E529)</f>
        <v>7 LUGLIO 2025</v>
      </c>
      <c r="G529" s="59">
        <v>6.5</v>
      </c>
      <c r="H529" s="1338" t="s">
        <v>776</v>
      </c>
      <c r="I529" s="960"/>
      <c r="J529" s="59"/>
      <c r="K529" s="59"/>
    </row>
    <row r="530" spans="1:11" x14ac:dyDescent="0.25">
      <c r="A530" s="57" t="s">
        <v>108</v>
      </c>
      <c r="B530" s="57" t="s">
        <v>119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6">CONCATENATE(,B530," ",C530)</f>
        <v>LUGLIO 2025</v>
      </c>
      <c r="F530" s="57" t="str">
        <f t="shared" ref="F530" si="797">CONCATENATE(D530," ",E530)</f>
        <v>7 LUGLIO 2025</v>
      </c>
      <c r="G530" s="59">
        <v>22.99</v>
      </c>
      <c r="H530" s="1338" t="s">
        <v>75</v>
      </c>
      <c r="I530" s="960"/>
      <c r="J530" s="57" t="s">
        <v>108</v>
      </c>
      <c r="K530" s="59"/>
    </row>
    <row r="531" spans="1:11" x14ac:dyDescent="0.25">
      <c r="A531" s="57" t="s">
        <v>108</v>
      </c>
      <c r="B531" s="57" t="s">
        <v>119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8">CONCATENATE(,B531," ",C531)</f>
        <v>LUGLIO 2025</v>
      </c>
      <c r="F531" s="57" t="str">
        <f t="shared" ref="F531" si="799">CONCATENATE(D531," ",E531)</f>
        <v>7 LUGLIO 2025</v>
      </c>
      <c r="G531" s="59">
        <v>16.899999999999999</v>
      </c>
      <c r="H531" s="1338" t="s">
        <v>75</v>
      </c>
      <c r="I531" s="960" t="s">
        <v>993</v>
      </c>
      <c r="J531" s="57" t="s">
        <v>108</v>
      </c>
      <c r="K531" s="59" t="s">
        <v>891</v>
      </c>
    </row>
    <row r="532" spans="1:11" x14ac:dyDescent="0.25">
      <c r="A532" s="57" t="s">
        <v>108</v>
      </c>
      <c r="B532" s="57" t="s">
        <v>119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800">CONCATENATE(,B532," ",C532)</f>
        <v>LUGLIO 2025</v>
      </c>
      <c r="F532" s="57" t="str">
        <f t="shared" ref="F532" si="801">CONCATENATE(D532," ",E532)</f>
        <v>7 LUGLIO 2025</v>
      </c>
      <c r="G532" s="59">
        <v>9.82</v>
      </c>
      <c r="H532" s="1338" t="s">
        <v>75</v>
      </c>
      <c r="I532" s="960"/>
      <c r="J532" s="57" t="s">
        <v>108</v>
      </c>
      <c r="K532" s="59" t="s">
        <v>1041</v>
      </c>
    </row>
    <row r="533" spans="1:11" x14ac:dyDescent="0.25">
      <c r="A533" s="57" t="s">
        <v>76</v>
      </c>
      <c r="B533" s="57" t="s">
        <v>119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2">CONCATENATE(,B533," ",C533)</f>
        <v>LUGLIO 2025</v>
      </c>
      <c r="F533" s="57" t="str">
        <f t="shared" ref="F533" si="803">CONCATENATE(D533," ",E533)</f>
        <v>7 LUGLIO 2025</v>
      </c>
      <c r="G533" s="59">
        <v>21.2</v>
      </c>
      <c r="H533" s="1338" t="s">
        <v>77</v>
      </c>
      <c r="I533" s="960"/>
      <c r="J533" s="59"/>
      <c r="K533" s="59"/>
    </row>
    <row r="534" spans="1:11" x14ac:dyDescent="0.25">
      <c r="A534" s="57" t="s">
        <v>138</v>
      </c>
      <c r="B534" s="57" t="s">
        <v>119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4">CONCATENATE(,B534," ",C534)</f>
        <v>LUGLIO 2025</v>
      </c>
      <c r="F534" s="57" t="str">
        <f t="shared" ref="F534" si="805">CONCATENATE(D534," ",E534)</f>
        <v>7 LUGLIO 2025</v>
      </c>
      <c r="G534" s="59">
        <v>39</v>
      </c>
      <c r="H534" s="1338" t="s">
        <v>69</v>
      </c>
      <c r="I534" s="960"/>
      <c r="J534" s="59"/>
      <c r="K534" s="59"/>
    </row>
    <row r="535" spans="1:11" x14ac:dyDescent="0.25">
      <c r="A535" s="57" t="s">
        <v>880</v>
      </c>
      <c r="B535" s="57" t="s">
        <v>119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6">CONCATENATE(,B535," ",C535)</f>
        <v>LUGLIO 2025</v>
      </c>
      <c r="F535" s="57" t="str">
        <f t="shared" ref="F535" si="807">CONCATENATE(D535," ",E535)</f>
        <v>7 LUGLIO 2025</v>
      </c>
      <c r="G535" s="59">
        <v>40</v>
      </c>
      <c r="H535" s="1338" t="s">
        <v>137</v>
      </c>
      <c r="I535" s="960"/>
      <c r="J535" s="59"/>
      <c r="K535" s="59" t="s">
        <v>881</v>
      </c>
    </row>
    <row r="536" spans="1:11" x14ac:dyDescent="0.25">
      <c r="A536" s="57" t="s">
        <v>996</v>
      </c>
      <c r="B536" s="57" t="s">
        <v>119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8">CONCATENATE(,B536," ",C536)</f>
        <v>LUGLIO 2025</v>
      </c>
      <c r="F536" s="57" t="str">
        <f t="shared" ref="F536" si="809">CONCATENATE(D536," ",E536)</f>
        <v>7 LUGLIO 2025</v>
      </c>
      <c r="G536" s="59">
        <v>26.69</v>
      </c>
      <c r="H536" s="1338" t="s">
        <v>75</v>
      </c>
      <c r="I536" s="960"/>
      <c r="J536" s="59" t="s">
        <v>768</v>
      </c>
      <c r="K536" s="59"/>
    </row>
    <row r="537" spans="1:11" x14ac:dyDescent="0.25">
      <c r="A537" s="57" t="s">
        <v>121</v>
      </c>
      <c r="B537" s="57" t="s">
        <v>119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>CONCATENATE(,B537," ",C537)</f>
        <v>LUGLIO 2025</v>
      </c>
      <c r="F537" s="57" t="str">
        <f>CONCATENATE(D537," ",E537)</f>
        <v>7 LUGLIO 2025</v>
      </c>
      <c r="G537" s="59">
        <v>0.4</v>
      </c>
      <c r="H537" s="1338" t="s">
        <v>777</v>
      </c>
      <c r="I537" s="960"/>
      <c r="J537" s="59"/>
      <c r="K537" s="59"/>
    </row>
    <row r="538" spans="1:11" x14ac:dyDescent="0.25">
      <c r="A538" s="57" t="s">
        <v>121</v>
      </c>
      <c r="B538" s="57" t="s">
        <v>119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>CONCATENATE(,B538," ",C538)</f>
        <v>LUGLIO 2025</v>
      </c>
      <c r="F538" s="57" t="str">
        <f>CONCATENATE(D538," ",E538)</f>
        <v>7 LUGLIO 2025</v>
      </c>
      <c r="G538" s="59">
        <v>0.4</v>
      </c>
      <c r="H538" s="1338" t="s">
        <v>777</v>
      </c>
      <c r="I538" s="960"/>
      <c r="J538" s="59"/>
      <c r="K538" s="59"/>
    </row>
    <row r="539" spans="1:11" x14ac:dyDescent="0.25">
      <c r="A539" s="57" t="s">
        <v>67</v>
      </c>
      <c r="B539" s="57" t="s">
        <v>119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0">CONCATENATE(,B539," ",C539)</f>
        <v>LUGLIO 2025</v>
      </c>
      <c r="F539" s="57" t="str">
        <f t="shared" ref="F539" si="811">CONCATENATE(D539," ",E539)</f>
        <v>7 LUGLIO 2025</v>
      </c>
      <c r="G539" s="59">
        <v>2.8</v>
      </c>
      <c r="H539" s="1338" t="s">
        <v>69</v>
      </c>
      <c r="I539" s="960"/>
      <c r="J539" s="59"/>
      <c r="K539" s="59"/>
    </row>
    <row r="540" spans="1:11" x14ac:dyDescent="0.25">
      <c r="A540" s="57" t="s">
        <v>122</v>
      </c>
      <c r="B540" s="57" t="s">
        <v>119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2">CONCATENATE(,B540," ",C540)</f>
        <v>LUGLIO 2025</v>
      </c>
      <c r="F540" s="57" t="str">
        <f t="shared" ref="F540" si="813">CONCATENATE(D540," ",E540)</f>
        <v>7 LUGLIO 2025</v>
      </c>
      <c r="G540" s="59">
        <v>17.14</v>
      </c>
      <c r="H540" s="1338" t="s">
        <v>77</v>
      </c>
      <c r="I540" s="960"/>
      <c r="J540" s="59"/>
      <c r="K540" s="59"/>
    </row>
    <row r="541" spans="1:11" x14ac:dyDescent="0.25">
      <c r="A541" s="57" t="s">
        <v>370</v>
      </c>
      <c r="B541" s="57" t="s">
        <v>119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" si="814">CONCATENATE(,B541," ",C541)</f>
        <v>LUGLIO 2025</v>
      </c>
      <c r="F541" s="57" t="str">
        <f t="shared" ref="F541" si="815">CONCATENATE(D541," ",E541)</f>
        <v>7 LUGLIO 2025</v>
      </c>
      <c r="G541" s="59">
        <v>150</v>
      </c>
      <c r="H541" s="1338" t="s">
        <v>166</v>
      </c>
      <c r="I541" s="963"/>
      <c r="J541" s="59" t="s">
        <v>173</v>
      </c>
      <c r="K541" s="59" t="s">
        <v>879</v>
      </c>
    </row>
    <row r="542" spans="1:11" x14ac:dyDescent="0.25">
      <c r="A542" s="57" t="s">
        <v>877</v>
      </c>
      <c r="B542" s="57" t="s">
        <v>119</v>
      </c>
      <c r="C542" s="57">
        <v>2025</v>
      </c>
      <c r="D542" s="58">
        <f>MATCH(B542,{"GENNAIO","FEBBRAIO","MARZO","APRILE","MAGGIO","GIUGNO","LUGLIO","AGOSTO","SETTEMBRE","OTTOBRE","NOVEMBRE","DICEMBRE"},0)</f>
        <v>7</v>
      </c>
      <c r="E542" s="57" t="str">
        <f t="shared" ref="E542" si="816">CONCATENATE(,B542," ",C542)</f>
        <v>LUGLIO 2025</v>
      </c>
      <c r="F542" s="57" t="str">
        <f t="shared" ref="F542" si="817">CONCATENATE(D542," ",E542)</f>
        <v>7 LUGLIO 2025</v>
      </c>
      <c r="G542" s="59">
        <v>215.64</v>
      </c>
      <c r="H542" s="1338" t="s">
        <v>91</v>
      </c>
      <c r="I542" s="960" t="s">
        <v>988</v>
      </c>
      <c r="J542" s="59" t="s">
        <v>768</v>
      </c>
      <c r="K542" s="59" t="s">
        <v>863</v>
      </c>
    </row>
    <row r="543" spans="1:11" x14ac:dyDescent="0.25">
      <c r="A543" s="57" t="s">
        <v>876</v>
      </c>
      <c r="B543" s="57" t="s">
        <v>119</v>
      </c>
      <c r="C543" s="57">
        <v>2025</v>
      </c>
      <c r="D543" s="58">
        <f>MATCH(B543,{"GENNAIO","FEBBRAIO","MARZO","APRILE","MAGGIO","GIUGNO","LUGLIO","AGOSTO","SETTEMBRE","OTTOBRE","NOVEMBRE","DICEMBRE"},0)</f>
        <v>7</v>
      </c>
      <c r="E543" s="57" t="str">
        <f t="shared" ref="E543" si="818">CONCATENATE(,B543," ",C543)</f>
        <v>LUGLIO 2025</v>
      </c>
      <c r="F543" s="57" t="str">
        <f t="shared" ref="F543" si="819">CONCATENATE(D543," ",E543)</f>
        <v>7 LUGLIO 2025</v>
      </c>
      <c r="G543" s="59">
        <v>22.2</v>
      </c>
      <c r="H543" s="1338" t="s">
        <v>69</v>
      </c>
      <c r="I543" s="960"/>
      <c r="J543" s="59"/>
      <c r="K543" s="59"/>
    </row>
    <row r="544" spans="1:11" x14ac:dyDescent="0.25">
      <c r="A544" s="57" t="s">
        <v>108</v>
      </c>
      <c r="B544" s="57" t="s">
        <v>119</v>
      </c>
      <c r="C544" s="57">
        <v>2025</v>
      </c>
      <c r="D544" s="58">
        <f>MATCH(B544,{"GENNAIO","FEBBRAIO","MARZO","APRILE","MAGGIO","GIUGNO","LUGLIO","AGOSTO","SETTEMBRE","OTTOBRE","NOVEMBRE","DICEMBRE"},0)</f>
        <v>7</v>
      </c>
      <c r="E544" s="57" t="str">
        <f t="shared" ref="E544" si="820">CONCATENATE(,B544," ",C544)</f>
        <v>LUGLIO 2025</v>
      </c>
      <c r="F544" s="57" t="str">
        <f t="shared" ref="F544" si="821">CONCATENATE(D544," ",E544)</f>
        <v>7 LUGLIO 2025</v>
      </c>
      <c r="G544" s="59">
        <v>109.8</v>
      </c>
      <c r="H544" s="1338" t="s">
        <v>81</v>
      </c>
      <c r="I544" s="960" t="s">
        <v>1043</v>
      </c>
      <c r="J544" s="57" t="s">
        <v>108</v>
      </c>
      <c r="K544" s="59" t="s">
        <v>836</v>
      </c>
    </row>
    <row r="545" spans="1:11" x14ac:dyDescent="0.25">
      <c r="A545" s="57" t="s">
        <v>875</v>
      </c>
      <c r="B545" s="57" t="s">
        <v>119</v>
      </c>
      <c r="C545" s="57">
        <v>2025</v>
      </c>
      <c r="D545" s="58">
        <f>MATCH(B545,{"GENNAIO","FEBBRAIO","MARZO","APRILE","MAGGIO","GIUGNO","LUGLIO","AGOSTO","SETTEMBRE","OTTOBRE","NOVEMBRE","DICEMBRE"},0)</f>
        <v>7</v>
      </c>
      <c r="E545" s="57" t="str">
        <f t="shared" ref="E545" si="822">CONCATENATE(,B545," ",C545)</f>
        <v>LUGLIO 2025</v>
      </c>
      <c r="F545" s="57" t="str">
        <f t="shared" ref="F545" si="823">CONCATENATE(D545," ",E545)</f>
        <v>7 LUGLIO 2025</v>
      </c>
      <c r="G545" s="59">
        <v>75</v>
      </c>
      <c r="H545" s="1338" t="s">
        <v>69</v>
      </c>
      <c r="I545" s="960"/>
      <c r="J545" s="59"/>
      <c r="K545" s="59"/>
    </row>
    <row r="546" spans="1:11" x14ac:dyDescent="0.25">
      <c r="A546" s="57" t="s">
        <v>997</v>
      </c>
      <c r="B546" s="57" t="s">
        <v>119</v>
      </c>
      <c r="C546" s="57">
        <v>2025</v>
      </c>
      <c r="D546" s="58">
        <f>MATCH(B546,{"GENNAIO","FEBBRAIO","MARZO","APRILE","MAGGIO","GIUGNO","LUGLIO","AGOSTO","SETTEMBRE","OTTOBRE","NOVEMBRE","DICEMBRE"},0)</f>
        <v>7</v>
      </c>
      <c r="E546" s="57" t="str">
        <f t="shared" ref="E546" si="824">CONCATENATE(,B546," ",C546)</f>
        <v>LUGLIO 2025</v>
      </c>
      <c r="F546" s="57" t="str">
        <f t="shared" ref="F546" si="825">CONCATENATE(D546," ",E546)</f>
        <v>7 LUGLIO 2025</v>
      </c>
      <c r="G546" s="59">
        <v>16.579999999999998</v>
      </c>
      <c r="H546" s="1338" t="s">
        <v>81</v>
      </c>
      <c r="I546" s="960"/>
      <c r="J546" s="59" t="s">
        <v>768</v>
      </c>
      <c r="K546" s="59" t="s">
        <v>874</v>
      </c>
    </row>
    <row r="547" spans="1:11" x14ac:dyDescent="0.25">
      <c r="A547" s="57" t="s">
        <v>79</v>
      </c>
      <c r="B547" s="57" t="s">
        <v>119</v>
      </c>
      <c r="C547" s="57">
        <v>2025</v>
      </c>
      <c r="D547" s="58">
        <f>MATCH(B547,{"GENNAIO","FEBBRAIO","MARZO","APRILE","MAGGIO","GIUGNO","LUGLIO","AGOSTO","SETTEMBRE","OTTOBRE","NOVEMBRE","DICEMBRE"},0)</f>
        <v>7</v>
      </c>
      <c r="E547" s="57" t="str">
        <f t="shared" ref="E547" si="826">CONCATENATE(,B547," ",C547)</f>
        <v>LUGLIO 2025</v>
      </c>
      <c r="F547" s="57" t="str">
        <f t="shared" ref="F547" si="827">CONCATENATE(D547," ",E547)</f>
        <v>7 LUGLIO 2025</v>
      </c>
      <c r="G547" s="59">
        <v>12.68</v>
      </c>
      <c r="H547" s="1338" t="s">
        <v>81</v>
      </c>
      <c r="I547" s="960"/>
      <c r="J547" s="59"/>
      <c r="K547" s="59"/>
    </row>
    <row r="548" spans="1:11" x14ac:dyDescent="0.25">
      <c r="A548" s="57" t="s">
        <v>122</v>
      </c>
      <c r="B548" s="57" t="s">
        <v>119</v>
      </c>
      <c r="C548" s="57">
        <v>2025</v>
      </c>
      <c r="D548" s="58">
        <f>MATCH(B548,{"GENNAIO","FEBBRAIO","MARZO","APRILE","MAGGIO","GIUGNO","LUGLIO","AGOSTO","SETTEMBRE","OTTOBRE","NOVEMBRE","DICEMBRE"},0)</f>
        <v>7</v>
      </c>
      <c r="E548" s="57" t="str">
        <f t="shared" ref="E548" si="828">CONCATENATE(,B548," ",C548)</f>
        <v>LUGLIO 2025</v>
      </c>
      <c r="F548" s="57" t="str">
        <f t="shared" ref="F548" si="829">CONCATENATE(D548," ",E548)</f>
        <v>7 LUGLIO 2025</v>
      </c>
      <c r="G548" s="59">
        <v>3.29</v>
      </c>
      <c r="H548" s="1338" t="s">
        <v>77</v>
      </c>
      <c r="I548" s="960"/>
      <c r="J548" s="59"/>
      <c r="K548" s="59"/>
    </row>
    <row r="549" spans="1:11" x14ac:dyDescent="0.25">
      <c r="A549" s="57" t="s">
        <v>76</v>
      </c>
      <c r="B549" s="57" t="s">
        <v>119</v>
      </c>
      <c r="C549" s="57">
        <v>2025</v>
      </c>
      <c r="D549" s="58">
        <f>MATCH(B549,{"GENNAIO","FEBBRAIO","MARZO","APRILE","MAGGIO","GIUGNO","LUGLIO","AGOSTO","SETTEMBRE","OTTOBRE","NOVEMBRE","DICEMBRE"},0)</f>
        <v>7</v>
      </c>
      <c r="E549" s="57" t="str">
        <f t="shared" ref="E549" si="830">CONCATENATE(,B549," ",C549)</f>
        <v>LUGLIO 2025</v>
      </c>
      <c r="F549" s="57" t="str">
        <f t="shared" ref="F549" si="831">CONCATENATE(D549," ",E549)</f>
        <v>7 LUGLIO 2025</v>
      </c>
      <c r="G549" s="59">
        <v>29.5</v>
      </c>
      <c r="H549" s="1338" t="s">
        <v>77</v>
      </c>
      <c r="I549" s="960"/>
      <c r="J549" s="59"/>
      <c r="K549" s="59"/>
    </row>
    <row r="550" spans="1:11" x14ac:dyDescent="0.25">
      <c r="A550" s="57" t="s">
        <v>67</v>
      </c>
      <c r="B550" s="57" t="s">
        <v>119</v>
      </c>
      <c r="C550" s="57">
        <v>2025</v>
      </c>
      <c r="D550" s="58">
        <f>MATCH(B550,{"GENNAIO","FEBBRAIO","MARZO","APRILE","MAGGIO","GIUGNO","LUGLIO","AGOSTO","SETTEMBRE","OTTOBRE","NOVEMBRE","DICEMBRE"},0)</f>
        <v>7</v>
      </c>
      <c r="E550" s="57" t="str">
        <f t="shared" ref="E550:E551" si="832">CONCATENATE(,B550," ",C550)</f>
        <v>LUGLIO 2025</v>
      </c>
      <c r="F550" s="57" t="str">
        <f t="shared" ref="F550:F551" si="833">CONCATENATE(D550," ",E550)</f>
        <v>7 LUGLIO 2025</v>
      </c>
      <c r="G550" s="59">
        <v>15</v>
      </c>
      <c r="H550" s="1338" t="s">
        <v>69</v>
      </c>
      <c r="I550" s="960"/>
      <c r="J550" s="59"/>
      <c r="K550" s="59"/>
    </row>
    <row r="551" spans="1:11" x14ac:dyDescent="0.25">
      <c r="A551" s="57" t="s">
        <v>867</v>
      </c>
      <c r="B551" s="57" t="s">
        <v>131</v>
      </c>
      <c r="C551" s="57">
        <v>2025</v>
      </c>
      <c r="D551" s="58">
        <f>MATCH(B551,{"GENNAIO","FEBBRAIO","MARZO","APRILE","MAGGIO","GIUGNO","LUGLIO","AGOSTO","SETTEMBRE","OTTOBRE","NOVEMBRE","DICEMBRE"},0)</f>
        <v>6</v>
      </c>
      <c r="E551" s="57" t="str">
        <f t="shared" si="832"/>
        <v>GIUGNO 2025</v>
      </c>
      <c r="F551" s="57" t="str">
        <f t="shared" si="833"/>
        <v>6 GIUGNO 2025</v>
      </c>
      <c r="G551" s="59">
        <v>0.52</v>
      </c>
      <c r="H551" s="1338" t="s">
        <v>166</v>
      </c>
      <c r="I551" s="960"/>
      <c r="J551" s="59"/>
      <c r="K551" s="59"/>
    </row>
    <row r="552" spans="1:11" x14ac:dyDescent="0.25">
      <c r="A552" s="57" t="s">
        <v>76</v>
      </c>
      <c r="B552" s="57" t="s">
        <v>131</v>
      </c>
      <c r="C552" s="57">
        <v>2025</v>
      </c>
      <c r="D552" s="58">
        <f>MATCH(B552,{"GENNAIO","FEBBRAIO","MARZO","APRILE","MAGGIO","GIUGNO","LUGLIO","AGOSTO","SETTEMBRE","OTTOBRE","NOVEMBRE","DICEMBRE"},0)</f>
        <v>6</v>
      </c>
      <c r="E552" s="57" t="str">
        <f t="shared" ref="E552" si="834">CONCATENATE(,B552," ",C552)</f>
        <v>GIUGNO 2025</v>
      </c>
      <c r="F552" s="57" t="str">
        <f t="shared" ref="F552" si="835">CONCATENATE(D552," ",E552)</f>
        <v>6 GIUGNO 2025</v>
      </c>
      <c r="G552" s="59">
        <v>6.85</v>
      </c>
      <c r="H552" s="1338" t="s">
        <v>77</v>
      </c>
      <c r="I552" s="960"/>
      <c r="J552" s="59"/>
      <c r="K552" s="59"/>
    </row>
    <row r="553" spans="1:11" x14ac:dyDescent="0.25">
      <c r="A553" s="57" t="s">
        <v>869</v>
      </c>
      <c r="B553" s="57" t="s">
        <v>131</v>
      </c>
      <c r="C553" s="57">
        <v>2025</v>
      </c>
      <c r="D553" s="58">
        <f>MATCH(B553,{"GENNAIO","FEBBRAIO","MARZO","APRILE","MAGGIO","GIUGNO","LUGLIO","AGOSTO","SETTEMBRE","OTTOBRE","NOVEMBRE","DICEMBRE"},0)</f>
        <v>6</v>
      </c>
      <c r="E553" s="57" t="str">
        <f t="shared" ref="E553" si="836">CONCATENATE(,B553," ",C553)</f>
        <v>GIUGNO 2025</v>
      </c>
      <c r="F553" s="57" t="str">
        <f t="shared" ref="F553" si="837">CONCATENATE(D553," ",E553)</f>
        <v>6 GIUGNO 2025</v>
      </c>
      <c r="G553" s="59">
        <v>52</v>
      </c>
      <c r="H553" s="1338" t="s">
        <v>70</v>
      </c>
      <c r="I553" s="960"/>
      <c r="J553" s="59"/>
      <c r="K553" s="59" t="s">
        <v>870</v>
      </c>
    </row>
    <row r="554" spans="1:11" x14ac:dyDescent="0.25">
      <c r="A554" s="57" t="s">
        <v>872</v>
      </c>
      <c r="B554" s="57" t="s">
        <v>131</v>
      </c>
      <c r="C554" s="57">
        <v>2025</v>
      </c>
      <c r="D554" s="58">
        <f>MATCH(B554,{"GENNAIO","FEBBRAIO","MARZO","APRILE","MAGGIO","GIUGNO","LUGLIO","AGOSTO","SETTEMBRE","OTTOBRE","NOVEMBRE","DICEMBRE"},0)</f>
        <v>6</v>
      </c>
      <c r="E554" s="57" t="str">
        <f t="shared" ref="E554" si="838">CONCATENATE(,B554," ",C554)</f>
        <v>GIUGNO 2025</v>
      </c>
      <c r="F554" s="57" t="str">
        <f t="shared" ref="F554" si="839">CONCATENATE(D554," ",E554)</f>
        <v>6 GIUGNO 2025</v>
      </c>
      <c r="G554" s="59">
        <v>35</v>
      </c>
      <c r="H554" s="1338" t="s">
        <v>137</v>
      </c>
      <c r="I554" s="960"/>
      <c r="J554" s="59"/>
      <c r="K554" s="59" t="s">
        <v>871</v>
      </c>
    </row>
    <row r="555" spans="1:11" x14ac:dyDescent="0.25">
      <c r="A555" s="57" t="s">
        <v>873</v>
      </c>
      <c r="B555" s="57" t="s">
        <v>131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 t="shared" ref="E555" si="840">CONCATENATE(,B555," ",C555)</f>
        <v>GIUGNO 2025</v>
      </c>
      <c r="F555" s="57" t="str">
        <f t="shared" ref="F555" si="841">CONCATENATE(D555," ",E555)</f>
        <v>6 GIUGNO 2025</v>
      </c>
      <c r="G555" s="59">
        <v>50</v>
      </c>
      <c r="H555" s="1338" t="s">
        <v>69</v>
      </c>
      <c r="I555" s="960"/>
      <c r="J555" s="59"/>
      <c r="K555" s="59" t="s">
        <v>871</v>
      </c>
    </row>
    <row r="556" spans="1:11" x14ac:dyDescent="0.25">
      <c r="A556" s="57" t="s">
        <v>868</v>
      </c>
      <c r="B556" s="57" t="s">
        <v>131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 t="shared" ref="E556" si="842">CONCATENATE(,B556," ",C556)</f>
        <v>GIUGNO 2025</v>
      </c>
      <c r="F556" s="57" t="str">
        <f t="shared" ref="F556" si="843">CONCATENATE(D556," ",E556)</f>
        <v>6 GIUGNO 2025</v>
      </c>
      <c r="G556" s="59">
        <v>17.600000000000001</v>
      </c>
      <c r="H556" s="1338" t="s">
        <v>91</v>
      </c>
      <c r="I556" s="960"/>
      <c r="J556" s="59"/>
      <c r="K556" s="59"/>
    </row>
    <row r="557" spans="1:11" x14ac:dyDescent="0.25">
      <c r="A557" s="57" t="s">
        <v>115</v>
      </c>
      <c r="B557" s="57" t="s">
        <v>131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 t="shared" ref="E557" si="844">CONCATENATE(,B557," ",C557)</f>
        <v>GIUGNO 2025</v>
      </c>
      <c r="F557" s="57" t="str">
        <f t="shared" ref="F557" si="845">CONCATENATE(D557," ",E557)</f>
        <v>6 GIUGNO 2025</v>
      </c>
      <c r="G557" s="59">
        <v>23.6</v>
      </c>
      <c r="H557" s="1338" t="s">
        <v>69</v>
      </c>
      <c r="I557" s="960"/>
      <c r="J557" s="59"/>
      <c r="K557" s="59" t="s">
        <v>1051</v>
      </c>
    </row>
    <row r="558" spans="1:11" x14ac:dyDescent="0.25">
      <c r="A558" s="57" t="s">
        <v>121</v>
      </c>
      <c r="B558" s="57" t="s">
        <v>131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>CONCATENATE(,B558," ",C558)</f>
        <v>GIUGNO 2025</v>
      </c>
      <c r="F558" s="57" t="str">
        <f>CONCATENATE(D558," ",E558)</f>
        <v>6 GIUGNO 2025</v>
      </c>
      <c r="G558" s="59">
        <v>0.7</v>
      </c>
      <c r="H558" s="1338" t="s">
        <v>777</v>
      </c>
      <c r="I558" s="960"/>
      <c r="J558" s="59"/>
      <c r="K558" s="59"/>
    </row>
    <row r="559" spans="1:11" x14ac:dyDescent="0.25">
      <c r="A559" s="57" t="s">
        <v>121</v>
      </c>
      <c r="B559" s="57" t="s">
        <v>131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>CONCATENATE(,B559," ",C559)</f>
        <v>GIUGNO 2025</v>
      </c>
      <c r="F559" s="57" t="str">
        <f>CONCATENATE(D559," ",E559)</f>
        <v>6 GIUGNO 2025</v>
      </c>
      <c r="G559" s="59">
        <v>0.4</v>
      </c>
      <c r="H559" s="1338" t="s">
        <v>777</v>
      </c>
      <c r="I559" s="960"/>
      <c r="J559" s="59"/>
      <c r="K559" s="59"/>
    </row>
    <row r="560" spans="1:11" x14ac:dyDescent="0.25">
      <c r="A560" s="57" t="s">
        <v>121</v>
      </c>
      <c r="B560" s="57" t="s">
        <v>131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>CONCATENATE(,B560," ",C560)</f>
        <v>GIUGNO 2025</v>
      </c>
      <c r="F560" s="57" t="str">
        <f>CONCATENATE(D560," ",E560)</f>
        <v>6 GIUGNO 2025</v>
      </c>
      <c r="G560" s="59">
        <v>0.4</v>
      </c>
      <c r="H560" s="1338" t="s">
        <v>777</v>
      </c>
      <c r="I560" s="960"/>
      <c r="J560" s="59"/>
      <c r="K560" s="59"/>
    </row>
    <row r="561" spans="1:11" x14ac:dyDescent="0.25">
      <c r="A561" s="57" t="s">
        <v>67</v>
      </c>
      <c r="B561" s="57" t="s">
        <v>131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 t="shared" ref="E561" si="846">CONCATENATE(,B561," ",C561)</f>
        <v>GIUGNO 2025</v>
      </c>
      <c r="F561" s="57" t="str">
        <f t="shared" ref="F561" si="847">CONCATENATE(D561," ",E561)</f>
        <v>6 GIUGNO 2025</v>
      </c>
      <c r="G561" s="59">
        <v>4.2</v>
      </c>
      <c r="H561" s="1338" t="s">
        <v>69</v>
      </c>
      <c r="I561" s="960"/>
      <c r="J561" s="59"/>
      <c r="K561" s="59"/>
    </row>
    <row r="562" spans="1:11" x14ac:dyDescent="0.25">
      <c r="A562" s="57" t="s">
        <v>1057</v>
      </c>
      <c r="B562" s="57" t="s">
        <v>131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 t="shared" ref="E562" si="848">CONCATENATE(,B562," ",C562)</f>
        <v>GIUGNO 2025</v>
      </c>
      <c r="F562" s="57" t="str">
        <f t="shared" ref="F562" si="849">CONCATENATE(D562," ",E562)</f>
        <v>6 GIUGNO 2025</v>
      </c>
      <c r="G562" s="59">
        <v>29.49</v>
      </c>
      <c r="H562" s="1338" t="s">
        <v>772</v>
      </c>
      <c r="I562" s="960"/>
      <c r="J562" s="59"/>
      <c r="K562" s="59" t="s">
        <v>1058</v>
      </c>
    </row>
    <row r="563" spans="1:11" x14ac:dyDescent="0.25">
      <c r="A563" s="57" t="s">
        <v>67</v>
      </c>
      <c r="B563" s="57" t="s">
        <v>131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 t="shared" ref="E563" si="850">CONCATENATE(,B563," ",C563)</f>
        <v>GIUGNO 2025</v>
      </c>
      <c r="F563" s="57" t="str">
        <f t="shared" ref="F563" si="851">CONCATENATE(D563," ",E563)</f>
        <v>6 GIUGNO 2025</v>
      </c>
      <c r="G563" s="59">
        <v>6.5</v>
      </c>
      <c r="H563" s="1338" t="s">
        <v>776</v>
      </c>
      <c r="I563" s="960"/>
      <c r="J563" s="59"/>
      <c r="K563" s="59"/>
    </row>
    <row r="564" spans="1:11" x14ac:dyDescent="0.25">
      <c r="A564" s="57" t="s">
        <v>121</v>
      </c>
      <c r="B564" s="57" t="s">
        <v>131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>CONCATENATE(,B564," ",C564)</f>
        <v>GIUGNO 2025</v>
      </c>
      <c r="F564" s="57" t="str">
        <f>CONCATENATE(D564," ",E564)</f>
        <v>6 GIUGNO 2025</v>
      </c>
      <c r="G564" s="59">
        <v>0.4</v>
      </c>
      <c r="H564" s="1338" t="s">
        <v>777</v>
      </c>
      <c r="I564" s="960"/>
      <c r="J564" s="59"/>
      <c r="K564" s="59"/>
    </row>
    <row r="565" spans="1:11" x14ac:dyDescent="0.25">
      <c r="A565" s="57" t="s">
        <v>121</v>
      </c>
      <c r="B565" s="57" t="s">
        <v>131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>CONCATENATE(,B565," ",C565)</f>
        <v>GIUGNO 2025</v>
      </c>
      <c r="F565" s="57" t="str">
        <f>CONCATENATE(D565," ",E565)</f>
        <v>6 GIUGNO 2025</v>
      </c>
      <c r="G565" s="59">
        <v>0.4</v>
      </c>
      <c r="H565" s="1338" t="s">
        <v>777</v>
      </c>
      <c r="I565" s="960"/>
      <c r="J565" s="59"/>
      <c r="K565" s="59"/>
    </row>
    <row r="566" spans="1:11" x14ac:dyDescent="0.25">
      <c r="A566" s="57" t="s">
        <v>121</v>
      </c>
      <c r="B566" s="57" t="s">
        <v>131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>CONCATENATE(,B566," ",C566)</f>
        <v>GIUGNO 2025</v>
      </c>
      <c r="F566" s="57" t="str">
        <f>CONCATENATE(D566," ",E566)</f>
        <v>6 GIUGNO 2025</v>
      </c>
      <c r="G566" s="59">
        <v>0.4</v>
      </c>
      <c r="H566" s="1338" t="s">
        <v>777</v>
      </c>
      <c r="I566" s="960"/>
      <c r="J566" s="59"/>
      <c r="K566" s="59"/>
    </row>
    <row r="567" spans="1:11" ht="16.5" customHeight="1" x14ac:dyDescent="0.25">
      <c r="A567" s="57" t="s">
        <v>121</v>
      </c>
      <c r="B567" s="57" t="s">
        <v>131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>CONCATENATE(,B567," ",C567)</f>
        <v>GIUGNO 2025</v>
      </c>
      <c r="F567" s="57" t="str">
        <f>CONCATENATE(D567," ",E567)</f>
        <v>6 GIUGNO 2025</v>
      </c>
      <c r="G567" s="59">
        <v>0.4</v>
      </c>
      <c r="H567" s="1338" t="s">
        <v>777</v>
      </c>
      <c r="I567" s="960"/>
      <c r="J567" s="59"/>
      <c r="K567" s="59"/>
    </row>
    <row r="568" spans="1:11" x14ac:dyDescent="0.25">
      <c r="A568" s="57" t="s">
        <v>67</v>
      </c>
      <c r="B568" s="57" t="s">
        <v>131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" si="852">CONCATENATE(,B568," ",C568)</f>
        <v>GIUGNO 2025</v>
      </c>
      <c r="F568" s="57" t="str">
        <f t="shared" ref="F568" si="853">CONCATENATE(D568," ",E568)</f>
        <v>6 GIUGNO 2025</v>
      </c>
      <c r="G568" s="59">
        <v>2.8</v>
      </c>
      <c r="H568" s="1338" t="s">
        <v>69</v>
      </c>
      <c r="I568" s="960"/>
      <c r="J568" s="59"/>
      <c r="K568" s="59"/>
    </row>
    <row r="569" spans="1:11" x14ac:dyDescent="0.25">
      <c r="A569" s="57" t="s">
        <v>122</v>
      </c>
      <c r="B569" s="57" t="s">
        <v>131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ref="E569" si="854">CONCATENATE(,B569," ",C569)</f>
        <v>GIUGNO 2025</v>
      </c>
      <c r="F569" s="57" t="str">
        <f t="shared" ref="F569" si="855">CONCATENATE(D569," ",E569)</f>
        <v>6 GIUGNO 2025</v>
      </c>
      <c r="G569" s="59">
        <v>7.17</v>
      </c>
      <c r="H569" s="1338" t="s">
        <v>77</v>
      </c>
      <c r="I569" s="960"/>
      <c r="J569" s="59"/>
      <c r="K569" s="59"/>
    </row>
    <row r="570" spans="1:11" x14ac:dyDescent="0.25">
      <c r="A570" s="57" t="s">
        <v>108</v>
      </c>
      <c r="B570" s="57" t="s">
        <v>131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" si="856">CONCATENATE(,B570," ",C570)</f>
        <v>GIUGNO 2025</v>
      </c>
      <c r="F570" s="57" t="str">
        <f t="shared" ref="F570" si="857">CONCATENATE(D570," ",E570)</f>
        <v>6 GIUGNO 2025</v>
      </c>
      <c r="G570" s="59">
        <v>24.96</v>
      </c>
      <c r="H570" s="1338" t="s">
        <v>75</v>
      </c>
      <c r="I570" s="960"/>
      <c r="J570" s="57" t="s">
        <v>108</v>
      </c>
      <c r="K570" s="59"/>
    </row>
    <row r="571" spans="1:11" x14ac:dyDescent="0.25">
      <c r="A571" s="57" t="s">
        <v>79</v>
      </c>
      <c r="B571" s="57" t="s">
        <v>131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58">CONCATENATE(,B571," ",C571)</f>
        <v>GIUGNO 2025</v>
      </c>
      <c r="F571" s="57" t="str">
        <f t="shared" ref="F571" si="859">CONCATENATE(D571," ",E571)</f>
        <v>6 GIUGNO 2025</v>
      </c>
      <c r="G571" s="59">
        <v>19.48</v>
      </c>
      <c r="H571" s="1338" t="s">
        <v>81</v>
      </c>
      <c r="I571" s="960"/>
      <c r="J571" s="59"/>
      <c r="K571" s="59"/>
    </row>
    <row r="572" spans="1:11" x14ac:dyDescent="0.25">
      <c r="A572" s="57" t="s">
        <v>121</v>
      </c>
      <c r="B572" s="57" t="s">
        <v>131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>CONCATENATE(,B572," ",C572)</f>
        <v>GIUGNO 2025</v>
      </c>
      <c r="F572" s="57" t="str">
        <f>CONCATENATE(D572," ",E572)</f>
        <v>6 GIUGNO 2025</v>
      </c>
      <c r="G572" s="59">
        <v>0.4</v>
      </c>
      <c r="H572" s="1338" t="s">
        <v>777</v>
      </c>
      <c r="I572" s="960"/>
      <c r="J572" s="59"/>
      <c r="K572" s="59"/>
    </row>
    <row r="573" spans="1:11" x14ac:dyDescent="0.25">
      <c r="A573" s="57" t="s">
        <v>76</v>
      </c>
      <c r="B573" s="57" t="s">
        <v>131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ref="E573" si="860">CONCATENATE(,B573," ",C573)</f>
        <v>GIUGNO 2025</v>
      </c>
      <c r="F573" s="57" t="str">
        <f t="shared" ref="F573" si="861">CONCATENATE(D573," ",E573)</f>
        <v>6 GIUGNO 2025</v>
      </c>
      <c r="G573" s="59">
        <v>34.1</v>
      </c>
      <c r="H573" s="1338" t="s">
        <v>77</v>
      </c>
      <c r="I573" s="960"/>
      <c r="J573" s="59"/>
      <c r="K573" s="59"/>
    </row>
    <row r="574" spans="1:11" x14ac:dyDescent="0.25">
      <c r="A574" s="57" t="s">
        <v>164</v>
      </c>
      <c r="B574" s="57" t="s">
        <v>131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 t="shared" ref="E574" si="862">CONCATENATE(,B574," ",C574)</f>
        <v>GIUGNO 2025</v>
      </c>
      <c r="F574" s="57" t="str">
        <f t="shared" ref="F574" si="863">CONCATENATE(D574," ",E574)</f>
        <v>6 GIUGNO 2025</v>
      </c>
      <c r="G574" s="59">
        <v>121.38</v>
      </c>
      <c r="H574" s="1338" t="s">
        <v>77</v>
      </c>
      <c r="I574" s="960"/>
      <c r="J574" s="59"/>
      <c r="K574" s="59"/>
    </row>
    <row r="575" spans="1:11" x14ac:dyDescent="0.25">
      <c r="A575" s="57" t="s">
        <v>866</v>
      </c>
      <c r="B575" s="57" t="s">
        <v>131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:E576" si="864">CONCATENATE(,B575," ",C575)</f>
        <v>GIUGNO 2025</v>
      </c>
      <c r="F575" s="57" t="str">
        <f t="shared" ref="F575:F576" si="865">CONCATENATE(D575," ",E575)</f>
        <v>6 GIUGNO 2025</v>
      </c>
      <c r="G575" s="59">
        <v>4</v>
      </c>
      <c r="H575" s="1338" t="s">
        <v>77</v>
      </c>
      <c r="I575" s="960"/>
      <c r="J575" s="59"/>
      <c r="K575" s="59"/>
    </row>
    <row r="576" spans="1:11" x14ac:dyDescent="0.25">
      <c r="A576" s="57" t="s">
        <v>884</v>
      </c>
      <c r="B576" s="57" t="s">
        <v>131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si="864"/>
        <v>GIUGNO 2025</v>
      </c>
      <c r="F576" s="57" t="str">
        <f t="shared" si="865"/>
        <v>6 GIUGNO 2025</v>
      </c>
      <c r="G576" s="59">
        <v>7.0000000000000007E-2</v>
      </c>
      <c r="H576" s="1338" t="s">
        <v>166</v>
      </c>
      <c r="I576" s="960"/>
      <c r="J576" s="59"/>
      <c r="K576" s="59"/>
    </row>
    <row r="577" spans="1:11" x14ac:dyDescent="0.25">
      <c r="A577" s="57" t="s">
        <v>865</v>
      </c>
      <c r="B577" s="57" t="s">
        <v>131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66">CONCATENATE(,B577," ",C577)</f>
        <v>GIUGNO 2025</v>
      </c>
      <c r="F577" s="57" t="str">
        <f t="shared" ref="F577" si="867">CONCATENATE(D577," ",E577)</f>
        <v>6 GIUGNO 2025</v>
      </c>
      <c r="G577" s="59">
        <v>36.56</v>
      </c>
      <c r="H577" s="1338" t="s">
        <v>77</v>
      </c>
      <c r="I577" s="960"/>
      <c r="J577" s="59"/>
      <c r="K577" s="59"/>
    </row>
    <row r="578" spans="1:11" x14ac:dyDescent="0.25">
      <c r="A578" s="57" t="s">
        <v>884</v>
      </c>
      <c r="B578" s="57" t="s">
        <v>131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" si="868">CONCATENATE(,B578," ",C578)</f>
        <v>GIUGNO 2025</v>
      </c>
      <c r="F578" s="57" t="str">
        <f t="shared" ref="F578" si="869">CONCATENATE(D578," ",E578)</f>
        <v>6 GIUGNO 2025</v>
      </c>
      <c r="G578" s="59">
        <v>0.64</v>
      </c>
      <c r="H578" s="1338" t="s">
        <v>166</v>
      </c>
      <c r="I578" s="960"/>
      <c r="J578" s="59"/>
      <c r="K578" s="59"/>
    </row>
    <row r="579" spans="1:11" x14ac:dyDescent="0.25">
      <c r="A579" s="57" t="s">
        <v>67</v>
      </c>
      <c r="B579" s="57" t="s">
        <v>131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" si="870">CONCATENATE(,B579," ",C579)</f>
        <v>GIUGNO 2025</v>
      </c>
      <c r="F579" s="57" t="str">
        <f t="shared" ref="F579" si="871">CONCATENATE(D579," ",E579)</f>
        <v>6 GIUGNO 2025</v>
      </c>
      <c r="G579" s="59">
        <v>6.5</v>
      </c>
      <c r="H579" s="1338" t="s">
        <v>776</v>
      </c>
      <c r="I579" s="960"/>
      <c r="J579" s="59"/>
      <c r="K579" s="59"/>
    </row>
    <row r="580" spans="1:11" x14ac:dyDescent="0.25">
      <c r="A580" s="57" t="s">
        <v>856</v>
      </c>
      <c r="B580" s="57" t="s">
        <v>131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72">CONCATENATE(,B580," ",C580)</f>
        <v>GIUGNO 2025</v>
      </c>
      <c r="F580" s="57" t="str">
        <f t="shared" ref="F580" si="873">CONCATENATE(D580," ",E580)</f>
        <v>6 GIUGNO 2025</v>
      </c>
      <c r="G580" s="59">
        <v>31</v>
      </c>
      <c r="H580" s="1338" t="s">
        <v>69</v>
      </c>
      <c r="I580" s="960"/>
      <c r="J580" s="59"/>
      <c r="K580" s="59" t="s">
        <v>857</v>
      </c>
    </row>
    <row r="581" spans="1:11" x14ac:dyDescent="0.25">
      <c r="A581" s="57" t="s">
        <v>86</v>
      </c>
      <c r="B581" s="57" t="s">
        <v>131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:E582" si="874">CONCATENATE(,B581," ",C581)</f>
        <v>GIUGNO 2025</v>
      </c>
      <c r="F581" s="57" t="str">
        <f t="shared" ref="F581:F582" si="875">CONCATENATE(D581," ",E581)</f>
        <v>6 GIUGNO 2025</v>
      </c>
      <c r="G581" s="59">
        <v>45</v>
      </c>
      <c r="H581" s="1338" t="s">
        <v>69</v>
      </c>
      <c r="I581" s="960"/>
      <c r="J581" s="59"/>
      <c r="K581" s="59"/>
    </row>
    <row r="582" spans="1:11" x14ac:dyDescent="0.25">
      <c r="A582" s="57" t="s">
        <v>67</v>
      </c>
      <c r="B582" s="57" t="s">
        <v>131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si="874"/>
        <v>GIUGNO 2025</v>
      </c>
      <c r="F582" s="57" t="str">
        <f t="shared" si="875"/>
        <v>6 GIUGNO 2025</v>
      </c>
      <c r="G582" s="59">
        <v>6.5</v>
      </c>
      <c r="H582" s="1338" t="s">
        <v>776</v>
      </c>
      <c r="I582" s="960"/>
      <c r="J582" s="59"/>
      <c r="K582" s="59"/>
    </row>
    <row r="583" spans="1:11" x14ac:dyDescent="0.25">
      <c r="A583" s="57" t="s">
        <v>341</v>
      </c>
      <c r="B583" s="57" t="s">
        <v>131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6">CONCATENATE(,B583," ",C583)</f>
        <v>GIUGNO 2025</v>
      </c>
      <c r="F583" s="57" t="str">
        <f t="shared" ref="F583" si="877">CONCATENATE(D583," ",E583)</f>
        <v>6 GIUGNO 2025</v>
      </c>
      <c r="G583" s="59">
        <v>4.5199999999999996</v>
      </c>
      <c r="H583" s="1338" t="s">
        <v>91</v>
      </c>
      <c r="I583" s="960"/>
      <c r="J583" s="59" t="s">
        <v>768</v>
      </c>
      <c r="K583" s="59"/>
    </row>
    <row r="584" spans="1:11" x14ac:dyDescent="0.25">
      <c r="A584" s="57" t="s">
        <v>122</v>
      </c>
      <c r="B584" s="57" t="s">
        <v>131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 t="shared" ref="E584" si="878">CONCATENATE(,B584," ",C584)</f>
        <v>GIUGNO 2025</v>
      </c>
      <c r="F584" s="57" t="str">
        <f t="shared" ref="F584" si="879">CONCATENATE(D584," ",E584)</f>
        <v>6 GIUGNO 2025</v>
      </c>
      <c r="G584" s="59">
        <v>7.57</v>
      </c>
      <c r="H584" s="1338" t="s">
        <v>77</v>
      </c>
      <c r="I584" s="960"/>
      <c r="J584" s="59"/>
      <c r="K584" s="59"/>
    </row>
    <row r="585" spans="1:11" x14ac:dyDescent="0.25">
      <c r="A585" s="57" t="s">
        <v>864</v>
      </c>
      <c r="B585" s="57" t="s">
        <v>131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80">CONCATENATE(,B585," ",C585)</f>
        <v>GIUGNO 2025</v>
      </c>
      <c r="F585" s="57" t="str">
        <f t="shared" ref="F585" si="881">CONCATENATE(D585," ",E585)</f>
        <v>6 GIUGNO 2025</v>
      </c>
      <c r="G585" s="59">
        <v>48.5</v>
      </c>
      <c r="H585" s="1338" t="s">
        <v>69</v>
      </c>
      <c r="I585" s="960"/>
      <c r="J585" s="59"/>
      <c r="K585" s="59"/>
    </row>
    <row r="586" spans="1:11" x14ac:dyDescent="0.25">
      <c r="A586" s="57" t="s">
        <v>67</v>
      </c>
      <c r="B586" s="57" t="s">
        <v>131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 t="shared" ref="E586" si="882">CONCATENATE(,B586," ",C586)</f>
        <v>GIUGNO 2025</v>
      </c>
      <c r="F586" s="57" t="str">
        <f t="shared" ref="F586" si="883">CONCATENATE(D586," ",E586)</f>
        <v>6 GIUGNO 2025</v>
      </c>
      <c r="G586" s="59">
        <v>9.5</v>
      </c>
      <c r="H586" s="1338" t="s">
        <v>69</v>
      </c>
      <c r="I586" s="960"/>
      <c r="J586" s="59"/>
      <c r="K586" s="59"/>
    </row>
    <row r="587" spans="1:11" x14ac:dyDescent="0.25">
      <c r="A587" s="57" t="s">
        <v>108</v>
      </c>
      <c r="B587" s="57" t="s">
        <v>131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 t="shared" ref="E587" si="884">CONCATENATE(,B587," ",C587)</f>
        <v>GIUGNO 2025</v>
      </c>
      <c r="F587" s="57" t="str">
        <f t="shared" ref="F587" si="885">CONCATENATE(D587," ",E587)</f>
        <v>6 GIUGNO 2025</v>
      </c>
      <c r="G587" s="59">
        <v>23.2</v>
      </c>
      <c r="H587" s="1338" t="s">
        <v>75</v>
      </c>
      <c r="I587" s="960"/>
      <c r="J587" s="57" t="s">
        <v>108</v>
      </c>
      <c r="K587" s="59"/>
    </row>
    <row r="588" spans="1:11" x14ac:dyDescent="0.25">
      <c r="A588" s="57" t="s">
        <v>83</v>
      </c>
      <c r="B588" s="57" t="s">
        <v>131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 t="shared" ref="E588" si="886">CONCATENATE(,B588," ",C588)</f>
        <v>GIUGNO 2025</v>
      </c>
      <c r="F588" s="57" t="str">
        <f t="shared" ref="F588" si="887">CONCATENATE(D588," ",E588)</f>
        <v>6 GIUGNO 2025</v>
      </c>
      <c r="G588" s="59">
        <v>17.73</v>
      </c>
      <c r="H588" s="1338" t="s">
        <v>77</v>
      </c>
      <c r="I588" s="960"/>
      <c r="J588" s="59"/>
      <c r="K588" s="59"/>
    </row>
    <row r="589" spans="1:11" x14ac:dyDescent="0.25">
      <c r="A589" s="57" t="s">
        <v>122</v>
      </c>
      <c r="B589" s="57" t="s">
        <v>131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 t="shared" ref="E589" si="888">CONCATENATE(,B589," ",C589)</f>
        <v>GIUGNO 2025</v>
      </c>
      <c r="F589" s="57" t="str">
        <f t="shared" ref="F589" si="889">CONCATENATE(D589," ",E589)</f>
        <v>6 GIUGNO 2025</v>
      </c>
      <c r="G589" s="59">
        <v>3.74</v>
      </c>
      <c r="H589" s="1338" t="s">
        <v>77</v>
      </c>
      <c r="I589" s="960"/>
      <c r="J589" s="59"/>
      <c r="K589" s="59"/>
    </row>
    <row r="590" spans="1:11" x14ac:dyDescent="0.25">
      <c r="A590" s="57" t="s">
        <v>877</v>
      </c>
      <c r="B590" s="57" t="s">
        <v>131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90">CONCATENATE(,B590," ",C590)</f>
        <v>GIUGNO 2025</v>
      </c>
      <c r="F590" s="57" t="str">
        <f t="shared" ref="F590" si="891">CONCATENATE(D590," ",E590)</f>
        <v>6 GIUGNO 2025</v>
      </c>
      <c r="G590" s="59">
        <v>215.63</v>
      </c>
      <c r="H590" s="1338" t="s">
        <v>91</v>
      </c>
      <c r="I590" s="960" t="s">
        <v>993</v>
      </c>
      <c r="J590" s="59" t="s">
        <v>768</v>
      </c>
      <c r="K590" s="59" t="s">
        <v>863</v>
      </c>
    </row>
    <row r="591" spans="1:11" x14ac:dyDescent="0.25">
      <c r="A591" s="57" t="s">
        <v>862</v>
      </c>
      <c r="B591" s="57" t="s">
        <v>131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92">CONCATENATE(,B591," ",C591)</f>
        <v>GIUGNO 2025</v>
      </c>
      <c r="F591" s="57" t="str">
        <f t="shared" ref="F591" si="893">CONCATENATE(D591," ",E591)</f>
        <v>6 GIUGNO 2025</v>
      </c>
      <c r="G591" s="59">
        <v>38.5</v>
      </c>
      <c r="H591" s="1338" t="s">
        <v>69</v>
      </c>
      <c r="I591" s="960"/>
      <c r="J591" s="59"/>
      <c r="K591" s="59"/>
    </row>
    <row r="592" spans="1:11" x14ac:dyDescent="0.25">
      <c r="A592" s="57" t="s">
        <v>108</v>
      </c>
      <c r="B592" s="57" t="s">
        <v>131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94">CONCATENATE(,B592," ",C592)</f>
        <v>GIUGNO 2025</v>
      </c>
      <c r="F592" s="57" t="str">
        <f t="shared" ref="F592" si="895">CONCATENATE(D592," ",E592)</f>
        <v>6 GIUGNO 2025</v>
      </c>
      <c r="G592" s="59">
        <v>15.39</v>
      </c>
      <c r="H592" s="1338" t="s">
        <v>75</v>
      </c>
      <c r="I592" s="960" t="s">
        <v>1045</v>
      </c>
      <c r="J592" s="57" t="s">
        <v>108</v>
      </c>
      <c r="K592" s="59" t="s">
        <v>1031</v>
      </c>
    </row>
    <row r="593" spans="1:11" x14ac:dyDescent="0.25">
      <c r="A593" s="57" t="s">
        <v>108</v>
      </c>
      <c r="B593" s="57" t="s">
        <v>131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>CONCATENATE(,B593," ",C593)</f>
        <v>GIUGNO 2025</v>
      </c>
      <c r="F593" s="57" t="str">
        <f>CONCATENATE(D593," ",E593)</f>
        <v>6 GIUGNO 2025</v>
      </c>
      <c r="G593" s="59">
        <v>109.8</v>
      </c>
      <c r="H593" s="1338" t="s">
        <v>81</v>
      </c>
      <c r="I593" s="960" t="s">
        <v>1044</v>
      </c>
      <c r="J593" s="57" t="s">
        <v>108</v>
      </c>
      <c r="K593" s="59" t="s">
        <v>836</v>
      </c>
    </row>
    <row r="594" spans="1:11" x14ac:dyDescent="0.25">
      <c r="A594" s="57" t="s">
        <v>138</v>
      </c>
      <c r="B594" s="57" t="s">
        <v>131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6">CONCATENATE(,B594," ",C594)</f>
        <v>GIUGNO 2025</v>
      </c>
      <c r="F594" s="57" t="str">
        <f t="shared" ref="F594" si="897">CONCATENATE(D594," ",E594)</f>
        <v>6 GIUGNO 2025</v>
      </c>
      <c r="G594" s="59">
        <v>28</v>
      </c>
      <c r="H594" s="1338" t="s">
        <v>69</v>
      </c>
      <c r="I594" s="960"/>
      <c r="J594" s="59"/>
      <c r="K594" s="59"/>
    </row>
    <row r="595" spans="1:11" x14ac:dyDescent="0.25">
      <c r="A595" s="57" t="s">
        <v>121</v>
      </c>
      <c r="B595" s="57" t="s">
        <v>131</v>
      </c>
      <c r="C595" s="57">
        <v>2025</v>
      </c>
      <c r="D595" s="58">
        <f>MATCH(B595,{"GENNAIO","FEBBRAIO","MARZO","APRILE","MAGGIO","GIUGNO","LUGLIO","AGOSTO","SETTEMBRE","OTTOBRE","NOVEMBRE","DICEMBRE"},0)</f>
        <v>6</v>
      </c>
      <c r="E595" s="57" t="str">
        <f>CONCATENATE(,B595," ",C595)</f>
        <v>GIUGNO 2025</v>
      </c>
      <c r="F595" s="57" t="str">
        <f>CONCATENATE(D595," ",E595)</f>
        <v>6 GIUGNO 2025</v>
      </c>
      <c r="G595" s="59">
        <v>0.4</v>
      </c>
      <c r="H595" s="1338" t="s">
        <v>777</v>
      </c>
      <c r="I595" s="960"/>
      <c r="J595" s="59"/>
      <c r="K595" s="59"/>
    </row>
    <row r="596" spans="1:11" x14ac:dyDescent="0.25">
      <c r="A596" s="57" t="s">
        <v>121</v>
      </c>
      <c r="B596" s="57" t="s">
        <v>131</v>
      </c>
      <c r="C596" s="57">
        <v>2025</v>
      </c>
      <c r="D596" s="58">
        <f>MATCH(B596,{"GENNAIO","FEBBRAIO","MARZO","APRILE","MAGGIO","GIUGNO","LUGLIO","AGOSTO","SETTEMBRE","OTTOBRE","NOVEMBRE","DICEMBRE"},0)</f>
        <v>6</v>
      </c>
      <c r="E596" s="57" t="str">
        <f>CONCATENATE(,B596," ",C596)</f>
        <v>GIUGNO 2025</v>
      </c>
      <c r="F596" s="57" t="str">
        <f>CONCATENATE(D596," ",E596)</f>
        <v>6 GIUGNO 2025</v>
      </c>
      <c r="G596" s="59">
        <v>0.4</v>
      </c>
      <c r="H596" s="1338" t="s">
        <v>777</v>
      </c>
      <c r="I596" s="960"/>
      <c r="J596" s="59"/>
      <c r="K596" s="59"/>
    </row>
    <row r="597" spans="1:11" x14ac:dyDescent="0.25">
      <c r="A597" s="57" t="s">
        <v>121</v>
      </c>
      <c r="B597" s="57" t="s">
        <v>131</v>
      </c>
      <c r="C597" s="57">
        <v>2025</v>
      </c>
      <c r="D597" s="58">
        <f>MATCH(B597,{"GENNAIO","FEBBRAIO","MARZO","APRILE","MAGGIO","GIUGNO","LUGLIO","AGOSTO","SETTEMBRE","OTTOBRE","NOVEMBRE","DICEMBRE"},0)</f>
        <v>6</v>
      </c>
      <c r="E597" s="57" t="str">
        <f>CONCATENATE(,B597," ",C597)</f>
        <v>GIUGNO 2025</v>
      </c>
      <c r="F597" s="57" t="str">
        <f>CONCATENATE(D597," ",E597)</f>
        <v>6 GIUGNO 2025</v>
      </c>
      <c r="G597" s="59">
        <v>0.4</v>
      </c>
      <c r="H597" s="1338" t="s">
        <v>777</v>
      </c>
      <c r="I597" s="960"/>
      <c r="J597" s="59"/>
      <c r="K597" s="59"/>
    </row>
    <row r="598" spans="1:11" x14ac:dyDescent="0.25">
      <c r="A598" s="57" t="s">
        <v>121</v>
      </c>
      <c r="B598" s="57" t="s">
        <v>131</v>
      </c>
      <c r="C598" s="57">
        <v>2025</v>
      </c>
      <c r="D598" s="58">
        <f>MATCH(B598,{"GENNAIO","FEBBRAIO","MARZO","APRILE","MAGGIO","GIUGNO","LUGLIO","AGOSTO","SETTEMBRE","OTTOBRE","NOVEMBRE","DICEMBRE"},0)</f>
        <v>6</v>
      </c>
      <c r="E598" s="57" t="str">
        <f>CONCATENATE(,B598," ",C598)</f>
        <v>GIUGNO 2025</v>
      </c>
      <c r="F598" s="57" t="str">
        <f>CONCATENATE(D598," ",E598)</f>
        <v>6 GIUGNO 2025</v>
      </c>
      <c r="G598" s="59">
        <v>0.4</v>
      </c>
      <c r="H598" s="1338" t="s">
        <v>777</v>
      </c>
      <c r="I598" s="960"/>
      <c r="J598" s="59"/>
      <c r="K598" s="59"/>
    </row>
    <row r="599" spans="1:11" x14ac:dyDescent="0.25">
      <c r="A599" s="57" t="s">
        <v>67</v>
      </c>
      <c r="B599" s="57" t="s">
        <v>131</v>
      </c>
      <c r="C599" s="57">
        <v>2025</v>
      </c>
      <c r="D599" s="58">
        <f>MATCH(B599,{"GENNAIO","FEBBRAIO","MARZO","APRILE","MAGGIO","GIUGNO","LUGLIO","AGOSTO","SETTEMBRE","OTTOBRE","NOVEMBRE","DICEMBRE"},0)</f>
        <v>6</v>
      </c>
      <c r="E599" s="57" t="str">
        <f t="shared" ref="E599" si="898">CONCATENATE(,B599," ",C599)</f>
        <v>GIUGNO 2025</v>
      </c>
      <c r="F599" s="57" t="str">
        <f t="shared" ref="F599" si="899">CONCATENATE(D599," ",E599)</f>
        <v>6 GIUGNO 2025</v>
      </c>
      <c r="G599" s="59">
        <v>8.5</v>
      </c>
      <c r="H599" s="1338" t="s">
        <v>69</v>
      </c>
      <c r="I599" s="960"/>
      <c r="J599" s="59"/>
      <c r="K599" s="59"/>
    </row>
    <row r="600" spans="1:11" x14ac:dyDescent="0.25">
      <c r="A600" s="57" t="s">
        <v>67</v>
      </c>
      <c r="B600" s="57" t="s">
        <v>131</v>
      </c>
      <c r="C600" s="57">
        <v>2025</v>
      </c>
      <c r="D600" s="58">
        <f>MATCH(B600,{"GENNAIO","FEBBRAIO","MARZO","APRILE","MAGGIO","GIUGNO","LUGLIO","AGOSTO","SETTEMBRE","OTTOBRE","NOVEMBRE","DICEMBRE"},0)</f>
        <v>6</v>
      </c>
      <c r="E600" s="57" t="str">
        <f t="shared" ref="E600" si="900">CONCATENATE(,B600," ",C600)</f>
        <v>GIUGNO 2025</v>
      </c>
      <c r="F600" s="57" t="str">
        <f t="shared" ref="F600" si="901">CONCATENATE(D600," ",E600)</f>
        <v>6 GIUGNO 2025</v>
      </c>
      <c r="G600" s="59">
        <v>6.5</v>
      </c>
      <c r="H600" s="1338" t="s">
        <v>776</v>
      </c>
      <c r="I600" s="960"/>
      <c r="J600" s="59"/>
      <c r="K600" s="59"/>
    </row>
    <row r="601" spans="1:11" x14ac:dyDescent="0.25">
      <c r="A601" s="57" t="s">
        <v>76</v>
      </c>
      <c r="B601" s="57" t="s">
        <v>131</v>
      </c>
      <c r="C601" s="57">
        <v>2025</v>
      </c>
      <c r="D601" s="58">
        <f>MATCH(B601,{"GENNAIO","FEBBRAIO","MARZO","APRILE","MAGGIO","GIUGNO","LUGLIO","AGOSTO","SETTEMBRE","OTTOBRE","NOVEMBRE","DICEMBRE"},0)</f>
        <v>6</v>
      </c>
      <c r="E601" s="57" t="str">
        <f t="shared" ref="E601" si="902">CONCATENATE(,B601," ",C601)</f>
        <v>GIUGNO 2025</v>
      </c>
      <c r="F601" s="57" t="str">
        <f t="shared" ref="F601" si="903">CONCATENATE(D601," ",E601)</f>
        <v>6 GIUGNO 2025</v>
      </c>
      <c r="G601" s="59">
        <v>24.43</v>
      </c>
      <c r="H601" s="1338" t="s">
        <v>77</v>
      </c>
      <c r="I601" s="960"/>
      <c r="J601" s="59"/>
      <c r="K601" s="59"/>
    </row>
    <row r="602" spans="1:11" x14ac:dyDescent="0.25">
      <c r="A602" s="57" t="s">
        <v>121</v>
      </c>
      <c r="B602" s="57" t="s">
        <v>131</v>
      </c>
      <c r="C602" s="57">
        <v>2025</v>
      </c>
      <c r="D602" s="58">
        <f>MATCH(B602,{"GENNAIO","FEBBRAIO","MARZO","APRILE","MAGGIO","GIUGNO","LUGLIO","AGOSTO","SETTEMBRE","OTTOBRE","NOVEMBRE","DICEMBRE"},0)</f>
        <v>6</v>
      </c>
      <c r="E602" s="57" t="str">
        <f t="shared" ref="E602" si="904">CONCATENATE(,B602," ",C602)</f>
        <v>GIUGNO 2025</v>
      </c>
      <c r="F602" s="57" t="str">
        <f t="shared" ref="F602" si="905">CONCATENATE(D602," ",E602)</f>
        <v>6 GIUGNO 2025</v>
      </c>
      <c r="G602" s="59">
        <v>0.4</v>
      </c>
      <c r="H602" s="1338" t="s">
        <v>777</v>
      </c>
      <c r="I602" s="960"/>
      <c r="J602" s="59"/>
      <c r="K602" s="59"/>
    </row>
    <row r="603" spans="1:11" x14ac:dyDescent="0.25">
      <c r="A603" s="57" t="s">
        <v>108</v>
      </c>
      <c r="B603" s="57" t="s">
        <v>131</v>
      </c>
      <c r="C603" s="57">
        <v>2025</v>
      </c>
      <c r="D603" s="58">
        <f>MATCH(B603,{"GENNAIO","FEBBRAIO","MARZO","APRILE","MAGGIO","GIUGNO","LUGLIO","AGOSTO","SETTEMBRE","OTTOBRE","NOVEMBRE","DICEMBRE"},0)</f>
        <v>6</v>
      </c>
      <c r="E603" s="57" t="str">
        <f t="shared" ref="E603" si="906">CONCATENATE(,B603," ",C603)</f>
        <v>GIUGNO 2025</v>
      </c>
      <c r="F603" s="57" t="str">
        <f t="shared" ref="F603" si="907">CONCATENATE(D603," ",E603)</f>
        <v>6 GIUGNO 2025</v>
      </c>
      <c r="G603" s="59">
        <v>109.8</v>
      </c>
      <c r="H603" s="1338" t="s">
        <v>81</v>
      </c>
      <c r="I603" s="960" t="s">
        <v>1046</v>
      </c>
      <c r="J603" s="57" t="s">
        <v>108</v>
      </c>
      <c r="K603" s="59" t="s">
        <v>836</v>
      </c>
    </row>
    <row r="604" spans="1:11" x14ac:dyDescent="0.25">
      <c r="A604" s="57" t="s">
        <v>867</v>
      </c>
      <c r="B604" s="57" t="s">
        <v>143</v>
      </c>
      <c r="C604" s="57">
        <v>2025</v>
      </c>
      <c r="D604" s="58">
        <f>MATCH(B604,{"GENNAIO","FEBBRAIO","MARZO","APRILE","MAGGIO","GIUGNO","LUGLIO","AGOSTO","SETTEMBRE","OTTOBRE","NOVEMBRE","DICEMBRE"},0)</f>
        <v>5</v>
      </c>
      <c r="E604" s="57" t="str">
        <f t="shared" ref="E604" si="908">CONCATENATE(,B604," ",C604)</f>
        <v>MAGGIO 2025</v>
      </c>
      <c r="F604" s="57" t="str">
        <f t="shared" ref="F604" si="909">CONCATENATE(D604," ",E604)</f>
        <v>5 MAGGIO 2025</v>
      </c>
      <c r="G604" s="59">
        <v>0.52</v>
      </c>
      <c r="H604" s="1338" t="s">
        <v>166</v>
      </c>
      <c r="I604" s="960"/>
      <c r="J604" s="59"/>
      <c r="K604" s="59"/>
    </row>
    <row r="605" spans="1:11" x14ac:dyDescent="0.25">
      <c r="A605" s="57" t="s">
        <v>138</v>
      </c>
      <c r="B605" s="57" t="s">
        <v>143</v>
      </c>
      <c r="C605" s="57">
        <v>2025</v>
      </c>
      <c r="D605" s="58">
        <f>MATCH(B605,{"GENNAIO","FEBBRAIO","MARZO","APRILE","MAGGIO","GIUGNO","LUGLIO","AGOSTO","SETTEMBRE","OTTOBRE","NOVEMBRE","DICEMBRE"},0)</f>
        <v>5</v>
      </c>
      <c r="E605" s="57" t="str">
        <f t="shared" ref="E605" si="910">CONCATENATE(,B605," ",C605)</f>
        <v>MAGGIO 2025</v>
      </c>
      <c r="F605" s="57" t="str">
        <f t="shared" ref="F605" si="911">CONCATENATE(D605," ",E605)</f>
        <v>5 MAGGIO 2025</v>
      </c>
      <c r="G605" s="59">
        <v>22.5</v>
      </c>
      <c r="H605" s="1338" t="s">
        <v>69</v>
      </c>
      <c r="I605" s="960"/>
      <c r="J605" s="59"/>
      <c r="K605" s="59"/>
    </row>
    <row r="606" spans="1:11" x14ac:dyDescent="0.25">
      <c r="A606" s="57" t="s">
        <v>138</v>
      </c>
      <c r="B606" s="57" t="s">
        <v>143</v>
      </c>
      <c r="C606" s="57">
        <v>2025</v>
      </c>
      <c r="D606" s="58">
        <f>MATCH(B606,{"GENNAIO","FEBBRAIO","MARZO","APRILE","MAGGIO","GIUGNO","LUGLIO","AGOSTO","SETTEMBRE","OTTOBRE","NOVEMBRE","DICEMBRE"},0)</f>
        <v>5</v>
      </c>
      <c r="E606" s="57" t="str">
        <f t="shared" ref="E606" si="912">CONCATENATE(,B606," ",C606)</f>
        <v>MAGGIO 2025</v>
      </c>
      <c r="F606" s="57" t="str">
        <f t="shared" ref="F606" si="913">CONCATENATE(D606," ",E606)</f>
        <v>5 MAGGIO 2025</v>
      </c>
      <c r="G606" s="59">
        <v>12.5</v>
      </c>
      <c r="H606" s="1338" t="s">
        <v>69</v>
      </c>
      <c r="I606" s="960"/>
      <c r="J606" s="59"/>
      <c r="K606" s="59"/>
    </row>
    <row r="607" spans="1:11" x14ac:dyDescent="0.25">
      <c r="A607" s="57" t="s">
        <v>67</v>
      </c>
      <c r="B607" s="57" t="s">
        <v>143</v>
      </c>
      <c r="C607" s="57">
        <v>2025</v>
      </c>
      <c r="D607" s="58">
        <f>MATCH(B607,{"GENNAIO","FEBBRAIO","MARZO","APRILE","MAGGIO","GIUGNO","LUGLIO","AGOSTO","SETTEMBRE","OTTOBRE","NOVEMBRE","DICEMBRE"},0)</f>
        <v>5</v>
      </c>
      <c r="E607" s="57" t="str">
        <f t="shared" ref="E607" si="914">CONCATENATE(,B607," ",C607)</f>
        <v>MAGGIO 2025</v>
      </c>
      <c r="F607" s="57" t="str">
        <f t="shared" ref="F607" si="915">CONCATENATE(D607," ",E607)</f>
        <v>5 MAGGIO 2025</v>
      </c>
      <c r="G607" s="59">
        <v>6.5</v>
      </c>
      <c r="H607" s="1338" t="s">
        <v>776</v>
      </c>
      <c r="I607" s="960"/>
      <c r="J607" s="59"/>
      <c r="K607" s="59"/>
    </row>
    <row r="608" spans="1:11" x14ac:dyDescent="0.25">
      <c r="A608" s="57" t="s">
        <v>76</v>
      </c>
      <c r="B608" s="57" t="s">
        <v>143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6">CONCATENATE(,B608," ",C608)</f>
        <v>MAGGIO 2025</v>
      </c>
      <c r="F608" s="57" t="str">
        <f t="shared" ref="F608" si="917">CONCATENATE(D608," ",E608)</f>
        <v>5 MAGGIO 2025</v>
      </c>
      <c r="G608" s="59">
        <v>3.87</v>
      </c>
      <c r="H608" s="1338" t="s">
        <v>77</v>
      </c>
      <c r="I608" s="960"/>
      <c r="J608" s="59"/>
      <c r="K608" s="59"/>
    </row>
    <row r="609" spans="1:11" x14ac:dyDescent="0.25">
      <c r="A609" s="57" t="s">
        <v>67</v>
      </c>
      <c r="B609" s="57" t="s">
        <v>143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" si="918">CONCATENATE(,B609," ",C609)</f>
        <v>MAGGIO 2025</v>
      </c>
      <c r="F609" s="57" t="str">
        <f t="shared" ref="F609" si="919">CONCATENATE(D609," ",E609)</f>
        <v>5 MAGGIO 2025</v>
      </c>
      <c r="G609" s="59">
        <v>4.2</v>
      </c>
      <c r="H609" s="1338" t="s">
        <v>69</v>
      </c>
      <c r="I609" s="960"/>
      <c r="J609" s="59"/>
      <c r="K609" s="59"/>
    </row>
    <row r="610" spans="1:11" x14ac:dyDescent="0.25">
      <c r="A610" s="57" t="s">
        <v>121</v>
      </c>
      <c r="B610" s="57" t="s">
        <v>143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ref="E610" si="920">CONCATENATE(,B610," ",C610)</f>
        <v>MAGGIO 2025</v>
      </c>
      <c r="F610" s="57" t="str">
        <f t="shared" ref="F610" si="921">CONCATENATE(D610," ",E610)</f>
        <v>5 MAGGIO 2025</v>
      </c>
      <c r="G610" s="59">
        <v>0.6</v>
      </c>
      <c r="H610" s="1338" t="s">
        <v>777</v>
      </c>
      <c r="I610" s="960"/>
      <c r="J610" s="59"/>
      <c r="K610" s="59"/>
    </row>
    <row r="611" spans="1:11" x14ac:dyDescent="0.25">
      <c r="A611" s="57" t="s">
        <v>122</v>
      </c>
      <c r="B611" s="57" t="s">
        <v>143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:E614" si="922">CONCATENATE(,B611," ",C611)</f>
        <v>MAGGIO 2025</v>
      </c>
      <c r="F611" s="57" t="str">
        <f t="shared" ref="F611:F614" si="923">CONCATENATE(D611," ",E611)</f>
        <v>5 MAGGIO 2025</v>
      </c>
      <c r="G611" s="59">
        <v>4.25</v>
      </c>
      <c r="H611" s="1338" t="s">
        <v>77</v>
      </c>
      <c r="I611" s="960"/>
      <c r="J611" s="59"/>
      <c r="K611" s="59"/>
    </row>
    <row r="612" spans="1:11" x14ac:dyDescent="0.25">
      <c r="A612" s="57" t="s">
        <v>121</v>
      </c>
      <c r="B612" s="57" t="s">
        <v>143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ref="E612" si="924">CONCATENATE(,B612," ",C612)</f>
        <v>MAGGIO 2025</v>
      </c>
      <c r="F612" s="57" t="str">
        <f t="shared" ref="F612" si="925">CONCATENATE(D612," ",E612)</f>
        <v>5 MAGGIO 2025</v>
      </c>
      <c r="G612" s="59">
        <v>0.4</v>
      </c>
      <c r="H612" s="1338" t="s">
        <v>777</v>
      </c>
      <c r="I612" s="960"/>
      <c r="J612" s="59"/>
      <c r="K612" s="59"/>
    </row>
    <row r="613" spans="1:11" x14ac:dyDescent="0.25">
      <c r="A613" s="57" t="s">
        <v>121</v>
      </c>
      <c r="B613" s="57" t="s">
        <v>143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si="922"/>
        <v>MAGGIO 2025</v>
      </c>
      <c r="F613" s="57" t="str">
        <f t="shared" si="923"/>
        <v>5 MAGGIO 2025</v>
      </c>
      <c r="G613" s="59">
        <v>0.4</v>
      </c>
      <c r="H613" s="1338" t="s">
        <v>777</v>
      </c>
      <c r="I613" s="960"/>
      <c r="J613" s="59"/>
      <c r="K613" s="59"/>
    </row>
    <row r="614" spans="1:11" x14ac:dyDescent="0.25">
      <c r="A614" s="57" t="s">
        <v>83</v>
      </c>
      <c r="B614" s="57" t="s">
        <v>143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si="922"/>
        <v>MAGGIO 2025</v>
      </c>
      <c r="F614" s="57" t="str">
        <f t="shared" si="923"/>
        <v>5 MAGGIO 2025</v>
      </c>
      <c r="G614" s="59">
        <v>13.61</v>
      </c>
      <c r="H614" s="1338" t="s">
        <v>77</v>
      </c>
      <c r="I614" s="960"/>
      <c r="J614" s="59"/>
      <c r="K614" s="59"/>
    </row>
    <row r="615" spans="1:11" x14ac:dyDescent="0.25">
      <c r="A615" s="57" t="s">
        <v>861</v>
      </c>
      <c r="B615" s="57" t="s">
        <v>143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ref="E615" si="926">CONCATENATE(,B615," ",C615)</f>
        <v>MAGGIO 2025</v>
      </c>
      <c r="F615" s="57" t="str">
        <f t="shared" ref="F615" si="927">CONCATENATE(D615," ",E615)</f>
        <v>5 MAGGIO 2025</v>
      </c>
      <c r="G615" s="59">
        <v>83</v>
      </c>
      <c r="H615" s="1338" t="s">
        <v>69</v>
      </c>
      <c r="I615" s="960"/>
      <c r="J615" s="59"/>
      <c r="K615" s="59"/>
    </row>
    <row r="616" spans="1:11" x14ac:dyDescent="0.25">
      <c r="A616" s="57" t="s">
        <v>76</v>
      </c>
      <c r="B616" s="57" t="s">
        <v>143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ref="E616" si="928">CONCATENATE(,B616," ",C616)</f>
        <v>MAGGIO 2025</v>
      </c>
      <c r="F616" s="57" t="str">
        <f t="shared" ref="F616" si="929">CONCATENATE(D616," ",E616)</f>
        <v>5 MAGGIO 2025</v>
      </c>
      <c r="G616" s="59">
        <v>10.23</v>
      </c>
      <c r="H616" s="1338" t="s">
        <v>77</v>
      </c>
      <c r="I616" s="960"/>
      <c r="J616" s="59"/>
      <c r="K616" s="59"/>
    </row>
    <row r="617" spans="1:11" x14ac:dyDescent="0.25">
      <c r="A617" s="57" t="s">
        <v>79</v>
      </c>
      <c r="B617" s="57" t="s">
        <v>143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ref="E617" si="930">CONCATENATE(,B617," ",C617)</f>
        <v>MAGGIO 2025</v>
      </c>
      <c r="F617" s="57" t="str">
        <f t="shared" ref="F617" si="931">CONCATENATE(D617," ",E617)</f>
        <v>5 MAGGIO 2025</v>
      </c>
      <c r="G617" s="59">
        <v>16.03</v>
      </c>
      <c r="H617" s="1338" t="s">
        <v>81</v>
      </c>
      <c r="I617" s="960"/>
      <c r="J617" s="59"/>
      <c r="K617" s="59"/>
    </row>
    <row r="618" spans="1:11" x14ac:dyDescent="0.25">
      <c r="A618" s="57" t="s">
        <v>860</v>
      </c>
      <c r="B618" s="57" t="s">
        <v>143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2">CONCATENATE(,B618," ",C618)</f>
        <v>MAGGIO 2025</v>
      </c>
      <c r="F618" s="57" t="str">
        <f t="shared" ref="F618" si="933">CONCATENATE(D618," ",E618)</f>
        <v>5 MAGGIO 2025</v>
      </c>
      <c r="G618" s="59">
        <v>10</v>
      </c>
      <c r="H618" s="1338" t="s">
        <v>69</v>
      </c>
      <c r="I618" s="960"/>
      <c r="J618" s="59"/>
      <c r="K618" s="59"/>
    </row>
    <row r="619" spans="1:11" x14ac:dyDescent="0.25">
      <c r="A619" s="57" t="s">
        <v>859</v>
      </c>
      <c r="B619" s="57" t="s">
        <v>143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4">CONCATENATE(,B619," ",C619)</f>
        <v>MAGGIO 2025</v>
      </c>
      <c r="F619" s="57" t="str">
        <f t="shared" ref="F619" si="935">CONCATENATE(D619," ",E619)</f>
        <v>5 MAGGIO 2025</v>
      </c>
      <c r="G619" s="59">
        <v>5</v>
      </c>
      <c r="H619" s="1338" t="s">
        <v>69</v>
      </c>
      <c r="I619" s="960"/>
      <c r="J619" s="59"/>
      <c r="K619" s="59"/>
    </row>
    <row r="620" spans="1:11" x14ac:dyDescent="0.25">
      <c r="A620" s="57" t="s">
        <v>138</v>
      </c>
      <c r="B620" s="57" t="s">
        <v>143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:E621" si="936">CONCATENATE(,B620," ",C620)</f>
        <v>MAGGIO 2025</v>
      </c>
      <c r="F620" s="57" t="str">
        <f t="shared" ref="F620:F621" si="937">CONCATENATE(D620," ",E620)</f>
        <v>5 MAGGIO 2025</v>
      </c>
      <c r="G620" s="59">
        <v>12.5</v>
      </c>
      <c r="H620" s="1338" t="s">
        <v>69</v>
      </c>
      <c r="I620" s="960"/>
      <c r="J620" s="59"/>
      <c r="K620" s="59"/>
    </row>
    <row r="621" spans="1:11" x14ac:dyDescent="0.25">
      <c r="A621" s="57" t="s">
        <v>858</v>
      </c>
      <c r="B621" s="57" t="s">
        <v>143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si="936"/>
        <v>MAGGIO 2025</v>
      </c>
      <c r="F621" s="57" t="str">
        <f t="shared" si="937"/>
        <v>5 MAGGIO 2025</v>
      </c>
      <c r="G621" s="59">
        <v>7</v>
      </c>
      <c r="H621" s="1338" t="s">
        <v>69</v>
      </c>
      <c r="I621" s="960"/>
      <c r="J621" s="59"/>
      <c r="K621" s="59"/>
    </row>
    <row r="622" spans="1:11" x14ac:dyDescent="0.25">
      <c r="A622" s="57" t="s">
        <v>858</v>
      </c>
      <c r="B622" s="57" t="s">
        <v>143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38">CONCATENATE(,B622," ",C622)</f>
        <v>MAGGIO 2025</v>
      </c>
      <c r="F622" s="57" t="str">
        <f t="shared" ref="F622" si="939">CONCATENATE(D622," ",E622)</f>
        <v>5 MAGGIO 2025</v>
      </c>
      <c r="G622" s="59">
        <v>33</v>
      </c>
      <c r="H622" s="1338" t="s">
        <v>69</v>
      </c>
      <c r="I622" s="960"/>
      <c r="J622" s="59"/>
      <c r="K622" s="59"/>
    </row>
    <row r="623" spans="1:11" x14ac:dyDescent="0.25">
      <c r="A623" s="57" t="s">
        <v>67</v>
      </c>
      <c r="B623" s="57" t="s">
        <v>143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" si="940">CONCATENATE(,B623," ",C623)</f>
        <v>MAGGIO 2025</v>
      </c>
      <c r="F623" s="57" t="str">
        <f t="shared" ref="F623" si="941">CONCATENATE(D623," ",E623)</f>
        <v>5 MAGGIO 2025</v>
      </c>
      <c r="G623" s="59">
        <v>6.5</v>
      </c>
      <c r="H623" s="1338" t="s">
        <v>776</v>
      </c>
      <c r="I623" s="960"/>
      <c r="J623" s="59"/>
      <c r="K623" s="59"/>
    </row>
    <row r="624" spans="1:11" x14ac:dyDescent="0.25">
      <c r="A624" s="57" t="s">
        <v>121</v>
      </c>
      <c r="B624" s="57" t="s">
        <v>143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ref="E624" si="942">CONCATENATE(,B624," ",C624)</f>
        <v>MAGGIO 2025</v>
      </c>
      <c r="F624" s="57" t="str">
        <f t="shared" ref="F624" si="943">CONCATENATE(D624," ",E624)</f>
        <v>5 MAGGIO 2025</v>
      </c>
      <c r="G624" s="59">
        <v>0.4</v>
      </c>
      <c r="H624" s="1338" t="s">
        <v>777</v>
      </c>
      <c r="I624" s="960"/>
      <c r="J624" s="59"/>
      <c r="K624" s="59"/>
    </row>
    <row r="625" spans="1:11" ht="18.600000000000001" customHeight="1" x14ac:dyDescent="0.25">
      <c r="A625" s="57" t="s">
        <v>121</v>
      </c>
      <c r="B625" s="57" t="s">
        <v>143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" si="944">CONCATENATE(,B625," ",C625)</f>
        <v>MAGGIO 2025</v>
      </c>
      <c r="F625" s="57" t="str">
        <f t="shared" ref="F625" si="945">CONCATENATE(D625," ",E625)</f>
        <v>5 MAGGIO 2025</v>
      </c>
      <c r="G625" s="59">
        <v>0.4</v>
      </c>
      <c r="H625" s="1338" t="s">
        <v>777</v>
      </c>
      <c r="I625" s="960"/>
      <c r="J625" s="59"/>
      <c r="K625" s="59"/>
    </row>
    <row r="626" spans="1:11" x14ac:dyDescent="0.25">
      <c r="A626" s="57" t="s">
        <v>121</v>
      </c>
      <c r="B626" s="57" t="s">
        <v>143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59">
        <v>0.4</v>
      </c>
      <c r="H626" s="1338" t="s">
        <v>777</v>
      </c>
      <c r="I626" s="960"/>
      <c r="J626" s="59"/>
      <c r="K626" s="59"/>
    </row>
    <row r="627" spans="1:11" ht="18.600000000000001" customHeight="1" x14ac:dyDescent="0.25">
      <c r="A627" s="57" t="s">
        <v>121</v>
      </c>
      <c r="B627" s="57" t="s">
        <v>143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48">CONCATENATE(,B627," ",C627)</f>
        <v>MAGGIO 2025</v>
      </c>
      <c r="F627" s="57" t="str">
        <f t="shared" ref="F627" si="949">CONCATENATE(D627," ",E627)</f>
        <v>5 MAGGIO 2025</v>
      </c>
      <c r="G627" s="59">
        <v>0.4</v>
      </c>
      <c r="H627" s="1338" t="s">
        <v>777</v>
      </c>
      <c r="I627" s="960"/>
      <c r="J627" s="59"/>
      <c r="K627" s="59"/>
    </row>
    <row r="628" spans="1:11" ht="18.600000000000001" customHeight="1" x14ac:dyDescent="0.25">
      <c r="A628" s="57" t="s">
        <v>67</v>
      </c>
      <c r="B628" s="57" t="s">
        <v>143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0">CONCATENATE(,B628," ",C628)</f>
        <v>MAGGIO 2025</v>
      </c>
      <c r="F628" s="57" t="str">
        <f t="shared" ref="F628" si="951">CONCATENATE(D628," ",E628)</f>
        <v>5 MAGGIO 2025</v>
      </c>
      <c r="G628" s="59">
        <v>4.2</v>
      </c>
      <c r="H628" s="1338" t="s">
        <v>69</v>
      </c>
      <c r="I628" s="960"/>
      <c r="J628" s="59"/>
      <c r="K628" s="59"/>
    </row>
    <row r="629" spans="1:11" ht="16.5" customHeight="1" x14ac:dyDescent="0.25">
      <c r="A629" s="57" t="s">
        <v>83</v>
      </c>
      <c r="B629" s="57" t="s">
        <v>143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52">CONCATENATE(,B629," ",C629)</f>
        <v>MAGGIO 2025</v>
      </c>
      <c r="F629" s="57" t="str">
        <f t="shared" ref="F629" si="953">CONCATENATE(D629," ",E629)</f>
        <v>5 MAGGIO 2025</v>
      </c>
      <c r="G629" s="59">
        <v>17.71</v>
      </c>
      <c r="H629" s="1338" t="s">
        <v>77</v>
      </c>
      <c r="I629" s="960"/>
      <c r="J629" s="59"/>
      <c r="K629" s="59"/>
    </row>
    <row r="630" spans="1:11" ht="18.600000000000001" customHeight="1" x14ac:dyDescent="0.25">
      <c r="A630" s="57" t="s">
        <v>138</v>
      </c>
      <c r="B630" s="57" t="s">
        <v>143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4">CONCATENATE(,B630," ",C630)</f>
        <v>MAGGIO 2025</v>
      </c>
      <c r="F630" s="57" t="str">
        <f t="shared" ref="F630" si="955">CONCATENATE(D630," ",E630)</f>
        <v>5 MAGGIO 2025</v>
      </c>
      <c r="G630" s="59">
        <v>18</v>
      </c>
      <c r="H630" s="1338" t="s">
        <v>69</v>
      </c>
      <c r="I630" s="960"/>
      <c r="J630" s="59"/>
      <c r="K630" s="59"/>
    </row>
    <row r="631" spans="1:11" ht="16.5" customHeight="1" x14ac:dyDescent="0.25">
      <c r="A631" s="57" t="s">
        <v>182</v>
      </c>
      <c r="B631" s="57" t="s">
        <v>143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" si="956">CONCATENATE(,B631," ",C631)</f>
        <v>MAGGIO 2025</v>
      </c>
      <c r="F631" s="57" t="str">
        <f t="shared" ref="F631" si="957">CONCATENATE(D631," ",E631)</f>
        <v>5 MAGGIO 2025</v>
      </c>
      <c r="G631" s="59">
        <v>46</v>
      </c>
      <c r="H631" s="1338" t="s">
        <v>69</v>
      </c>
      <c r="I631" s="960"/>
      <c r="J631" s="59"/>
      <c r="K631" s="59"/>
    </row>
    <row r="632" spans="1:11" ht="16.5" customHeight="1" x14ac:dyDescent="0.25">
      <c r="A632" s="57" t="s">
        <v>856</v>
      </c>
      <c r="B632" s="57" t="s">
        <v>143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ref="E632:E633" si="958">CONCATENATE(,B632," ",C632)</f>
        <v>MAGGIO 2025</v>
      </c>
      <c r="F632" s="57" t="str">
        <f t="shared" ref="F632:F633" si="959">CONCATENATE(D632," ",E632)</f>
        <v>5 MAGGIO 2025</v>
      </c>
      <c r="G632" s="59">
        <v>30</v>
      </c>
      <c r="H632" s="1338" t="s">
        <v>70</v>
      </c>
      <c r="I632" s="960"/>
      <c r="J632" s="59"/>
      <c r="K632" s="59" t="s">
        <v>857</v>
      </c>
    </row>
    <row r="633" spans="1:11" ht="18.600000000000001" customHeight="1" x14ac:dyDescent="0.25">
      <c r="A633" s="57" t="s">
        <v>67</v>
      </c>
      <c r="B633" s="57" t="s">
        <v>143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si="958"/>
        <v>MAGGIO 2025</v>
      </c>
      <c r="F633" s="57" t="str">
        <f t="shared" si="959"/>
        <v>5 MAGGIO 2025</v>
      </c>
      <c r="G633" s="59">
        <v>6.5</v>
      </c>
      <c r="H633" s="1338" t="s">
        <v>776</v>
      </c>
      <c r="I633" s="960"/>
      <c r="J633" s="59"/>
      <c r="K633" s="59"/>
    </row>
    <row r="634" spans="1:11" x14ac:dyDescent="0.25">
      <c r="A634" s="57" t="s">
        <v>108</v>
      </c>
      <c r="B634" s="57" t="s">
        <v>143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" si="960">CONCATENATE(,B634," ",C634)</f>
        <v>MAGGIO 2025</v>
      </c>
      <c r="F634" s="57" t="str">
        <f t="shared" ref="F634" si="961">CONCATENATE(D634," ",E634)</f>
        <v>5 MAGGIO 2025</v>
      </c>
      <c r="G634" s="59">
        <v>42.49</v>
      </c>
      <c r="H634" s="1338" t="s">
        <v>75</v>
      </c>
      <c r="I634" s="960"/>
      <c r="J634" s="57" t="s">
        <v>108</v>
      </c>
      <c r="K634" s="59"/>
    </row>
    <row r="635" spans="1:11" x14ac:dyDescent="0.25">
      <c r="A635" s="57" t="s">
        <v>108</v>
      </c>
      <c r="B635" s="57" t="s">
        <v>143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ref="E635" si="962">CONCATENATE(,B635," ",C635)</f>
        <v>MAGGIO 2025</v>
      </c>
      <c r="F635" s="57" t="str">
        <f t="shared" ref="F635" si="963">CONCATENATE(D635," ",E635)</f>
        <v>5 MAGGIO 2025</v>
      </c>
      <c r="G635" s="59">
        <v>18.989999999999998</v>
      </c>
      <c r="H635" s="1338" t="s">
        <v>137</v>
      </c>
      <c r="I635" s="960"/>
      <c r="J635" s="57" t="s">
        <v>108</v>
      </c>
      <c r="K635" s="59"/>
    </row>
    <row r="636" spans="1:11" x14ac:dyDescent="0.25">
      <c r="A636" s="57" t="s">
        <v>67</v>
      </c>
      <c r="B636" s="57" t="s">
        <v>143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" si="964">CONCATENATE(,B636," ",C636)</f>
        <v>MAGGIO 2025</v>
      </c>
      <c r="F636" s="57" t="str">
        <f t="shared" ref="F636" si="965">CONCATENATE(D636," ",E636)</f>
        <v>5 MAGGIO 2025</v>
      </c>
      <c r="G636" s="59">
        <v>4.2</v>
      </c>
      <c r="H636" s="1338" t="s">
        <v>69</v>
      </c>
      <c r="I636" s="960"/>
      <c r="J636" s="59"/>
      <c r="K636" s="59"/>
    </row>
    <row r="637" spans="1:11" x14ac:dyDescent="0.25">
      <c r="A637" s="57" t="s">
        <v>122</v>
      </c>
      <c r="B637" s="57" t="s">
        <v>143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ref="E637" si="966">CONCATENATE(,B637," ",C637)</f>
        <v>MAGGIO 2025</v>
      </c>
      <c r="F637" s="57" t="str">
        <f t="shared" ref="F637" si="967">CONCATENATE(D637," ",E637)</f>
        <v>5 MAGGIO 2025</v>
      </c>
      <c r="G637" s="59">
        <v>12.75</v>
      </c>
      <c r="H637" s="1338" t="s">
        <v>77</v>
      </c>
      <c r="I637" s="960"/>
      <c r="J637" s="59"/>
      <c r="K637" s="59"/>
    </row>
    <row r="638" spans="1:11" x14ac:dyDescent="0.25">
      <c r="A638" s="57" t="s">
        <v>998</v>
      </c>
      <c r="B638" s="57" t="s">
        <v>143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8">CONCATENATE(,B638," ",C638)</f>
        <v>MAGGIO 2025</v>
      </c>
      <c r="F638" s="57" t="str">
        <f t="shared" ref="F638" si="969">CONCATENATE(D638," ",E638)</f>
        <v>5 MAGGIO 2025</v>
      </c>
      <c r="G638" s="59">
        <v>38.19</v>
      </c>
      <c r="H638" s="1338" t="s">
        <v>70</v>
      </c>
      <c r="I638" s="960" t="s">
        <v>989</v>
      </c>
      <c r="J638" s="59" t="s">
        <v>768</v>
      </c>
      <c r="K638" s="59" t="s">
        <v>1013</v>
      </c>
    </row>
    <row r="639" spans="1:11" x14ac:dyDescent="0.25">
      <c r="A639" s="57" t="s">
        <v>999</v>
      </c>
      <c r="B639" s="57" t="s">
        <v>143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70">CONCATENATE(,B639," ",C639)</f>
        <v>MAGGIO 2025</v>
      </c>
      <c r="F639" s="57" t="str">
        <f t="shared" ref="F639" si="971">CONCATENATE(D639," ",E639)</f>
        <v>5 MAGGIO 2025</v>
      </c>
      <c r="G639" s="59">
        <v>40.98</v>
      </c>
      <c r="H639" s="1338" t="s">
        <v>137</v>
      </c>
      <c r="I639" s="960"/>
      <c r="J639" s="59" t="s">
        <v>768</v>
      </c>
      <c r="K639" s="59"/>
    </row>
    <row r="640" spans="1:11" x14ac:dyDescent="0.25">
      <c r="A640" s="57" t="s">
        <v>289</v>
      </c>
      <c r="B640" s="57" t="s">
        <v>143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:E641" si="972">CONCATENATE(,B640," ",C640)</f>
        <v>MAGGIO 2025</v>
      </c>
      <c r="F640" s="57" t="str">
        <f t="shared" ref="F640:F641" si="973">CONCATENATE(D640," ",E640)</f>
        <v>5 MAGGIO 2025</v>
      </c>
      <c r="G640" s="59">
        <v>77.72</v>
      </c>
      <c r="H640" s="1338" t="s">
        <v>91</v>
      </c>
      <c r="I640" s="960" t="s">
        <v>989</v>
      </c>
      <c r="J640" s="59" t="s">
        <v>768</v>
      </c>
      <c r="K640" s="59" t="s">
        <v>1012</v>
      </c>
    </row>
    <row r="641" spans="1:11" x14ac:dyDescent="0.25">
      <c r="A641" s="57" t="s">
        <v>1000</v>
      </c>
      <c r="B641" s="57" t="s">
        <v>143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si="972"/>
        <v>MAGGIO 2025</v>
      </c>
      <c r="F641" s="57" t="str">
        <f t="shared" si="973"/>
        <v>5 MAGGIO 2025</v>
      </c>
      <c r="G641" s="59">
        <v>30.66</v>
      </c>
      <c r="H641" s="1338" t="s">
        <v>93</v>
      </c>
      <c r="I641" s="960" t="s">
        <v>989</v>
      </c>
      <c r="J641" s="59" t="s">
        <v>768</v>
      </c>
      <c r="K641" s="59" t="s">
        <v>839</v>
      </c>
    </row>
    <row r="642" spans="1:11" x14ac:dyDescent="0.25">
      <c r="A642" s="57" t="s">
        <v>1000</v>
      </c>
      <c r="B642" s="57" t="s">
        <v>143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4">CONCATENATE(,B642," ",C642)</f>
        <v>MAGGIO 2025</v>
      </c>
      <c r="F642" s="57" t="str">
        <f t="shared" ref="F642" si="975">CONCATENATE(D642," ",E642)</f>
        <v>5 MAGGIO 2025</v>
      </c>
      <c r="G642" s="59">
        <v>30.67</v>
      </c>
      <c r="H642" s="1338" t="s">
        <v>93</v>
      </c>
      <c r="I642" s="960" t="s">
        <v>988</v>
      </c>
      <c r="J642" s="59" t="s">
        <v>768</v>
      </c>
      <c r="K642" s="59" t="s">
        <v>839</v>
      </c>
    </row>
    <row r="643" spans="1:11" x14ac:dyDescent="0.25">
      <c r="A643" s="57" t="s">
        <v>79</v>
      </c>
      <c r="B643" s="57" t="s">
        <v>143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6">CONCATENATE(,B643," ",C643)</f>
        <v>MAGGIO 2025</v>
      </c>
      <c r="F643" s="57" t="str">
        <f t="shared" ref="F643" si="977">CONCATENATE(D643," ",E643)</f>
        <v>5 MAGGIO 2025</v>
      </c>
      <c r="G643" s="59">
        <v>39.97</v>
      </c>
      <c r="H643" s="1338" t="s">
        <v>81</v>
      </c>
      <c r="I643" s="960"/>
      <c r="J643" s="59"/>
      <c r="K643" s="59"/>
    </row>
    <row r="644" spans="1:11" x14ac:dyDescent="0.25">
      <c r="A644" s="57" t="s">
        <v>193</v>
      </c>
      <c r="B644" s="57" t="s">
        <v>143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8">CONCATENATE(,B644," ",C644)</f>
        <v>MAGGIO 2025</v>
      </c>
      <c r="F644" s="57" t="str">
        <f t="shared" ref="F644" si="979">CONCATENATE(D644," ",E644)</f>
        <v>5 MAGGIO 2025</v>
      </c>
      <c r="G644" s="59">
        <v>50.3</v>
      </c>
      <c r="H644" s="1338" t="s">
        <v>93</v>
      </c>
      <c r="I644" s="960"/>
      <c r="J644" s="59"/>
      <c r="K644" s="59" t="s">
        <v>156</v>
      </c>
    </row>
    <row r="645" spans="1:11" x14ac:dyDescent="0.25">
      <c r="A645" s="57" t="s">
        <v>329</v>
      </c>
      <c r="B645" s="57" t="s">
        <v>143</v>
      </c>
      <c r="C645" s="57">
        <v>2025</v>
      </c>
      <c r="D645" s="58">
        <f>MATCH(B645,{"GENNAIO","FEBBRAIO","MARZO","APRILE","MAGGIO","GIUGNO","LUGLIO","AGOSTO","SETTEMBRE","OTTOBRE","NOVEMBRE","DICEMBRE"},0)</f>
        <v>5</v>
      </c>
      <c r="E645" s="57" t="str">
        <f t="shared" ref="E645:E646" si="980">CONCATENATE(,B645," ",C645)</f>
        <v>MAGGIO 2025</v>
      </c>
      <c r="F645" s="57" t="str">
        <f t="shared" ref="F645:F646" si="981">CONCATENATE(D645," ",E645)</f>
        <v>5 MAGGIO 2025</v>
      </c>
      <c r="G645" s="59">
        <v>53.33</v>
      </c>
      <c r="H645" s="1338" t="s">
        <v>137</v>
      </c>
      <c r="I645" s="960"/>
      <c r="J645" s="59"/>
      <c r="K645" s="59"/>
    </row>
    <row r="646" spans="1:11" ht="18.600000000000001" customHeight="1" x14ac:dyDescent="0.25">
      <c r="A646" s="57" t="s">
        <v>1172</v>
      </c>
      <c r="B646" s="57" t="s">
        <v>143</v>
      </c>
      <c r="C646" s="57">
        <v>2025</v>
      </c>
      <c r="D646" s="58">
        <f>MATCH(B646,{"GENNAIO","FEBBRAIO","MARZO","APRILE","MAGGIO","GIUGNO","LUGLIO","AGOSTO","SETTEMBRE","OTTOBRE","NOVEMBRE","DICEMBRE"},0)</f>
        <v>5</v>
      </c>
      <c r="E646" s="57" t="str">
        <f t="shared" si="980"/>
        <v>MAGGIO 2025</v>
      </c>
      <c r="F646" s="57" t="str">
        <f t="shared" si="981"/>
        <v>5 MAGGIO 2025</v>
      </c>
      <c r="G646" s="59">
        <v>-25.82</v>
      </c>
      <c r="H646" s="1338" t="s">
        <v>1042</v>
      </c>
      <c r="I646" s="960"/>
      <c r="J646" s="59"/>
      <c r="K646" s="59" t="s">
        <v>853</v>
      </c>
    </row>
    <row r="647" spans="1:11" ht="16.5" customHeight="1" x14ac:dyDescent="0.25">
      <c r="A647" s="57" t="s">
        <v>154</v>
      </c>
      <c r="B647" s="57" t="s">
        <v>143</v>
      </c>
      <c r="C647" s="57">
        <v>2025</v>
      </c>
      <c r="D647" s="58">
        <f>MATCH(B647,{"GENNAIO","FEBBRAIO","MARZO","APRILE","MAGGIO","GIUGNO","LUGLIO","AGOSTO","SETTEMBRE","OTTOBRE","NOVEMBRE","DICEMBRE"},0)</f>
        <v>5</v>
      </c>
      <c r="E647" s="57" t="str">
        <f t="shared" ref="E647" si="982">CONCATENATE(,B647," ",C647)</f>
        <v>MAGGIO 2025</v>
      </c>
      <c r="F647" s="57" t="str">
        <f t="shared" ref="F647" si="983">CONCATENATE(D647," ",E647)</f>
        <v>5 MAGGIO 2025</v>
      </c>
      <c r="G647" s="59">
        <v>8</v>
      </c>
      <c r="H647" s="1338" t="s">
        <v>81</v>
      </c>
      <c r="I647" s="960"/>
      <c r="J647" s="59"/>
      <c r="K647" s="59"/>
    </row>
    <row r="648" spans="1:11" ht="16.5" customHeight="1" x14ac:dyDescent="0.25">
      <c r="A648" s="57" t="s">
        <v>83</v>
      </c>
      <c r="B648" s="57" t="s">
        <v>143</v>
      </c>
      <c r="C648" s="57">
        <v>2025</v>
      </c>
      <c r="D648" s="58">
        <f>MATCH(B648,{"GENNAIO","FEBBRAIO","MARZO","APRILE","MAGGIO","GIUGNO","LUGLIO","AGOSTO","SETTEMBRE","OTTOBRE","NOVEMBRE","DICEMBRE"},0)</f>
        <v>5</v>
      </c>
      <c r="E648" s="57" t="str">
        <f t="shared" ref="E648" si="984">CONCATENATE(,B648," ",C648)</f>
        <v>MAGGIO 2025</v>
      </c>
      <c r="F648" s="57" t="str">
        <f t="shared" ref="F648" si="985">CONCATENATE(D648," ",E648)</f>
        <v>5 MAGGIO 2025</v>
      </c>
      <c r="G648" s="59">
        <v>53.4</v>
      </c>
      <c r="H648" s="1338" t="s">
        <v>77</v>
      </c>
      <c r="I648" s="960"/>
      <c r="J648" s="59"/>
      <c r="K648" s="59"/>
    </row>
    <row r="649" spans="1:11" ht="18.600000000000001" customHeight="1" x14ac:dyDescent="0.25">
      <c r="A649" s="57" t="s">
        <v>109</v>
      </c>
      <c r="B649" s="57" t="s">
        <v>143</v>
      </c>
      <c r="C649" s="57">
        <v>2025</v>
      </c>
      <c r="D649" s="58">
        <f>MATCH(B649,{"GENNAIO","FEBBRAIO","MARZO","APRILE","MAGGIO","GIUGNO","LUGLIO","AGOSTO","SETTEMBRE","OTTOBRE","NOVEMBRE","DICEMBRE"},0)</f>
        <v>5</v>
      </c>
      <c r="E649" s="57" t="str">
        <f t="shared" ref="E649" si="986">CONCATENATE(,B649," ",C649)</f>
        <v>MAGGIO 2025</v>
      </c>
      <c r="F649" s="57" t="str">
        <f t="shared" ref="F649" si="987">CONCATENATE(D649," ",E649)</f>
        <v>5 MAGGIO 2025</v>
      </c>
      <c r="G649" s="59">
        <v>19</v>
      </c>
      <c r="H649" s="1338" t="s">
        <v>69</v>
      </c>
      <c r="I649" s="960"/>
      <c r="J649" s="59"/>
      <c r="K649" s="59"/>
    </row>
    <row r="650" spans="1:11" ht="18.600000000000001" customHeight="1" x14ac:dyDescent="0.25">
      <c r="A650" s="57" t="s">
        <v>173</v>
      </c>
      <c r="B650" s="57" t="s">
        <v>143</v>
      </c>
      <c r="C650" s="57">
        <v>2025</v>
      </c>
      <c r="D650" s="58">
        <f>MATCH(B650,{"GENNAIO","FEBBRAIO","MARZO","APRILE","MAGGIO","GIUGNO","LUGLIO","AGOSTO","SETTEMBRE","OTTOBRE","NOVEMBRE","DICEMBRE"},0)</f>
        <v>5</v>
      </c>
      <c r="E650" s="57" t="str">
        <f t="shared" ref="E650" si="988">CONCATENATE(,B650," ",C650)</f>
        <v>MAGGIO 2025</v>
      </c>
      <c r="F650" s="57" t="str">
        <f t="shared" ref="F650" si="989">CONCATENATE(D650," ",E650)</f>
        <v>5 MAGGIO 2025</v>
      </c>
      <c r="G650" s="59">
        <v>25</v>
      </c>
      <c r="H650" s="1338" t="s">
        <v>91</v>
      </c>
      <c r="I650" s="960"/>
      <c r="J650" s="59" t="s">
        <v>173</v>
      </c>
      <c r="K650" s="59" t="s">
        <v>1012</v>
      </c>
    </row>
    <row r="651" spans="1:11" x14ac:dyDescent="0.25">
      <c r="A651" s="57" t="s">
        <v>108</v>
      </c>
      <c r="B651" s="57" t="s">
        <v>143</v>
      </c>
      <c r="C651" s="57">
        <v>2025</v>
      </c>
      <c r="D651" s="58">
        <f>MATCH(B651,{"GENNAIO","FEBBRAIO","MARZO","APRILE","MAGGIO","GIUGNO","LUGLIO","AGOSTO","SETTEMBRE","OTTOBRE","NOVEMBRE","DICEMBRE"},0)</f>
        <v>5</v>
      </c>
      <c r="E651" s="57" t="str">
        <f t="shared" ref="E651" si="990">CONCATENATE(,B651," ",C651)</f>
        <v>MAGGIO 2025</v>
      </c>
      <c r="F651" s="57" t="str">
        <f t="shared" ref="F651" si="991">CONCATENATE(D651," ",E651)</f>
        <v>5 MAGGIO 2025</v>
      </c>
      <c r="G651" s="59">
        <v>15.39</v>
      </c>
      <c r="H651" s="1338" t="s">
        <v>75</v>
      </c>
      <c r="I651" s="960" t="s">
        <v>1043</v>
      </c>
      <c r="J651" s="57" t="s">
        <v>108</v>
      </c>
      <c r="K651" s="59" t="s">
        <v>1031</v>
      </c>
    </row>
    <row r="652" spans="1:11" x14ac:dyDescent="0.25">
      <c r="A652" s="57" t="s">
        <v>849</v>
      </c>
      <c r="B652" s="57" t="s">
        <v>143</v>
      </c>
      <c r="C652" s="57">
        <v>2025</v>
      </c>
      <c r="D652" s="58">
        <f>MATCH(B652,{"GENNAIO","FEBBRAIO","MARZO","APRILE","MAGGIO","GIUGNO","LUGLIO","AGOSTO","SETTEMBRE","OTTOBRE","NOVEMBRE","DICEMBRE"},0)</f>
        <v>5</v>
      </c>
      <c r="E652" s="57" t="str">
        <f t="shared" ref="E652" si="992">CONCATENATE(,B652," ",C652)</f>
        <v>MAGGIO 2025</v>
      </c>
      <c r="F652" s="57" t="str">
        <f t="shared" ref="F652" si="993">CONCATENATE(D652," ",E652)</f>
        <v>5 MAGGIO 2025</v>
      </c>
      <c r="G652" s="59">
        <v>18</v>
      </c>
      <c r="H652" s="1338" t="s">
        <v>69</v>
      </c>
      <c r="I652" s="960"/>
      <c r="J652" s="59"/>
      <c r="K652" s="59"/>
    </row>
    <row r="653" spans="1:11" x14ac:dyDescent="0.25">
      <c r="A653" s="57" t="s">
        <v>67</v>
      </c>
      <c r="B653" s="57" t="s">
        <v>143</v>
      </c>
      <c r="C653" s="57">
        <v>2025</v>
      </c>
      <c r="D653" s="58">
        <f>MATCH(B653,{"GENNAIO","FEBBRAIO","MARZO","APRILE","MAGGIO","GIUGNO","LUGLIO","AGOSTO","SETTEMBRE","OTTOBRE","NOVEMBRE","DICEMBRE"},0)</f>
        <v>5</v>
      </c>
      <c r="E653" s="57" t="str">
        <f t="shared" ref="E653" si="994">CONCATENATE(,B653," ",C653)</f>
        <v>MAGGIO 2025</v>
      </c>
      <c r="F653" s="57" t="str">
        <f t="shared" ref="F653" si="995">CONCATENATE(D653," ",E653)</f>
        <v>5 MAGGIO 2025</v>
      </c>
      <c r="G653" s="59">
        <v>15</v>
      </c>
      <c r="H653" s="1338" t="s">
        <v>69</v>
      </c>
      <c r="I653" s="960"/>
      <c r="J653" s="59"/>
      <c r="K653" s="59"/>
    </row>
    <row r="654" spans="1:11" x14ac:dyDescent="0.25">
      <c r="A654" s="57" t="s">
        <v>845</v>
      </c>
      <c r="B654" s="57" t="s">
        <v>159</v>
      </c>
      <c r="C654" s="57">
        <v>2025</v>
      </c>
      <c r="D654" s="58">
        <f>MATCH(B654,{"GENNAIO","FEBBRAIO","MARZO","APRILE","MAGGIO","GIUGNO","LUGLIO","AGOSTO","SETTEMBRE","OTTOBRE","NOVEMBRE","DICEMBRE"},0)</f>
        <v>4</v>
      </c>
      <c r="E654" s="57" t="str">
        <f t="shared" ref="E654" si="996">CONCATENATE(,B654," ",C654)</f>
        <v>APRILE 2025</v>
      </c>
      <c r="F654" s="57" t="str">
        <f t="shared" ref="F654" si="997">CONCATENATE(D654," ",E654)</f>
        <v>4 APRILE 2025</v>
      </c>
      <c r="G654" s="59">
        <v>-0.19</v>
      </c>
      <c r="H654" s="1338" t="s">
        <v>1042</v>
      </c>
      <c r="I654" s="960"/>
      <c r="J654" s="59"/>
      <c r="K654" s="59" t="s">
        <v>846</v>
      </c>
    </row>
    <row r="655" spans="1:11" x14ac:dyDescent="0.25">
      <c r="A655" s="57" t="s">
        <v>844</v>
      </c>
      <c r="B655" s="57" t="s">
        <v>159</v>
      </c>
      <c r="C655" s="57">
        <v>2025</v>
      </c>
      <c r="D655" s="58">
        <f>MATCH(B655,{"GENNAIO","FEBBRAIO","MARZO","APRILE","MAGGIO","GIUGNO","LUGLIO","AGOSTO","SETTEMBRE","OTTOBRE","NOVEMBRE","DICEMBRE"},0)</f>
        <v>4</v>
      </c>
      <c r="E655" s="57" t="str">
        <f t="shared" ref="E655" si="998">CONCATENATE(,B655," ",C655)</f>
        <v>APRILE 2025</v>
      </c>
      <c r="F655" s="57" t="str">
        <f t="shared" ref="F655" si="999">CONCATENATE(D655," ",E655)</f>
        <v>4 APRILE 2025</v>
      </c>
      <c r="G655" s="59">
        <v>56</v>
      </c>
      <c r="H655" s="1338" t="s">
        <v>69</v>
      </c>
      <c r="I655" s="960"/>
      <c r="J655" s="59"/>
      <c r="K655" s="59" t="s">
        <v>1012</v>
      </c>
    </row>
    <row r="656" spans="1:11" x14ac:dyDescent="0.25">
      <c r="A656" s="57" t="s">
        <v>843</v>
      </c>
      <c r="B656" s="57" t="s">
        <v>159</v>
      </c>
      <c r="C656" s="57">
        <v>2025</v>
      </c>
      <c r="D656" s="58">
        <f>MATCH(B656,{"GENNAIO","FEBBRAIO","MARZO","APRILE","MAGGIO","GIUGNO","LUGLIO","AGOSTO","SETTEMBRE","OTTOBRE","NOVEMBRE","DICEMBRE"},0)</f>
        <v>4</v>
      </c>
      <c r="E656" s="57" t="str">
        <f t="shared" ref="E656" si="1000">CONCATENATE(,B656," ",C656)</f>
        <v>APRILE 2025</v>
      </c>
      <c r="F656" s="57" t="str">
        <f t="shared" ref="F656" si="1001">CONCATENATE(D656," ",E656)</f>
        <v>4 APRILE 2025</v>
      </c>
      <c r="G656" s="59">
        <v>63.2</v>
      </c>
      <c r="H656" s="1338" t="s">
        <v>69</v>
      </c>
      <c r="I656" s="960"/>
      <c r="J656" s="59"/>
      <c r="K656" s="59" t="s">
        <v>1012</v>
      </c>
    </row>
    <row r="657" spans="1:11" ht="18.600000000000001" customHeight="1" x14ac:dyDescent="0.25">
      <c r="A657" s="57" t="s">
        <v>67</v>
      </c>
      <c r="B657" s="57" t="s">
        <v>159</v>
      </c>
      <c r="C657" s="57">
        <v>2025</v>
      </c>
      <c r="D657" s="58">
        <f>MATCH(B657,{"GENNAIO","FEBBRAIO","MARZO","APRILE","MAGGIO","GIUGNO","LUGLIO","AGOSTO","SETTEMBRE","OTTOBRE","NOVEMBRE","DICEMBRE"},0)</f>
        <v>4</v>
      </c>
      <c r="E657" s="57" t="str">
        <f t="shared" ref="E657" si="1002">CONCATENATE(,B657," ",C657)</f>
        <v>APRILE 2025</v>
      </c>
      <c r="F657" s="57" t="str">
        <f t="shared" ref="F657" si="1003">CONCATENATE(D657," ",E657)</f>
        <v>4 APRILE 2025</v>
      </c>
      <c r="G657" s="59">
        <v>11</v>
      </c>
      <c r="H657" s="1338" t="s">
        <v>69</v>
      </c>
      <c r="I657" s="960"/>
      <c r="J657" s="59"/>
      <c r="K657" s="59"/>
    </row>
    <row r="658" spans="1:11" ht="18.600000000000001" customHeight="1" x14ac:dyDescent="0.25">
      <c r="A658" s="57" t="s">
        <v>67</v>
      </c>
      <c r="B658" s="57" t="s">
        <v>159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ref="E658" si="1004">CONCATENATE(,B658," ",C658)</f>
        <v>APRILE 2025</v>
      </c>
      <c r="F658" s="57" t="str">
        <f t="shared" ref="F658" si="1005">CONCATENATE(D658," ",E658)</f>
        <v>4 APRILE 2025</v>
      </c>
      <c r="G658" s="59">
        <v>6.5</v>
      </c>
      <c r="H658" s="1338" t="s">
        <v>776</v>
      </c>
      <c r="I658" s="960"/>
      <c r="J658" s="59"/>
      <c r="K658" s="59"/>
    </row>
    <row r="659" spans="1:11" ht="18.600000000000001" customHeight="1" x14ac:dyDescent="0.25">
      <c r="A659" s="57" t="s">
        <v>190</v>
      </c>
      <c r="B659" s="57" t="s">
        <v>159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" si="1006">CONCATENATE(,B659," ",C659)</f>
        <v>APRILE 2025</v>
      </c>
      <c r="F659" s="57" t="str">
        <f t="shared" ref="F659" si="1007">CONCATENATE(D659," ",E659)</f>
        <v>4 APRILE 2025</v>
      </c>
      <c r="G659" s="59">
        <v>4</v>
      </c>
      <c r="H659" s="1338" t="s">
        <v>93</v>
      </c>
      <c r="I659" s="960"/>
      <c r="J659" s="59"/>
      <c r="K659" s="59" t="s">
        <v>840</v>
      </c>
    </row>
    <row r="660" spans="1:11" ht="18.600000000000001" customHeight="1" x14ac:dyDescent="0.25">
      <c r="A660" s="57" t="s">
        <v>842</v>
      </c>
      <c r="B660" s="57" t="s">
        <v>159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ref="E660" si="1008">CONCATENATE(,B660," ",C660)</f>
        <v>APRILE 2025</v>
      </c>
      <c r="F660" s="57" t="str">
        <f t="shared" ref="F660" si="1009">CONCATENATE(D660," ",E660)</f>
        <v>4 APRILE 2025</v>
      </c>
      <c r="G660" s="59">
        <v>51</v>
      </c>
      <c r="H660" s="1338" t="s">
        <v>77</v>
      </c>
      <c r="I660" s="960"/>
      <c r="J660" s="59"/>
      <c r="K660" s="59"/>
    </row>
    <row r="661" spans="1:11" x14ac:dyDescent="0.25">
      <c r="A661" s="57" t="s">
        <v>138</v>
      </c>
      <c r="B661" s="57" t="s">
        <v>159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0">CONCATENATE(,B661," ",C661)</f>
        <v>APRILE 2025</v>
      </c>
      <c r="F661" s="57" t="str">
        <f t="shared" ref="F661" si="1011">CONCATENATE(D661," ",E661)</f>
        <v>4 APRILE 2025</v>
      </c>
      <c r="G661" s="59">
        <v>41</v>
      </c>
      <c r="H661" s="1338" t="s">
        <v>69</v>
      </c>
      <c r="I661" s="960"/>
      <c r="J661" s="59"/>
      <c r="K661" s="59"/>
    </row>
    <row r="662" spans="1:11" x14ac:dyDescent="0.25">
      <c r="A662" s="57" t="s">
        <v>76</v>
      </c>
      <c r="B662" s="57" t="s">
        <v>159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2">CONCATENATE(,B662," ",C662)</f>
        <v>APRILE 2025</v>
      </c>
      <c r="F662" s="57" t="str">
        <f t="shared" ref="F662" si="1013">CONCATENATE(D662," ",E662)</f>
        <v>4 APRILE 2025</v>
      </c>
      <c r="G662" s="59">
        <v>28.44</v>
      </c>
      <c r="H662" s="1338" t="s">
        <v>77</v>
      </c>
      <c r="I662" s="960"/>
      <c r="J662" s="59"/>
      <c r="K662" s="59"/>
    </row>
    <row r="663" spans="1:11" x14ac:dyDescent="0.25">
      <c r="A663" s="57" t="s">
        <v>83</v>
      </c>
      <c r="B663" s="57" t="s">
        <v>159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4">CONCATENATE(,B663," ",C663)</f>
        <v>APRILE 2025</v>
      </c>
      <c r="F663" s="57" t="str">
        <f t="shared" ref="F663" si="1015">CONCATENATE(D663," ",E663)</f>
        <v>4 APRILE 2025</v>
      </c>
      <c r="G663" s="59">
        <v>18.309999999999999</v>
      </c>
      <c r="H663" s="1338" t="s">
        <v>77</v>
      </c>
      <c r="I663" s="960"/>
      <c r="J663" s="59"/>
      <c r="K663" s="59"/>
    </row>
    <row r="664" spans="1:11" x14ac:dyDescent="0.25">
      <c r="A664" s="57" t="s">
        <v>171</v>
      </c>
      <c r="B664" s="57" t="s">
        <v>159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6">CONCATENATE(,B664," ",C664)</f>
        <v>APRILE 2025</v>
      </c>
      <c r="F664" s="57" t="str">
        <f t="shared" ref="F664" si="1017">CONCATENATE(D664," ",E664)</f>
        <v>4 APRILE 2025</v>
      </c>
      <c r="G664" s="59">
        <v>58.85</v>
      </c>
      <c r="H664" s="1338" t="s">
        <v>81</v>
      </c>
      <c r="I664" s="960"/>
      <c r="J664" s="59"/>
      <c r="K664" s="59"/>
    </row>
    <row r="665" spans="1:11" ht="16.5" customHeight="1" x14ac:dyDescent="0.25">
      <c r="A665" s="57" t="s">
        <v>67</v>
      </c>
      <c r="B665" s="57" t="s">
        <v>159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" si="1018">CONCATENATE(,B665," ",C665)</f>
        <v>APRILE 2025</v>
      </c>
      <c r="F665" s="57" t="str">
        <f t="shared" ref="F665" si="1019">CONCATENATE(D665," ",E665)</f>
        <v>4 APRILE 2025</v>
      </c>
      <c r="G665" s="59">
        <v>10.7</v>
      </c>
      <c r="H665" s="1338" t="s">
        <v>69</v>
      </c>
      <c r="I665" s="960"/>
      <c r="J665" s="59"/>
      <c r="K665" s="59"/>
    </row>
    <row r="666" spans="1:11" x14ac:dyDescent="0.25">
      <c r="A666" s="57" t="s">
        <v>121</v>
      </c>
      <c r="B666" s="57" t="s">
        <v>159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ref="E666:E667" si="1020">CONCATENATE(,B666," ",C666)</f>
        <v>APRILE 2025</v>
      </c>
      <c r="F666" s="57" t="str">
        <f t="shared" ref="F666:F667" si="1021">CONCATENATE(D666," ",E666)</f>
        <v>4 APRILE 2025</v>
      </c>
      <c r="G666" s="59">
        <v>0.4</v>
      </c>
      <c r="H666" s="1338" t="s">
        <v>777</v>
      </c>
      <c r="I666" s="960"/>
      <c r="J666" s="59"/>
      <c r="K666" s="59"/>
    </row>
    <row r="667" spans="1:11" x14ac:dyDescent="0.25">
      <c r="A667" s="57" t="s">
        <v>121</v>
      </c>
      <c r="B667" s="57" t="s">
        <v>159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si="1020"/>
        <v>APRILE 2025</v>
      </c>
      <c r="F667" s="57" t="str">
        <f t="shared" si="1021"/>
        <v>4 APRILE 2025</v>
      </c>
      <c r="G667" s="59">
        <v>0.4</v>
      </c>
      <c r="H667" s="1338" t="s">
        <v>777</v>
      </c>
      <c r="I667" s="960"/>
      <c r="J667" s="59"/>
      <c r="K667" s="59"/>
    </row>
    <row r="668" spans="1:11" x14ac:dyDescent="0.25">
      <c r="A668" s="57" t="s">
        <v>108</v>
      </c>
      <c r="B668" s="57" t="s">
        <v>159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ref="E668" si="1022">CONCATENATE(,B668," ",C668)</f>
        <v>APRILE 2025</v>
      </c>
      <c r="F668" s="57" t="str">
        <f t="shared" ref="F668" si="1023">CONCATENATE(D668," ",E668)</f>
        <v>4 APRILE 2025</v>
      </c>
      <c r="G668" s="59">
        <v>40.799999999999997</v>
      </c>
      <c r="H668" s="1338" t="s">
        <v>75</v>
      </c>
      <c r="I668" s="960"/>
      <c r="J668" s="57" t="s">
        <v>108</v>
      </c>
      <c r="K668" s="59"/>
    </row>
    <row r="669" spans="1:11" x14ac:dyDescent="0.25">
      <c r="A669" s="57" t="s">
        <v>121</v>
      </c>
      <c r="B669" s="57" t="s">
        <v>159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" si="1024">CONCATENATE(,B669," ",C669)</f>
        <v>APRILE 2025</v>
      </c>
      <c r="F669" s="57" t="str">
        <f t="shared" ref="F669" si="1025">CONCATENATE(D669," ",E669)</f>
        <v>4 APRILE 2025</v>
      </c>
      <c r="G669" s="59">
        <v>0.4</v>
      </c>
      <c r="H669" s="1338" t="s">
        <v>777</v>
      </c>
      <c r="I669" s="960"/>
      <c r="J669" s="59"/>
      <c r="K669" s="59"/>
    </row>
    <row r="670" spans="1:11" x14ac:dyDescent="0.25">
      <c r="A670" s="57" t="s">
        <v>121</v>
      </c>
      <c r="B670" s="57" t="s">
        <v>159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6">CONCATENATE(,B670," ",C670)</f>
        <v>APRILE 2025</v>
      </c>
      <c r="F670" s="57" t="str">
        <f t="shared" ref="F670" si="1027">CONCATENATE(D670," ",E670)</f>
        <v>4 APRILE 2025</v>
      </c>
      <c r="G670" s="59">
        <v>0.4</v>
      </c>
      <c r="H670" s="1338" t="s">
        <v>777</v>
      </c>
      <c r="I670" s="960"/>
      <c r="J670" s="59"/>
      <c r="K670" s="59"/>
    </row>
    <row r="671" spans="1:11" x14ac:dyDescent="0.25">
      <c r="A671" s="57" t="s">
        <v>78</v>
      </c>
      <c r="B671" s="57" t="s">
        <v>159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8">CONCATENATE(,B671," ",C671)</f>
        <v>APRILE 2025</v>
      </c>
      <c r="F671" s="57" t="str">
        <f t="shared" ref="F671" si="1029">CONCATENATE(D671," ",E671)</f>
        <v>4 APRILE 2025</v>
      </c>
      <c r="G671" s="59">
        <v>21.8</v>
      </c>
      <c r="H671" s="1338" t="s">
        <v>77</v>
      </c>
      <c r="I671" s="960"/>
      <c r="J671" s="59"/>
      <c r="K671" s="59"/>
    </row>
    <row r="672" spans="1:11" x14ac:dyDescent="0.25">
      <c r="A672" s="57" t="s">
        <v>67</v>
      </c>
      <c r="B672" s="57" t="s">
        <v>159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0">CONCATENATE(,B672," ",C672)</f>
        <v>APRILE 2025</v>
      </c>
      <c r="F672" s="57" t="str">
        <f t="shared" ref="F672" si="1031">CONCATENATE(D672," ",E672)</f>
        <v>4 APRILE 2025</v>
      </c>
      <c r="G672" s="59">
        <v>5.6</v>
      </c>
      <c r="H672" s="1338" t="s">
        <v>69</v>
      </c>
      <c r="I672" s="960"/>
      <c r="J672" s="59"/>
      <c r="K672" s="59"/>
    </row>
    <row r="673" spans="1:11" x14ac:dyDescent="0.25">
      <c r="A673" s="57" t="s">
        <v>121</v>
      </c>
      <c r="B673" s="57" t="s">
        <v>159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2">CONCATENATE(,B673," ",C673)</f>
        <v>APRILE 2025</v>
      </c>
      <c r="F673" s="57" t="str">
        <f t="shared" ref="F673" si="1033">CONCATENATE(D673," ",E673)</f>
        <v>4 APRILE 2025</v>
      </c>
      <c r="G673" s="59">
        <v>0.4</v>
      </c>
      <c r="H673" s="1338" t="s">
        <v>777</v>
      </c>
      <c r="I673" s="960"/>
      <c r="J673" s="59"/>
      <c r="K673" s="59"/>
    </row>
    <row r="674" spans="1:11" ht="18.600000000000001" customHeight="1" x14ac:dyDescent="0.25">
      <c r="A674" s="57" t="s">
        <v>121</v>
      </c>
      <c r="B674" s="57" t="s">
        <v>159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4">CONCATENATE(,B674," ",C674)</f>
        <v>APRILE 2025</v>
      </c>
      <c r="F674" s="57" t="str">
        <f t="shared" ref="F674" si="1035">CONCATENATE(D674," ",E674)</f>
        <v>4 APRILE 2025</v>
      </c>
      <c r="G674" s="59">
        <v>0.4</v>
      </c>
      <c r="H674" s="1338" t="s">
        <v>777</v>
      </c>
      <c r="I674" s="960"/>
      <c r="J674" s="59"/>
      <c r="K674" s="59"/>
    </row>
    <row r="675" spans="1:11" ht="18.600000000000001" customHeight="1" x14ac:dyDescent="0.25">
      <c r="A675" s="57" t="s">
        <v>338</v>
      </c>
      <c r="B675" s="57" t="s">
        <v>159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6">CONCATENATE(,B675," ",C675)</f>
        <v>APRILE 2025</v>
      </c>
      <c r="F675" s="57" t="str">
        <f t="shared" ref="F675" si="1037">CONCATENATE(D675," ",E675)</f>
        <v>4 APRILE 2025</v>
      </c>
      <c r="G675" s="59">
        <v>67.5</v>
      </c>
      <c r="H675" s="1338" t="s">
        <v>91</v>
      </c>
      <c r="I675" s="960"/>
      <c r="J675" s="59"/>
      <c r="K675" s="59" t="s">
        <v>1012</v>
      </c>
    </row>
    <row r="676" spans="1:11" ht="18.600000000000001" customHeight="1" x14ac:dyDescent="0.25">
      <c r="A676" s="57" t="s">
        <v>1001</v>
      </c>
      <c r="B676" s="57" t="s">
        <v>159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:E677" si="1038">CONCATENATE(,B676," ",C676)</f>
        <v>APRILE 2025</v>
      </c>
      <c r="F676" s="57" t="str">
        <f t="shared" ref="F676:F677" si="1039">CONCATENATE(D676," ",E676)</f>
        <v>4 APRILE 2025</v>
      </c>
      <c r="G676" s="59">
        <v>61.68</v>
      </c>
      <c r="H676" s="1338" t="s">
        <v>91</v>
      </c>
      <c r="I676" s="960"/>
      <c r="J676" s="59" t="s">
        <v>173</v>
      </c>
      <c r="K676" s="59" t="s">
        <v>1012</v>
      </c>
    </row>
    <row r="677" spans="1:11" x14ac:dyDescent="0.25">
      <c r="A677" s="57" t="s">
        <v>122</v>
      </c>
      <c r="B677" s="57" t="s">
        <v>159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si="1038"/>
        <v>APRILE 2025</v>
      </c>
      <c r="F677" s="57" t="str">
        <f t="shared" si="1039"/>
        <v>4 APRILE 2025</v>
      </c>
      <c r="G677" s="59">
        <v>6.04</v>
      </c>
      <c r="H677" s="1338" t="s">
        <v>77</v>
      </c>
      <c r="I677" s="960"/>
      <c r="J677" s="59"/>
      <c r="K677" s="59" t="s">
        <v>841</v>
      </c>
    </row>
    <row r="678" spans="1:11" ht="18.600000000000001" customHeight="1" x14ac:dyDescent="0.25">
      <c r="A678" s="57" t="s">
        <v>83</v>
      </c>
      <c r="B678" s="57" t="s">
        <v>159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ref="E678" si="1040">CONCATENATE(,B678," ",C678)</f>
        <v>APRILE 2025</v>
      </c>
      <c r="F678" s="57" t="str">
        <f t="shared" ref="F678" si="1041">CONCATENATE(D678," ",E678)</f>
        <v>4 APRILE 2025</v>
      </c>
      <c r="G678" s="59">
        <v>27.53</v>
      </c>
      <c r="H678" s="1338" t="s">
        <v>77</v>
      </c>
      <c r="I678" s="960"/>
      <c r="J678" s="59"/>
      <c r="K678" s="59" t="s">
        <v>841</v>
      </c>
    </row>
    <row r="679" spans="1:11" x14ac:dyDescent="0.25">
      <c r="A679" s="57" t="s">
        <v>76</v>
      </c>
      <c r="B679" s="57" t="s">
        <v>159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2">CONCATENATE(,B679," ",C679)</f>
        <v>APRILE 2025</v>
      </c>
      <c r="F679" s="57" t="str">
        <f t="shared" ref="F679" si="1043">CONCATENATE(D679," ",E679)</f>
        <v>4 APRILE 2025</v>
      </c>
      <c r="G679" s="59">
        <v>19.95</v>
      </c>
      <c r="H679" s="1338" t="s">
        <v>77</v>
      </c>
      <c r="I679" s="960"/>
      <c r="J679" s="59"/>
      <c r="K679" s="59" t="s">
        <v>841</v>
      </c>
    </row>
    <row r="680" spans="1:11" x14ac:dyDescent="0.25">
      <c r="A680" s="57" t="s">
        <v>73</v>
      </c>
      <c r="B680" s="57" t="s">
        <v>159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" si="1044">CONCATENATE(,B680," ",C680)</f>
        <v>APRILE 2025</v>
      </c>
      <c r="F680" s="57" t="str">
        <f t="shared" ref="F680" si="1045">CONCATENATE(D680," ",E680)</f>
        <v>4 APRILE 2025</v>
      </c>
      <c r="G680" s="59">
        <v>7</v>
      </c>
      <c r="H680" s="1338" t="s">
        <v>74</v>
      </c>
      <c r="I680" s="960"/>
      <c r="J680" s="59"/>
      <c r="K680" s="59"/>
    </row>
    <row r="681" spans="1:11" x14ac:dyDescent="0.25">
      <c r="A681" s="57" t="s">
        <v>164</v>
      </c>
      <c r="B681" s="57" t="s">
        <v>159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6">CONCATENATE(,B681," ",C681)</f>
        <v>APRILE 2025</v>
      </c>
      <c r="F681" s="57" t="str">
        <f t="shared" ref="F681" si="1047">CONCATENATE(D681," ",E681)</f>
        <v>4 APRILE 2025</v>
      </c>
      <c r="G681" s="59">
        <v>34.549999999999997</v>
      </c>
      <c r="H681" s="1338" t="s">
        <v>93</v>
      </c>
      <c r="I681" s="960"/>
      <c r="J681" s="59"/>
      <c r="K681" s="59" t="s">
        <v>840</v>
      </c>
    </row>
    <row r="682" spans="1:11" ht="16.5" customHeight="1" x14ac:dyDescent="0.25">
      <c r="A682" s="57" t="s">
        <v>158</v>
      </c>
      <c r="B682" s="57" t="s">
        <v>159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8">CONCATENATE(,B682," ",C682)</f>
        <v>APRILE 2025</v>
      </c>
      <c r="F682" s="57" t="str">
        <f t="shared" ref="F682" si="1049">CONCATENATE(D682," ",E682)</f>
        <v>4 APRILE 2025</v>
      </c>
      <c r="G682" s="59">
        <v>7</v>
      </c>
      <c r="H682" s="1338" t="s">
        <v>69</v>
      </c>
      <c r="I682" s="960"/>
      <c r="J682" s="59"/>
      <c r="K682" s="59"/>
    </row>
    <row r="683" spans="1:11" x14ac:dyDescent="0.25">
      <c r="A683" s="57" t="s">
        <v>1000</v>
      </c>
      <c r="B683" s="57" t="s">
        <v>159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0">CONCATENATE(,B683," ",C683)</f>
        <v>APRILE 2025</v>
      </c>
      <c r="F683" s="57" t="str">
        <f t="shared" ref="F683" si="1051">CONCATENATE(D683," ",E683)</f>
        <v>4 APRILE 2025</v>
      </c>
      <c r="G683" s="59">
        <v>30.67</v>
      </c>
      <c r="H683" s="1338" t="s">
        <v>93</v>
      </c>
      <c r="I683" s="960" t="s">
        <v>993</v>
      </c>
      <c r="J683" s="59" t="s">
        <v>768</v>
      </c>
      <c r="K683" s="59" t="s">
        <v>839</v>
      </c>
    </row>
    <row r="684" spans="1:11" x14ac:dyDescent="0.25">
      <c r="A684" s="57" t="s">
        <v>67</v>
      </c>
      <c r="B684" s="57" t="s">
        <v>159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2">CONCATENATE(,B684," ",C684)</f>
        <v>APRILE 2025</v>
      </c>
      <c r="F684" s="57" t="str">
        <f t="shared" ref="F684" si="1053">CONCATENATE(D684," ",E684)</f>
        <v>4 APRILE 2025</v>
      </c>
      <c r="G684" s="59">
        <v>6.5</v>
      </c>
      <c r="H684" s="1338" t="s">
        <v>776</v>
      </c>
      <c r="I684" s="960"/>
      <c r="J684" s="59"/>
      <c r="K684" s="59"/>
    </row>
    <row r="685" spans="1:11" x14ac:dyDescent="0.25">
      <c r="A685" s="57" t="s">
        <v>110</v>
      </c>
      <c r="B685" s="57" t="s">
        <v>159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:E687" si="1054">CONCATENATE(,B685," ",C685)</f>
        <v>APRILE 2025</v>
      </c>
      <c r="F685" s="57" t="str">
        <f t="shared" ref="F685:F687" si="1055">CONCATENATE(D685," ",E685)</f>
        <v>4 APRILE 2025</v>
      </c>
      <c r="G685" s="59">
        <v>181.17</v>
      </c>
      <c r="H685" s="1338" t="s">
        <v>772</v>
      </c>
      <c r="I685" s="960"/>
      <c r="J685" s="59"/>
      <c r="K685" s="59" t="s">
        <v>1012</v>
      </c>
    </row>
    <row r="686" spans="1:11" x14ac:dyDescent="0.25">
      <c r="A686" s="57" t="s">
        <v>121</v>
      </c>
      <c r="B686" s="57" t="s">
        <v>159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6">CONCATENATE(,B686," ",C686)</f>
        <v>APRILE 2025</v>
      </c>
      <c r="F686" s="57" t="str">
        <f t="shared" ref="F686" si="1057">CONCATENATE(D686," ",E686)</f>
        <v>4 APRILE 2025</v>
      </c>
      <c r="G686" s="59">
        <v>0.4</v>
      </c>
      <c r="H686" s="1338" t="s">
        <v>777</v>
      </c>
      <c r="I686" s="960"/>
      <c r="J686" s="59"/>
      <c r="K686" s="59"/>
    </row>
    <row r="687" spans="1:11" x14ac:dyDescent="0.25">
      <c r="A687" s="57" t="s">
        <v>121</v>
      </c>
      <c r="B687" s="57" t="s">
        <v>159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si="1054"/>
        <v>APRILE 2025</v>
      </c>
      <c r="F687" s="57" t="str">
        <f t="shared" si="1055"/>
        <v>4 APRILE 2025</v>
      </c>
      <c r="G687" s="59">
        <v>0.4</v>
      </c>
      <c r="H687" s="1338" t="s">
        <v>777</v>
      </c>
      <c r="I687" s="960"/>
      <c r="J687" s="59"/>
      <c r="K687" s="59"/>
    </row>
    <row r="688" spans="1:11" ht="18.600000000000001" customHeight="1" x14ac:dyDescent="0.25">
      <c r="A688" s="57" t="s">
        <v>67</v>
      </c>
      <c r="B688" s="57" t="s">
        <v>159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58">CONCATENATE(,B688," ",C688)</f>
        <v>APRILE 2025</v>
      </c>
      <c r="F688" s="57" t="str">
        <f t="shared" ref="F688" si="1059">CONCATENATE(D688," ",E688)</f>
        <v>4 APRILE 2025</v>
      </c>
      <c r="G688" s="59">
        <v>4.2</v>
      </c>
      <c r="H688" s="1338" t="s">
        <v>69</v>
      </c>
      <c r="I688" s="960"/>
      <c r="J688" s="59"/>
      <c r="K688" s="59"/>
    </row>
    <row r="689" spans="1:11" x14ac:dyDescent="0.25">
      <c r="A689" s="57" t="s">
        <v>121</v>
      </c>
      <c r="B689" s="57" t="s">
        <v>159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60">CONCATENATE(,B689," ",C689)</f>
        <v>APRILE 2025</v>
      </c>
      <c r="F689" s="57" t="str">
        <f t="shared" ref="F689" si="1061">CONCATENATE(D689," ",E689)</f>
        <v>4 APRILE 2025</v>
      </c>
      <c r="G689" s="59">
        <v>0.4</v>
      </c>
      <c r="H689" s="1338" t="s">
        <v>777</v>
      </c>
      <c r="I689" s="960"/>
      <c r="J689" s="59"/>
      <c r="K689" s="59"/>
    </row>
    <row r="690" spans="1:11" ht="18.600000000000001" customHeight="1" x14ac:dyDescent="0.25">
      <c r="A690" s="57" t="s">
        <v>67</v>
      </c>
      <c r="B690" s="57" t="s">
        <v>159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2">CONCATENATE(,B690," ",C690)</f>
        <v>APRILE 2025</v>
      </c>
      <c r="F690" s="57" t="str">
        <f t="shared" ref="F690" si="1063">CONCATENATE(D690," ",E690)</f>
        <v>4 APRILE 2025</v>
      </c>
      <c r="G690" s="59">
        <v>6.5</v>
      </c>
      <c r="H690" s="1338" t="s">
        <v>776</v>
      </c>
      <c r="I690" s="960"/>
      <c r="J690" s="59"/>
      <c r="K690" s="59"/>
    </row>
    <row r="691" spans="1:11" ht="18.600000000000001" customHeight="1" x14ac:dyDescent="0.25">
      <c r="A691" s="57" t="s">
        <v>837</v>
      </c>
      <c r="B691" s="57" t="s">
        <v>159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4">CONCATENATE(,B691," ",C691)</f>
        <v>APRILE 2025</v>
      </c>
      <c r="F691" s="57" t="str">
        <f t="shared" ref="F691" si="1065">CONCATENATE(D691," ",E691)</f>
        <v>4 APRILE 2025</v>
      </c>
      <c r="G691" s="59">
        <v>65</v>
      </c>
      <c r="H691" s="1338" t="s">
        <v>69</v>
      </c>
      <c r="I691" s="960"/>
      <c r="J691" s="59"/>
      <c r="K691" s="59"/>
    </row>
    <row r="692" spans="1:11" ht="18.600000000000001" customHeight="1" x14ac:dyDescent="0.25">
      <c r="A692" s="57" t="s">
        <v>171</v>
      </c>
      <c r="B692" s="57" t="s">
        <v>159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6">CONCATENATE(,B692," ",C692)</f>
        <v>APRILE 2025</v>
      </c>
      <c r="F692" s="57" t="str">
        <f t="shared" ref="F692" si="1067">CONCATENATE(D692," ",E692)</f>
        <v>4 APRILE 2025</v>
      </c>
      <c r="G692" s="59">
        <v>141.85</v>
      </c>
      <c r="H692" s="1338" t="s">
        <v>81</v>
      </c>
      <c r="I692" s="960"/>
      <c r="J692" s="59"/>
      <c r="K692" s="59"/>
    </row>
    <row r="693" spans="1:11" x14ac:dyDescent="0.25">
      <c r="A693" s="57" t="s">
        <v>262</v>
      </c>
      <c r="B693" s="57" t="s">
        <v>159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68">CONCATENATE(,B693," ",C693)</f>
        <v>APRILE 2025</v>
      </c>
      <c r="F693" s="57" t="str">
        <f t="shared" ref="F693" si="1069">CONCATENATE(D693," ",E693)</f>
        <v>4 APRILE 2025</v>
      </c>
      <c r="G693" s="59">
        <v>26</v>
      </c>
      <c r="H693" s="1338" t="s">
        <v>69</v>
      </c>
      <c r="I693" s="960"/>
      <c r="J693" s="59"/>
      <c r="K693" s="59"/>
    </row>
    <row r="694" spans="1:11" x14ac:dyDescent="0.25">
      <c r="A694" s="57" t="s">
        <v>138</v>
      </c>
      <c r="B694" s="57" t="s">
        <v>159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0">CONCATENATE(,B694," ",C694)</f>
        <v>APRILE 2025</v>
      </c>
      <c r="F694" s="57" t="str">
        <f t="shared" ref="F694" si="1071">CONCATENATE(D694," ",E694)</f>
        <v>4 APRILE 2025</v>
      </c>
      <c r="G694" s="59">
        <v>7</v>
      </c>
      <c r="H694" s="1338" t="s">
        <v>69</v>
      </c>
      <c r="I694" s="960"/>
      <c r="J694" s="59"/>
      <c r="K694" s="59"/>
    </row>
    <row r="695" spans="1:11" ht="18.600000000000001" customHeight="1" x14ac:dyDescent="0.25">
      <c r="A695" s="57" t="s">
        <v>76</v>
      </c>
      <c r="B695" s="57" t="s">
        <v>159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2">CONCATENATE(,B695," ",C695)</f>
        <v>APRILE 2025</v>
      </c>
      <c r="F695" s="57" t="str">
        <f t="shared" ref="F695" si="1073">CONCATENATE(D695," ",E695)</f>
        <v>4 APRILE 2025</v>
      </c>
      <c r="G695" s="59">
        <v>2.38</v>
      </c>
      <c r="H695" s="1338" t="s">
        <v>77</v>
      </c>
      <c r="I695" s="960"/>
      <c r="J695" s="59"/>
      <c r="K695" s="59"/>
    </row>
    <row r="696" spans="1:11" x14ac:dyDescent="0.25">
      <c r="A696" s="57" t="s">
        <v>67</v>
      </c>
      <c r="B696" s="57" t="s">
        <v>159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4">CONCATENATE(,B696," ",C696)</f>
        <v>APRILE 2025</v>
      </c>
      <c r="F696" s="57" t="str">
        <f t="shared" ref="F696" si="1075">CONCATENATE(D696," ",E696)</f>
        <v>4 APRILE 2025</v>
      </c>
      <c r="G696" s="59">
        <v>18</v>
      </c>
      <c r="H696" s="1338" t="s">
        <v>69</v>
      </c>
      <c r="I696" s="960"/>
      <c r="J696" s="59"/>
      <c r="K696" s="59"/>
    </row>
    <row r="697" spans="1:11" x14ac:dyDescent="0.25">
      <c r="A697" s="57" t="s">
        <v>67</v>
      </c>
      <c r="B697" s="57" t="s">
        <v>159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6">CONCATENATE(,B697," ",C697)</f>
        <v>APRILE 2025</v>
      </c>
      <c r="F697" s="57" t="str">
        <f t="shared" ref="F697" si="1077">CONCATENATE(D697," ",E697)</f>
        <v>4 APRILE 2025</v>
      </c>
      <c r="G697" s="59">
        <v>6.5</v>
      </c>
      <c r="H697" s="1338" t="s">
        <v>776</v>
      </c>
      <c r="I697" s="960"/>
      <c r="J697" s="59"/>
      <c r="K697" s="59"/>
    </row>
    <row r="698" spans="1:11" ht="16.5" customHeight="1" x14ac:dyDescent="0.25">
      <c r="A698" s="57" t="s">
        <v>122</v>
      </c>
      <c r="B698" s="57" t="s">
        <v>159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78">CONCATENATE(,B698," ",C698)</f>
        <v>APRILE 2025</v>
      </c>
      <c r="F698" s="57" t="str">
        <f t="shared" ref="F698" si="1079">CONCATENATE(D698," ",E698)</f>
        <v>4 APRILE 2025</v>
      </c>
      <c r="G698" s="59">
        <v>5.01</v>
      </c>
      <c r="H698" s="1338" t="s">
        <v>77</v>
      </c>
      <c r="I698" s="960"/>
      <c r="J698" s="59"/>
      <c r="K698" s="59"/>
    </row>
    <row r="699" spans="1:11" x14ac:dyDescent="0.25">
      <c r="A699" s="57" t="s">
        <v>67</v>
      </c>
      <c r="B699" s="57" t="s">
        <v>159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0">CONCATENATE(,B699," ",C699)</f>
        <v>APRILE 2025</v>
      </c>
      <c r="F699" s="57" t="str">
        <f t="shared" ref="F699" si="1081">CONCATENATE(D699," ",E699)</f>
        <v>4 APRILE 2025</v>
      </c>
      <c r="G699" s="59">
        <v>6.5</v>
      </c>
      <c r="H699" s="1338" t="s">
        <v>776</v>
      </c>
      <c r="I699" s="960"/>
      <c r="J699" s="59"/>
      <c r="K699" s="59"/>
    </row>
    <row r="700" spans="1:11" x14ac:dyDescent="0.25">
      <c r="A700" s="57" t="s">
        <v>121</v>
      </c>
      <c r="B700" s="57" t="s">
        <v>159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2">CONCATENATE(,B700," ",C700)</f>
        <v>APRILE 2025</v>
      </c>
      <c r="F700" s="57" t="str">
        <f t="shared" ref="F700" si="1083">CONCATENATE(D700," ",E700)</f>
        <v>4 APRILE 2025</v>
      </c>
      <c r="G700" s="59">
        <v>0.4</v>
      </c>
      <c r="H700" s="1338" t="s">
        <v>777</v>
      </c>
      <c r="I700" s="960"/>
      <c r="J700" s="59"/>
      <c r="K700" s="59"/>
    </row>
    <row r="701" spans="1:11" x14ac:dyDescent="0.25">
      <c r="A701" s="57" t="s">
        <v>108</v>
      </c>
      <c r="B701" s="57" t="s">
        <v>159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4">CONCATENATE(,B701," ",C701)</f>
        <v>APRILE 2025</v>
      </c>
      <c r="F701" s="57" t="str">
        <f t="shared" ref="F701" si="1085">CONCATENATE(D701," ",E701)</f>
        <v>4 APRILE 2025</v>
      </c>
      <c r="G701" s="59">
        <v>25.49</v>
      </c>
      <c r="H701" s="1338" t="s">
        <v>75</v>
      </c>
      <c r="I701" s="960"/>
      <c r="J701" s="57" t="s">
        <v>108</v>
      </c>
      <c r="K701" s="59"/>
    </row>
    <row r="702" spans="1:11" x14ac:dyDescent="0.25">
      <c r="A702" s="57" t="s">
        <v>108</v>
      </c>
      <c r="B702" s="57" t="s">
        <v>159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6">CONCATENATE(,B702," ",C702)</f>
        <v>APRILE 2025</v>
      </c>
      <c r="F702" s="57" t="str">
        <f t="shared" ref="F702" si="1087">CONCATENATE(D702," ",E702)</f>
        <v>4 APRILE 2025</v>
      </c>
      <c r="G702" s="59">
        <v>109.8</v>
      </c>
      <c r="H702" s="1338" t="s">
        <v>81</v>
      </c>
      <c r="I702" s="960" t="s">
        <v>1027</v>
      </c>
      <c r="J702" s="57" t="s">
        <v>108</v>
      </c>
      <c r="K702" s="59" t="s">
        <v>836</v>
      </c>
    </row>
    <row r="703" spans="1:11" x14ac:dyDescent="0.25">
      <c r="A703" s="57" t="s">
        <v>1002</v>
      </c>
      <c r="B703" s="57" t="s">
        <v>159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88">CONCATENATE(,B703," ",C703)</f>
        <v>APRILE 2025</v>
      </c>
      <c r="F703" s="57" t="str">
        <f t="shared" ref="F703" si="1089">CONCATENATE(D703," ",E703)</f>
        <v>4 APRILE 2025</v>
      </c>
      <c r="G703" s="59">
        <v>17.79</v>
      </c>
      <c r="H703" s="1338" t="s">
        <v>231</v>
      </c>
      <c r="I703" s="960" t="s">
        <v>989</v>
      </c>
      <c r="J703" s="59" t="s">
        <v>768</v>
      </c>
      <c r="K703" s="59"/>
    </row>
    <row r="704" spans="1:11" x14ac:dyDescent="0.25">
      <c r="A704" s="57" t="s">
        <v>289</v>
      </c>
      <c r="B704" s="57" t="s">
        <v>159</v>
      </c>
      <c r="C704" s="57">
        <v>2025</v>
      </c>
      <c r="D704" s="58">
        <f>MATCH(B704,{"GENNAIO","FEBBRAIO","MARZO","APRILE","MAGGIO","GIUGNO","LUGLIO","AGOSTO","SETTEMBRE","OTTOBRE","NOVEMBRE","DICEMBRE"},0)</f>
        <v>4</v>
      </c>
      <c r="E704" s="57" t="str">
        <f t="shared" ref="E704" si="1090">CONCATENATE(,B704," ",C704)</f>
        <v>APRILE 2025</v>
      </c>
      <c r="F704" s="57" t="str">
        <f t="shared" ref="F704" si="1091">CONCATENATE(D704," ",E704)</f>
        <v>4 APRILE 2025</v>
      </c>
      <c r="G704" s="59">
        <v>77.72</v>
      </c>
      <c r="H704" s="1338" t="s">
        <v>91</v>
      </c>
      <c r="I704" s="960" t="s">
        <v>988</v>
      </c>
      <c r="J704" s="59" t="s">
        <v>768</v>
      </c>
      <c r="K704" s="59" t="s">
        <v>1012</v>
      </c>
    </row>
    <row r="705" spans="1:11" ht="16.5" customHeight="1" x14ac:dyDescent="0.25">
      <c r="A705" s="57" t="s">
        <v>83</v>
      </c>
      <c r="B705" s="57" t="s">
        <v>159</v>
      </c>
      <c r="C705" s="57">
        <v>2025</v>
      </c>
      <c r="D705" s="58">
        <f>MATCH(B705,{"GENNAIO","FEBBRAIO","MARZO","APRILE","MAGGIO","GIUGNO","LUGLIO","AGOSTO","SETTEMBRE","OTTOBRE","NOVEMBRE","DICEMBRE"},0)</f>
        <v>4</v>
      </c>
      <c r="E705" s="57" t="str">
        <f t="shared" ref="E705" si="1092">CONCATENATE(,B705," ",C705)</f>
        <v>APRILE 2025</v>
      </c>
      <c r="F705" s="57" t="str">
        <f t="shared" ref="F705" si="1093">CONCATENATE(D705," ",E705)</f>
        <v>4 APRILE 2025</v>
      </c>
      <c r="G705" s="59">
        <v>27.57</v>
      </c>
      <c r="H705" s="1338" t="s">
        <v>77</v>
      </c>
      <c r="I705" s="960"/>
      <c r="J705" s="59"/>
      <c r="K705" s="59"/>
    </row>
    <row r="706" spans="1:11" x14ac:dyDescent="0.25">
      <c r="A706" s="57" t="s">
        <v>171</v>
      </c>
      <c r="B706" s="57" t="s">
        <v>159</v>
      </c>
      <c r="C706" s="57">
        <v>2025</v>
      </c>
      <c r="D706" s="58">
        <f>MATCH(B706,{"GENNAIO","FEBBRAIO","MARZO","APRILE","MAGGIO","GIUGNO","LUGLIO","AGOSTO","SETTEMBRE","OTTOBRE","NOVEMBRE","DICEMBRE"},0)</f>
        <v>4</v>
      </c>
      <c r="E706" s="57" t="str">
        <f t="shared" ref="E706" si="1094">CONCATENATE(,B706," ",C706)</f>
        <v>APRILE 2025</v>
      </c>
      <c r="F706" s="57" t="str">
        <f t="shared" ref="F706" si="1095">CONCATENATE(D706," ",E706)</f>
        <v>4 APRILE 2025</v>
      </c>
      <c r="G706" s="59">
        <v>10</v>
      </c>
      <c r="H706" s="1338" t="s">
        <v>81</v>
      </c>
      <c r="I706" s="960"/>
      <c r="J706" s="59"/>
      <c r="K706" s="59"/>
    </row>
    <row r="707" spans="1:11" x14ac:dyDescent="0.25">
      <c r="A707" s="57" t="s">
        <v>835</v>
      </c>
      <c r="B707" s="57" t="s">
        <v>159</v>
      </c>
      <c r="C707" s="57">
        <v>2025</v>
      </c>
      <c r="D707" s="58">
        <f>MATCH(B707,{"GENNAIO","FEBBRAIO","MARZO","APRILE","MAGGIO","GIUGNO","LUGLIO","AGOSTO","SETTEMBRE","OTTOBRE","NOVEMBRE","DICEMBRE"},0)</f>
        <v>4</v>
      </c>
      <c r="E707" s="57" t="str">
        <f t="shared" ref="E707" si="1096">CONCATENATE(,B707," ",C707)</f>
        <v>APRILE 2025</v>
      </c>
      <c r="F707" s="57" t="str">
        <f t="shared" ref="F707" si="1097">CONCATENATE(D707," ",E707)</f>
        <v>4 APRILE 2025</v>
      </c>
      <c r="G707" s="59">
        <v>63.4</v>
      </c>
      <c r="H707" s="1338" t="s">
        <v>69</v>
      </c>
      <c r="I707" s="960"/>
      <c r="J707" s="59"/>
      <c r="K707" s="59"/>
    </row>
    <row r="708" spans="1:11" x14ac:dyDescent="0.25">
      <c r="A708" s="57" t="s">
        <v>108</v>
      </c>
      <c r="B708" s="57" t="s">
        <v>159</v>
      </c>
      <c r="C708" s="57">
        <v>2025</v>
      </c>
      <c r="D708" s="58">
        <f>MATCH(B708,{"GENNAIO","FEBBRAIO","MARZO","APRILE","MAGGIO","GIUGNO","LUGLIO","AGOSTO","SETTEMBRE","OTTOBRE","NOVEMBRE","DICEMBRE"},0)</f>
        <v>4</v>
      </c>
      <c r="E708" s="57" t="str">
        <f t="shared" ref="E708" si="1098">CONCATENATE(,B708," ",C708)</f>
        <v>APRILE 2025</v>
      </c>
      <c r="F708" s="57" t="str">
        <f t="shared" ref="F708" si="1099">CONCATENATE(D708," ",E708)</f>
        <v>4 APRILE 2025</v>
      </c>
      <c r="G708" s="59">
        <v>15.39</v>
      </c>
      <c r="H708" s="1338" t="s">
        <v>75</v>
      </c>
      <c r="I708" s="960" t="s">
        <v>1044</v>
      </c>
      <c r="J708" s="57" t="s">
        <v>108</v>
      </c>
      <c r="K708" s="59" t="s">
        <v>1031</v>
      </c>
    </row>
    <row r="709" spans="1:11" x14ac:dyDescent="0.25">
      <c r="A709" s="57" t="s">
        <v>834</v>
      </c>
      <c r="B709" s="57" t="s">
        <v>159</v>
      </c>
      <c r="C709" s="57">
        <v>2025</v>
      </c>
      <c r="D709" s="58">
        <f>MATCH(B709,{"GENNAIO","FEBBRAIO","MARZO","APRILE","MAGGIO","GIUGNO","LUGLIO","AGOSTO","SETTEMBRE","OTTOBRE","NOVEMBRE","DICEMBRE"},0)</f>
        <v>4</v>
      </c>
      <c r="E709" s="57" t="str">
        <f t="shared" ref="E709" si="1100">CONCATENATE(,B709," ",C709)</f>
        <v>APRILE 2025</v>
      </c>
      <c r="F709" s="57" t="str">
        <f t="shared" ref="F709" si="1101">CONCATENATE(D709," ",E709)</f>
        <v>4 APRILE 2025</v>
      </c>
      <c r="G709" s="59">
        <v>16</v>
      </c>
      <c r="H709" s="1338" t="s">
        <v>69</v>
      </c>
      <c r="I709" s="960"/>
      <c r="J709" s="59"/>
      <c r="K709" s="59"/>
    </row>
    <row r="710" spans="1:11" ht="16.5" customHeight="1" x14ac:dyDescent="0.25">
      <c r="A710" s="57" t="s">
        <v>171</v>
      </c>
      <c r="B710" s="57" t="s">
        <v>159</v>
      </c>
      <c r="C710" s="57">
        <v>2025</v>
      </c>
      <c r="D710" s="58">
        <f>MATCH(B710,{"GENNAIO","FEBBRAIO","MARZO","APRILE","MAGGIO","GIUGNO","LUGLIO","AGOSTO","SETTEMBRE","OTTOBRE","NOVEMBRE","DICEMBRE"},0)</f>
        <v>4</v>
      </c>
      <c r="E710" s="57" t="str">
        <f t="shared" ref="E710" si="1102">CONCATENATE(,B710," ",C710)</f>
        <v>APRILE 2025</v>
      </c>
      <c r="F710" s="57" t="str">
        <f t="shared" ref="F710" si="1103">CONCATENATE(D710," ",E710)</f>
        <v>4 APRILE 2025</v>
      </c>
      <c r="G710" s="59">
        <v>26.9</v>
      </c>
      <c r="H710" s="1338" t="s">
        <v>81</v>
      </c>
      <c r="I710" s="960"/>
      <c r="J710" s="59"/>
      <c r="K710" s="59"/>
    </row>
    <row r="711" spans="1:11" ht="16.5" customHeight="1" x14ac:dyDescent="0.25">
      <c r="A711" s="57" t="s">
        <v>121</v>
      </c>
      <c r="B711" s="57" t="s">
        <v>159</v>
      </c>
      <c r="C711" s="57">
        <v>2025</v>
      </c>
      <c r="D711" s="58">
        <f>MATCH(B711,{"GENNAIO","FEBBRAIO","MARZO","APRILE","MAGGIO","GIUGNO","LUGLIO","AGOSTO","SETTEMBRE","OTTOBRE","NOVEMBRE","DICEMBRE"},0)</f>
        <v>4</v>
      </c>
      <c r="E711" s="57" t="str">
        <f t="shared" ref="E711" si="1104">CONCATENATE(,B711," ",C711)</f>
        <v>APRILE 2025</v>
      </c>
      <c r="F711" s="57" t="str">
        <f t="shared" ref="F711" si="1105">CONCATENATE(D711," ",E711)</f>
        <v>4 APRILE 2025</v>
      </c>
      <c r="G711" s="59">
        <v>0.4</v>
      </c>
      <c r="H711" s="1338" t="s">
        <v>777</v>
      </c>
      <c r="I711" s="960"/>
      <c r="J711" s="59"/>
      <c r="K711" s="59"/>
    </row>
    <row r="712" spans="1:11" x14ac:dyDescent="0.25">
      <c r="A712" s="57" t="s">
        <v>67</v>
      </c>
      <c r="B712" s="57" t="s">
        <v>159</v>
      </c>
      <c r="C712" s="57">
        <v>2025</v>
      </c>
      <c r="D712" s="58">
        <f>MATCH(B712,{"GENNAIO","FEBBRAIO","MARZO","APRILE","MAGGIO","GIUGNO","LUGLIO","AGOSTO","SETTEMBRE","OTTOBRE","NOVEMBRE","DICEMBRE"},0)</f>
        <v>4</v>
      </c>
      <c r="E712" s="57" t="str">
        <f t="shared" ref="E712" si="1106">CONCATENATE(,B712," ",C712)</f>
        <v>APRILE 2025</v>
      </c>
      <c r="F712" s="57" t="str">
        <f t="shared" ref="F712" si="1107">CONCATENATE(D712," ",E712)</f>
        <v>4 APRILE 2025</v>
      </c>
      <c r="G712" s="59">
        <v>6.5</v>
      </c>
      <c r="H712" s="1338" t="s">
        <v>776</v>
      </c>
      <c r="I712" s="960"/>
      <c r="J712" s="59"/>
      <c r="K712" s="59"/>
    </row>
    <row r="713" spans="1:11" x14ac:dyDescent="0.25">
      <c r="A713" s="57" t="s">
        <v>108</v>
      </c>
      <c r="B713" s="57" t="s">
        <v>168</v>
      </c>
      <c r="C713" s="57">
        <v>2025</v>
      </c>
      <c r="D713" s="58">
        <f>MATCH(B713,{"GENNAIO","FEBBRAIO","MARZO","APRILE","MAGGIO","GIUGNO","LUGLIO","AGOSTO","SETTEMBRE","OTTOBRE","NOVEMBRE","DICEMBRE"},0)</f>
        <v>3</v>
      </c>
      <c r="E713" s="57" t="str">
        <f t="shared" ref="E713" si="1108">CONCATENATE(,B713," ",C713)</f>
        <v>MARZO 2025</v>
      </c>
      <c r="F713" s="57" t="str">
        <f t="shared" ref="F713" si="1109">CONCATENATE(D713," ",E713)</f>
        <v>3 MARZO 2025</v>
      </c>
      <c r="G713" s="59">
        <v>30.59</v>
      </c>
      <c r="H713" s="1338" t="s">
        <v>75</v>
      </c>
      <c r="I713" s="960" t="s">
        <v>1045</v>
      </c>
      <c r="J713" s="57" t="s">
        <v>108</v>
      </c>
      <c r="K713" s="59" t="s">
        <v>918</v>
      </c>
    </row>
    <row r="714" spans="1:11" x14ac:dyDescent="0.25">
      <c r="A714" s="57" t="s">
        <v>108</v>
      </c>
      <c r="B714" s="57" t="s">
        <v>168</v>
      </c>
      <c r="C714" s="57">
        <v>2025</v>
      </c>
      <c r="D714" s="58">
        <f>MATCH(B714,{"GENNAIO","FEBBRAIO","MARZO","APRILE","MAGGIO","GIUGNO","LUGLIO","AGOSTO","SETTEMBRE","OTTOBRE","NOVEMBRE","DICEMBRE"},0)</f>
        <v>3</v>
      </c>
      <c r="E714" s="57" t="str">
        <f t="shared" ref="E714" si="1110">CONCATENATE(,B714," ",C714)</f>
        <v>MARZO 2025</v>
      </c>
      <c r="F714" s="57" t="str">
        <f t="shared" ref="F714" si="1111">CONCATENATE(D714," ",E714)</f>
        <v>3 MARZO 2025</v>
      </c>
      <c r="G714" s="59">
        <v>19.71</v>
      </c>
      <c r="H714" s="1338" t="s">
        <v>75</v>
      </c>
      <c r="I714" s="960"/>
      <c r="J714" s="57" t="s">
        <v>108</v>
      </c>
      <c r="K714" s="59"/>
    </row>
    <row r="715" spans="1:11" x14ac:dyDescent="0.25">
      <c r="A715" s="57" t="s">
        <v>67</v>
      </c>
      <c r="B715" s="57" t="s">
        <v>168</v>
      </c>
      <c r="C715" s="57">
        <v>2025</v>
      </c>
      <c r="D715" s="58">
        <f>MATCH(B715,{"GENNAIO","FEBBRAIO","MARZO","APRILE","MAGGIO","GIUGNO","LUGLIO","AGOSTO","SETTEMBRE","OTTOBRE","NOVEMBRE","DICEMBRE"},0)</f>
        <v>3</v>
      </c>
      <c r="E715" s="57" t="str">
        <f t="shared" ref="E715:E721" si="1112">CONCATENATE(,B715," ",C715)</f>
        <v>MARZO 2025</v>
      </c>
      <c r="F715" s="57" t="str">
        <f t="shared" ref="F715:F721" si="1113">CONCATENATE(D715," ",E715)</f>
        <v>3 MARZO 2025</v>
      </c>
      <c r="G715" s="59">
        <v>2.8</v>
      </c>
      <c r="H715" s="1338" t="s">
        <v>69</v>
      </c>
      <c r="I715" s="960"/>
      <c r="J715" s="59"/>
      <c r="K715" s="59"/>
    </row>
    <row r="716" spans="1:11" x14ac:dyDescent="0.25">
      <c r="A716" s="57" t="s">
        <v>121</v>
      </c>
      <c r="B716" s="57" t="s">
        <v>168</v>
      </c>
      <c r="C716" s="57">
        <v>2025</v>
      </c>
      <c r="D716" s="58">
        <f>MATCH(B716,{"GENNAIO","FEBBRAIO","MARZO","APRILE","MAGGIO","GIUGNO","LUGLIO","AGOSTO","SETTEMBRE","OTTOBRE","NOVEMBRE","DICEMBRE"},0)</f>
        <v>3</v>
      </c>
      <c r="E716" s="57" t="str">
        <f t="shared" ref="E716" si="1114">CONCATENATE(,B716," ",C716)</f>
        <v>MARZO 2025</v>
      </c>
      <c r="F716" s="57" t="str">
        <f t="shared" ref="F716" si="1115">CONCATENATE(D716," ",E716)</f>
        <v>3 MARZO 2025</v>
      </c>
      <c r="G716" s="59">
        <v>0.4</v>
      </c>
      <c r="H716" s="1338" t="s">
        <v>777</v>
      </c>
      <c r="I716" s="960"/>
      <c r="J716" s="59"/>
      <c r="K716" s="59"/>
    </row>
    <row r="717" spans="1:11" x14ac:dyDescent="0.25">
      <c r="A717" s="57" t="s">
        <v>121</v>
      </c>
      <c r="B717" s="57" t="s">
        <v>168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si="1112"/>
        <v>MARZO 2025</v>
      </c>
      <c r="F717" s="57" t="str">
        <f t="shared" si="1113"/>
        <v>3 MARZO 2025</v>
      </c>
      <c r="G717" s="59">
        <v>0.4</v>
      </c>
      <c r="H717" s="1338" t="s">
        <v>777</v>
      </c>
      <c r="I717" s="960"/>
      <c r="J717" s="59"/>
      <c r="K717" s="59"/>
    </row>
    <row r="718" spans="1:11" x14ac:dyDescent="0.25">
      <c r="A718" s="57" t="s">
        <v>121</v>
      </c>
      <c r="B718" s="57" t="s">
        <v>168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si="1112"/>
        <v>MARZO 2025</v>
      </c>
      <c r="F718" s="57" t="str">
        <f t="shared" si="1113"/>
        <v>3 MARZO 2025</v>
      </c>
      <c r="G718" s="59">
        <v>0.7</v>
      </c>
      <c r="H718" s="1338" t="s">
        <v>777</v>
      </c>
      <c r="I718" s="960"/>
      <c r="J718" s="59"/>
      <c r="K718" s="59"/>
    </row>
    <row r="719" spans="1:11" x14ac:dyDescent="0.25">
      <c r="A719" s="57" t="s">
        <v>121</v>
      </c>
      <c r="B719" s="57" t="s">
        <v>168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si="1112"/>
        <v>MARZO 2025</v>
      </c>
      <c r="F719" s="57" t="str">
        <f t="shared" si="1113"/>
        <v>3 MARZO 2025</v>
      </c>
      <c r="G719" s="59">
        <v>0.4</v>
      </c>
      <c r="H719" s="1338" t="s">
        <v>777</v>
      </c>
      <c r="I719" s="960"/>
      <c r="J719" s="59"/>
      <c r="K719" s="59"/>
    </row>
    <row r="720" spans="1:11" x14ac:dyDescent="0.25">
      <c r="A720" s="57" t="s">
        <v>121</v>
      </c>
      <c r="B720" s="57" t="s">
        <v>168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ref="E720" si="1116">CONCATENATE(,B720," ",C720)</f>
        <v>MARZO 2025</v>
      </c>
      <c r="F720" s="57" t="str">
        <f t="shared" ref="F720" si="1117">CONCATENATE(D720," ",E720)</f>
        <v>3 MARZO 2025</v>
      </c>
      <c r="G720" s="59">
        <v>0.4</v>
      </c>
      <c r="H720" s="1338" t="s">
        <v>777</v>
      </c>
      <c r="I720" s="960"/>
      <c r="J720" s="59"/>
      <c r="K720" s="59"/>
    </row>
    <row r="721" spans="1:11" x14ac:dyDescent="0.25">
      <c r="A721" s="57" t="s">
        <v>121</v>
      </c>
      <c r="B721" s="57" t="s">
        <v>168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si="1112"/>
        <v>MARZO 2025</v>
      </c>
      <c r="F721" s="57" t="str">
        <f t="shared" si="1113"/>
        <v>3 MARZO 2025</v>
      </c>
      <c r="G721" s="59">
        <v>0.4</v>
      </c>
      <c r="H721" s="1338" t="s">
        <v>777</v>
      </c>
      <c r="I721" s="960"/>
      <c r="J721" s="59"/>
      <c r="K721" s="59"/>
    </row>
    <row r="722" spans="1:11" x14ac:dyDescent="0.25">
      <c r="A722" s="57" t="s">
        <v>121</v>
      </c>
      <c r="B722" s="57" t="s">
        <v>168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ref="E722" si="1118">CONCATENATE(,B722," ",C722)</f>
        <v>MARZO 2025</v>
      </c>
      <c r="F722" s="57" t="str">
        <f t="shared" ref="F722" si="1119">CONCATENATE(D722," ",E722)</f>
        <v>3 MARZO 2025</v>
      </c>
      <c r="G722" s="59">
        <v>0.4</v>
      </c>
      <c r="H722" s="1338" t="s">
        <v>777</v>
      </c>
      <c r="I722" s="960"/>
      <c r="J722" s="59"/>
      <c r="K722" s="59"/>
    </row>
    <row r="723" spans="1:11" x14ac:dyDescent="0.25">
      <c r="A723" s="57" t="s">
        <v>121</v>
      </c>
      <c r="B723" s="57" t="s">
        <v>168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ref="E723" si="1120">CONCATENATE(,B723," ",C723)</f>
        <v>MARZO 2025</v>
      </c>
      <c r="F723" s="57" t="str">
        <f t="shared" ref="F723" si="1121">CONCATENATE(D723," ",E723)</f>
        <v>3 MARZO 2025</v>
      </c>
      <c r="G723" s="59">
        <v>0.4</v>
      </c>
      <c r="H723" s="1338" t="s">
        <v>777</v>
      </c>
      <c r="I723" s="960"/>
      <c r="J723" s="59"/>
      <c r="K723" s="59"/>
    </row>
    <row r="724" spans="1:11" x14ac:dyDescent="0.25">
      <c r="A724" s="57" t="s">
        <v>121</v>
      </c>
      <c r="B724" s="57" t="s">
        <v>168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ref="E724" si="1122">CONCATENATE(,B724," ",C724)</f>
        <v>MARZO 2025</v>
      </c>
      <c r="F724" s="57" t="str">
        <f t="shared" ref="F724" si="1123">CONCATENATE(D724," ",E724)</f>
        <v>3 MARZO 2025</v>
      </c>
      <c r="G724" s="59">
        <v>0.4</v>
      </c>
      <c r="H724" s="1338" t="s">
        <v>777</v>
      </c>
      <c r="I724" s="960"/>
      <c r="J724" s="59"/>
      <c r="K724" s="59"/>
    </row>
    <row r="725" spans="1:11" ht="18.95" customHeight="1" x14ac:dyDescent="0.25">
      <c r="A725" s="57" t="s">
        <v>121</v>
      </c>
      <c r="B725" s="57" t="s">
        <v>168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ref="E725" si="1124">CONCATENATE(,B725," ",C725)</f>
        <v>MARZO 2025</v>
      </c>
      <c r="F725" s="57" t="str">
        <f t="shared" ref="F725" si="1125">CONCATENATE(D725," ",E725)</f>
        <v>3 MARZO 2025</v>
      </c>
      <c r="G725" s="59">
        <v>0.4</v>
      </c>
      <c r="H725" s="1338" t="s">
        <v>777</v>
      </c>
      <c r="I725" s="960"/>
      <c r="J725" s="59"/>
      <c r="K725" s="59"/>
    </row>
    <row r="726" spans="1:11" ht="16.5" customHeight="1" x14ac:dyDescent="0.25">
      <c r="A726" s="57" t="s">
        <v>173</v>
      </c>
      <c r="B726" s="57" t="s">
        <v>168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26">CONCATENATE(,B726," ",C726)</f>
        <v>MARZO 2025</v>
      </c>
      <c r="F726" s="57" t="str">
        <f t="shared" ref="F726" si="1127">CONCATENATE(D726," ",E726)</f>
        <v>3 MARZO 2025</v>
      </c>
      <c r="G726" s="59">
        <v>75</v>
      </c>
      <c r="H726" s="1338" t="s">
        <v>741</v>
      </c>
      <c r="I726" s="963"/>
      <c r="J726" s="59" t="s">
        <v>173</v>
      </c>
      <c r="K726" s="59" t="s">
        <v>830</v>
      </c>
    </row>
    <row r="727" spans="1:11" x14ac:dyDescent="0.25">
      <c r="A727" s="57" t="s">
        <v>828</v>
      </c>
      <c r="B727" s="57" t="s">
        <v>168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28">CONCATENATE(,B727," ",C727)</f>
        <v>MARZO 2025</v>
      </c>
      <c r="F727" s="57" t="str">
        <f t="shared" ref="F727" si="1129">CONCATENATE(D727," ",E727)</f>
        <v>3 MARZO 2025</v>
      </c>
      <c r="G727" s="59">
        <v>48</v>
      </c>
      <c r="H727" s="1338" t="s">
        <v>69</v>
      </c>
      <c r="I727" s="960"/>
      <c r="J727" s="59"/>
      <c r="K727" s="59"/>
    </row>
    <row r="728" spans="1:11" x14ac:dyDescent="0.25">
      <c r="A728" s="57" t="s">
        <v>298</v>
      </c>
      <c r="B728" s="57" t="s">
        <v>168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0">CONCATENATE(,B728," ",C728)</f>
        <v>MARZO 2025</v>
      </c>
      <c r="F728" s="57" t="str">
        <f t="shared" ref="F728" si="1131">CONCATENATE(D728," ",E728)</f>
        <v>3 MARZO 2025</v>
      </c>
      <c r="G728" s="59">
        <v>9.99</v>
      </c>
      <c r="H728" s="1338" t="s">
        <v>155</v>
      </c>
      <c r="I728" s="960"/>
      <c r="J728" s="59"/>
      <c r="K728" s="59"/>
    </row>
    <row r="729" spans="1:11" x14ac:dyDescent="0.25">
      <c r="A729" s="57" t="s">
        <v>108</v>
      </c>
      <c r="B729" s="57" t="s">
        <v>168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2">CONCATENATE(,B729," ",C729)</f>
        <v>MARZO 2025</v>
      </c>
      <c r="F729" s="57" t="str">
        <f t="shared" ref="F729" si="1133">CONCATENATE(D729," ",E729)</f>
        <v>3 MARZO 2025</v>
      </c>
      <c r="G729" s="59">
        <v>31.22</v>
      </c>
      <c r="H729" s="1338" t="s">
        <v>75</v>
      </c>
      <c r="I729" s="960"/>
      <c r="J729" s="57" t="s">
        <v>108</v>
      </c>
      <c r="K729" s="59"/>
    </row>
    <row r="730" spans="1:11" ht="16.5" customHeight="1" x14ac:dyDescent="0.25">
      <c r="A730" s="57" t="s">
        <v>827</v>
      </c>
      <c r="B730" s="57" t="s">
        <v>168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4">CONCATENATE(,B730," ",C730)</f>
        <v>MARZO 2025</v>
      </c>
      <c r="F730" s="57" t="str">
        <f t="shared" ref="F730" si="1135">CONCATENATE(D730," ",E730)</f>
        <v>3 MARZO 2025</v>
      </c>
      <c r="G730" s="59">
        <v>14.5</v>
      </c>
      <c r="H730" s="1338" t="s">
        <v>69</v>
      </c>
      <c r="I730" s="960"/>
      <c r="J730" s="59"/>
      <c r="K730" s="59"/>
    </row>
    <row r="731" spans="1:11" ht="16.5" customHeight="1" x14ac:dyDescent="0.25">
      <c r="A731" s="57" t="s">
        <v>1023</v>
      </c>
      <c r="B731" s="57" t="s">
        <v>168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36">CONCATENATE(,B731," ",C731)</f>
        <v>MARZO 2025</v>
      </c>
      <c r="F731" s="57" t="str">
        <f t="shared" ref="F731" si="1137">CONCATENATE(D731," ",E731)</f>
        <v>3 MARZO 2025</v>
      </c>
      <c r="G731" s="59">
        <v>30</v>
      </c>
      <c r="H731" s="1338" t="s">
        <v>741</v>
      </c>
      <c r="I731" s="963"/>
      <c r="J731" s="59" t="s">
        <v>173</v>
      </c>
      <c r="K731" s="59" t="s">
        <v>826</v>
      </c>
    </row>
    <row r="732" spans="1:11" x14ac:dyDescent="0.25">
      <c r="A732" s="57" t="s">
        <v>67</v>
      </c>
      <c r="B732" s="57" t="s">
        <v>168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38">CONCATENATE(,B732," ",C732)</f>
        <v>MARZO 2025</v>
      </c>
      <c r="F732" s="57" t="str">
        <f t="shared" ref="F732" si="1139">CONCATENATE(D732," ",E732)</f>
        <v>3 MARZO 2025</v>
      </c>
      <c r="G732" s="59">
        <v>6.5</v>
      </c>
      <c r="H732" s="1338" t="s">
        <v>776</v>
      </c>
      <c r="I732" s="960"/>
      <c r="J732" s="59"/>
      <c r="K732" s="59"/>
    </row>
    <row r="733" spans="1:11" x14ac:dyDescent="0.25">
      <c r="A733" s="57" t="s">
        <v>110</v>
      </c>
      <c r="B733" s="57" t="s">
        <v>168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0">CONCATENATE(,B733," ",C733)</f>
        <v>MARZO 2025</v>
      </c>
      <c r="F733" s="57" t="str">
        <f t="shared" ref="F733" si="1141">CONCATENATE(D733," ",E733)</f>
        <v>3 MARZO 2025</v>
      </c>
      <c r="G733" s="59">
        <v>17.850000000000001</v>
      </c>
      <c r="H733" s="1338" t="s">
        <v>772</v>
      </c>
      <c r="I733" s="960"/>
      <c r="J733" s="59"/>
      <c r="K733" s="59" t="s">
        <v>1012</v>
      </c>
    </row>
    <row r="734" spans="1:11" x14ac:dyDescent="0.25">
      <c r="A734" s="57" t="s">
        <v>108</v>
      </c>
      <c r="B734" s="57" t="s">
        <v>168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2">CONCATENATE(,B734," ",C734)</f>
        <v>MARZO 2025</v>
      </c>
      <c r="F734" s="57" t="str">
        <f t="shared" ref="F734" si="1143">CONCATENATE(D734," ",E734)</f>
        <v>3 MARZO 2025</v>
      </c>
      <c r="G734" s="59">
        <v>25.08</v>
      </c>
      <c r="H734" s="1338" t="s">
        <v>75</v>
      </c>
      <c r="I734" s="960"/>
      <c r="J734" s="57" t="s">
        <v>108</v>
      </c>
      <c r="K734" s="59"/>
    </row>
    <row r="735" spans="1:11" x14ac:dyDescent="0.25">
      <c r="A735" s="57" t="s">
        <v>67</v>
      </c>
      <c r="B735" s="57" t="s">
        <v>168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4">CONCATENATE(,B735," ",C735)</f>
        <v>MARZO 2025</v>
      </c>
      <c r="F735" s="57" t="str">
        <f t="shared" ref="F735" si="1145">CONCATENATE(D735," ",E735)</f>
        <v>3 MARZO 2025</v>
      </c>
      <c r="G735" s="59">
        <v>6.5</v>
      </c>
      <c r="H735" s="1338" t="s">
        <v>776</v>
      </c>
      <c r="I735" s="960"/>
      <c r="J735" s="59"/>
      <c r="K735" s="59"/>
    </row>
    <row r="736" spans="1:11" x14ac:dyDescent="0.25">
      <c r="A736" s="57" t="s">
        <v>121</v>
      </c>
      <c r="B736" s="57" t="s">
        <v>168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6">CONCATENATE(,B736," ",C736)</f>
        <v>MARZO 2025</v>
      </c>
      <c r="F736" s="57" t="str">
        <f t="shared" ref="F736" si="1147">CONCATENATE(D736," ",E736)</f>
        <v>3 MARZO 2025</v>
      </c>
      <c r="G736" s="59">
        <v>0.4</v>
      </c>
      <c r="H736" s="1338" t="s">
        <v>777</v>
      </c>
      <c r="I736" s="960"/>
      <c r="J736" s="59"/>
      <c r="K736" s="59"/>
    </row>
    <row r="737" spans="1:11" x14ac:dyDescent="0.25">
      <c r="A737" s="57" t="s">
        <v>121</v>
      </c>
      <c r="B737" s="57" t="s">
        <v>168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48">CONCATENATE(,B737," ",C737)</f>
        <v>MARZO 2025</v>
      </c>
      <c r="F737" s="57" t="str">
        <f t="shared" ref="F737" si="1149">CONCATENATE(D737," ",E737)</f>
        <v>3 MARZO 2025</v>
      </c>
      <c r="G737" s="59">
        <v>0.4</v>
      </c>
      <c r="H737" s="1338" t="s">
        <v>777</v>
      </c>
      <c r="I737" s="960"/>
      <c r="J737" s="59"/>
      <c r="K737" s="59"/>
    </row>
    <row r="738" spans="1:11" x14ac:dyDescent="0.25">
      <c r="A738" s="57" t="s">
        <v>121</v>
      </c>
      <c r="B738" s="57" t="s">
        <v>168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0">CONCATENATE(,B738," ",C738)</f>
        <v>MARZO 2025</v>
      </c>
      <c r="F738" s="57" t="str">
        <f t="shared" ref="F738" si="1151">CONCATENATE(D738," ",E738)</f>
        <v>3 MARZO 2025</v>
      </c>
      <c r="G738" s="59">
        <v>0.4</v>
      </c>
      <c r="H738" s="1338" t="s">
        <v>777</v>
      </c>
      <c r="I738" s="960"/>
      <c r="J738" s="59"/>
      <c r="K738" s="59"/>
    </row>
    <row r="739" spans="1:11" x14ac:dyDescent="0.25">
      <c r="A739" s="57" t="s">
        <v>67</v>
      </c>
      <c r="B739" s="57" t="s">
        <v>168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2">CONCATENATE(,B739," ",C739)</f>
        <v>MARZO 2025</v>
      </c>
      <c r="F739" s="57" t="str">
        <f t="shared" ref="F739" si="1153">CONCATENATE(D739," ",E739)</f>
        <v>3 MARZO 2025</v>
      </c>
      <c r="G739" s="59">
        <v>4.2</v>
      </c>
      <c r="H739" s="1338" t="s">
        <v>69</v>
      </c>
      <c r="I739" s="960"/>
      <c r="J739" s="59"/>
      <c r="K739" s="59"/>
    </row>
    <row r="740" spans="1:11" x14ac:dyDescent="0.25">
      <c r="A740" s="57" t="s">
        <v>1021</v>
      </c>
      <c r="B740" s="57" t="s">
        <v>168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4">CONCATENATE(,B740," ",C740)</f>
        <v>MARZO 2025</v>
      </c>
      <c r="F740" s="57" t="str">
        <f t="shared" ref="F740" si="1155">CONCATENATE(D740," ",E740)</f>
        <v>3 MARZO 2025</v>
      </c>
      <c r="G740" s="59">
        <v>75</v>
      </c>
      <c r="H740" s="1338" t="s">
        <v>741</v>
      </c>
      <c r="I740" s="963" t="s">
        <v>987</v>
      </c>
      <c r="J740" s="59" t="s">
        <v>173</v>
      </c>
      <c r="K740" s="59" t="s">
        <v>366</v>
      </c>
    </row>
    <row r="741" spans="1:11" ht="18.600000000000001" customHeight="1" x14ac:dyDescent="0.25">
      <c r="A741" s="57" t="s">
        <v>289</v>
      </c>
      <c r="B741" s="57" t="s">
        <v>168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6">CONCATENATE(,B741," ",C741)</f>
        <v>MARZO 2025</v>
      </c>
      <c r="F741" s="57" t="str">
        <f t="shared" ref="F741" si="1157">CONCATENATE(D741," ",E741)</f>
        <v>3 MARZO 2025</v>
      </c>
      <c r="G741" s="59">
        <v>60.58</v>
      </c>
      <c r="H741" s="1338" t="s">
        <v>91</v>
      </c>
      <c r="I741" s="960"/>
      <c r="J741" s="59"/>
      <c r="K741" s="59" t="s">
        <v>1012</v>
      </c>
    </row>
    <row r="742" spans="1:11" x14ac:dyDescent="0.25">
      <c r="A742" s="57" t="s">
        <v>289</v>
      </c>
      <c r="B742" s="57" t="s">
        <v>168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58">CONCATENATE(,B742," ",C742)</f>
        <v>MARZO 2025</v>
      </c>
      <c r="F742" s="57" t="str">
        <f t="shared" ref="F742" si="1159">CONCATENATE(D742," ",E742)</f>
        <v>3 MARZO 2025</v>
      </c>
      <c r="G742" s="59">
        <v>77.72</v>
      </c>
      <c r="H742" s="1338" t="s">
        <v>91</v>
      </c>
      <c r="I742" s="960" t="s">
        <v>993</v>
      </c>
      <c r="J742" s="59" t="s">
        <v>768</v>
      </c>
      <c r="K742" s="59" t="s">
        <v>1012</v>
      </c>
    </row>
    <row r="743" spans="1:11" x14ac:dyDescent="0.25">
      <c r="A743" s="57" t="s">
        <v>1002</v>
      </c>
      <c r="B743" s="57" t="s">
        <v>168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0">CONCATENATE(,B743," ",C743)</f>
        <v>MARZO 2025</v>
      </c>
      <c r="F743" s="57" t="str">
        <f t="shared" ref="F743" si="1161">CONCATENATE(D743," ",E743)</f>
        <v>3 MARZO 2025</v>
      </c>
      <c r="G743" s="59">
        <v>17.8</v>
      </c>
      <c r="H743" s="1338" t="s">
        <v>231</v>
      </c>
      <c r="I743" s="960" t="s">
        <v>988</v>
      </c>
      <c r="J743" s="59" t="s">
        <v>768</v>
      </c>
      <c r="K743" s="59"/>
    </row>
    <row r="744" spans="1:11" ht="18.600000000000001" customHeight="1" x14ac:dyDescent="0.25">
      <c r="A744" s="57" t="s">
        <v>83</v>
      </c>
      <c r="B744" s="57" t="s">
        <v>168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62">CONCATENATE(,B744," ",C744)</f>
        <v>MARZO 2025</v>
      </c>
      <c r="F744" s="57" t="str">
        <f t="shared" ref="F744" si="1163">CONCATENATE(D744," ",E744)</f>
        <v>3 MARZO 2025</v>
      </c>
      <c r="G744" s="59">
        <v>28.19</v>
      </c>
      <c r="H744" s="1338" t="s">
        <v>77</v>
      </c>
      <c r="I744" s="960"/>
      <c r="J744" s="59"/>
      <c r="K744" s="59"/>
    </row>
    <row r="745" spans="1:11" ht="18.600000000000001" customHeight="1" x14ac:dyDescent="0.25">
      <c r="A745" s="57" t="s">
        <v>138</v>
      </c>
      <c r="B745" s="57" t="s">
        <v>168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64">CONCATENATE(,B745," ",C745)</f>
        <v>MARZO 2025</v>
      </c>
      <c r="F745" s="57" t="str">
        <f t="shared" ref="F745" si="1165">CONCATENATE(D745," ",E745)</f>
        <v>3 MARZO 2025</v>
      </c>
      <c r="G745" s="59">
        <v>16</v>
      </c>
      <c r="H745" s="1338" t="s">
        <v>69</v>
      </c>
      <c r="I745" s="960"/>
      <c r="J745" s="59"/>
      <c r="K745" s="59"/>
    </row>
    <row r="746" spans="1:11" x14ac:dyDescent="0.25">
      <c r="A746" s="57" t="s">
        <v>293</v>
      </c>
      <c r="B746" s="57" t="s">
        <v>168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" si="1166">CONCATENATE(,B746," ",C746)</f>
        <v>MARZO 2025</v>
      </c>
      <c r="F746" s="57" t="str">
        <f t="shared" ref="F746" si="1167">CONCATENATE(D746," ",E746)</f>
        <v>3 MARZO 2025</v>
      </c>
      <c r="G746" s="59">
        <v>79</v>
      </c>
      <c r="H746" s="1338" t="s">
        <v>69</v>
      </c>
      <c r="I746" s="960"/>
      <c r="J746" s="59"/>
      <c r="K746" s="59"/>
    </row>
    <row r="747" spans="1:11" ht="16.5" customHeight="1" x14ac:dyDescent="0.25">
      <c r="A747" s="57" t="s">
        <v>76</v>
      </c>
      <c r="B747" s="57" t="s">
        <v>168</v>
      </c>
      <c r="C747" s="57">
        <v>2025</v>
      </c>
      <c r="D747" s="58">
        <f>MATCH(B747,{"GENNAIO","FEBBRAIO","MARZO","APRILE","MAGGIO","GIUGNO","LUGLIO","AGOSTO","SETTEMBRE","OTTOBRE","NOVEMBRE","DICEMBRE"},0)</f>
        <v>3</v>
      </c>
      <c r="E747" s="57" t="str">
        <f t="shared" ref="E747" si="1168">CONCATENATE(,B747," ",C747)</f>
        <v>MARZO 2025</v>
      </c>
      <c r="F747" s="57" t="str">
        <f t="shared" ref="F747" si="1169">CONCATENATE(D747," ",E747)</f>
        <v>3 MARZO 2025</v>
      </c>
      <c r="G747" s="59">
        <v>14.04</v>
      </c>
      <c r="H747" s="1338" t="s">
        <v>77</v>
      </c>
      <c r="I747" s="960"/>
      <c r="J747" s="59"/>
      <c r="K747" s="59"/>
    </row>
    <row r="748" spans="1:11" x14ac:dyDescent="0.25">
      <c r="A748" s="57" t="s">
        <v>122</v>
      </c>
      <c r="B748" s="57" t="s">
        <v>168</v>
      </c>
      <c r="C748" s="57">
        <v>2025</v>
      </c>
      <c r="D748" s="58">
        <f>MATCH(B748,{"GENNAIO","FEBBRAIO","MARZO","APRILE","MAGGIO","GIUGNO","LUGLIO","AGOSTO","SETTEMBRE","OTTOBRE","NOVEMBRE","DICEMBRE"},0)</f>
        <v>3</v>
      </c>
      <c r="E748" s="57" t="str">
        <f t="shared" ref="E748" si="1170">CONCATENATE(,B748," ",C748)</f>
        <v>MARZO 2025</v>
      </c>
      <c r="F748" s="57" t="str">
        <f t="shared" ref="F748" si="1171">CONCATENATE(D748," ",E748)</f>
        <v>3 MARZO 2025</v>
      </c>
      <c r="G748" s="59">
        <v>13.16</v>
      </c>
      <c r="H748" s="1338" t="s">
        <v>77</v>
      </c>
      <c r="I748" s="960"/>
      <c r="J748" s="59"/>
      <c r="K748" s="59"/>
    </row>
    <row r="749" spans="1:11" x14ac:dyDescent="0.25">
      <c r="A749" s="57" t="s">
        <v>67</v>
      </c>
      <c r="B749" s="57" t="s">
        <v>168</v>
      </c>
      <c r="C749" s="57">
        <v>2025</v>
      </c>
      <c r="D749" s="58">
        <f>MATCH(B749,{"GENNAIO","FEBBRAIO","MARZO","APRILE","MAGGIO","GIUGNO","LUGLIO","AGOSTO","SETTEMBRE","OTTOBRE","NOVEMBRE","DICEMBRE"},0)</f>
        <v>3</v>
      </c>
      <c r="E749" s="57" t="str">
        <f t="shared" ref="E749" si="1172">CONCATENATE(,B749," ",C749)</f>
        <v>MARZO 2025</v>
      </c>
      <c r="F749" s="57" t="str">
        <f t="shared" ref="F749" si="1173">CONCATENATE(D749," ",E749)</f>
        <v>3 MARZO 2025</v>
      </c>
      <c r="G749" s="59">
        <v>6.5</v>
      </c>
      <c r="H749" s="1338" t="s">
        <v>776</v>
      </c>
      <c r="I749" s="960"/>
      <c r="J749" s="59"/>
      <c r="K749" s="59"/>
    </row>
    <row r="750" spans="1:11" ht="16.5" customHeight="1" x14ac:dyDescent="0.25">
      <c r="A750" s="57" t="s">
        <v>108</v>
      </c>
      <c r="B750" s="57" t="s">
        <v>168</v>
      </c>
      <c r="C750" s="57">
        <v>2025</v>
      </c>
      <c r="D750" s="58">
        <f>MATCH(B750,{"GENNAIO","FEBBRAIO","MARZO","APRILE","MAGGIO","GIUGNO","LUGLIO","AGOSTO","SETTEMBRE","OTTOBRE","NOVEMBRE","DICEMBRE"},0)</f>
        <v>3</v>
      </c>
      <c r="E750" s="57" t="str">
        <f t="shared" ref="E750" si="1174">CONCATENATE(,B750," ",C750)</f>
        <v>MARZO 2025</v>
      </c>
      <c r="F750" s="57" t="str">
        <f t="shared" ref="F750" si="1175">CONCATENATE(D750," ",E750)</f>
        <v>3 MARZO 2025</v>
      </c>
      <c r="G750" s="59">
        <v>36.9</v>
      </c>
      <c r="H750" s="1338" t="s">
        <v>75</v>
      </c>
      <c r="I750" s="960"/>
      <c r="J750" s="57" t="s">
        <v>108</v>
      </c>
      <c r="K750" s="59"/>
    </row>
    <row r="751" spans="1:11" ht="18.600000000000001" customHeight="1" x14ac:dyDescent="0.25">
      <c r="A751" s="57" t="s">
        <v>171</v>
      </c>
      <c r="B751" s="57" t="s">
        <v>168</v>
      </c>
      <c r="C751" s="57">
        <v>2025</v>
      </c>
      <c r="D751" s="58">
        <f>MATCH(B751,{"GENNAIO","FEBBRAIO","MARZO","APRILE","MAGGIO","GIUGNO","LUGLIO","AGOSTO","SETTEMBRE","OTTOBRE","NOVEMBRE","DICEMBRE"},0)</f>
        <v>3</v>
      </c>
      <c r="E751" s="57" t="str">
        <f t="shared" ref="E751" si="1176">CONCATENATE(,B751," ",C751)</f>
        <v>MARZO 2025</v>
      </c>
      <c r="F751" s="57" t="str">
        <f t="shared" ref="F751" si="1177">CONCATENATE(D751," ",E751)</f>
        <v>3 MARZO 2025</v>
      </c>
      <c r="G751" s="59">
        <v>59.6</v>
      </c>
      <c r="H751" s="1338" t="s">
        <v>81</v>
      </c>
      <c r="I751" s="960"/>
      <c r="J751" s="59"/>
      <c r="K751" s="59"/>
    </row>
    <row r="752" spans="1:11" ht="18.600000000000001" customHeight="1" x14ac:dyDescent="0.25">
      <c r="A752" s="57" t="s">
        <v>67</v>
      </c>
      <c r="B752" s="57" t="s">
        <v>168</v>
      </c>
      <c r="C752" s="57">
        <v>2025</v>
      </c>
      <c r="D752" s="58">
        <f>MATCH(B752,{"GENNAIO","FEBBRAIO","MARZO","APRILE","MAGGIO","GIUGNO","LUGLIO","AGOSTO","SETTEMBRE","OTTOBRE","NOVEMBRE","DICEMBRE"},0)</f>
        <v>3</v>
      </c>
      <c r="E752" s="57" t="str">
        <f t="shared" ref="E752" si="1178">CONCATENATE(,B752," ",C752)</f>
        <v>MARZO 2025</v>
      </c>
      <c r="F752" s="57" t="str">
        <f t="shared" ref="F752" si="1179">CONCATENATE(D752," ",E752)</f>
        <v>3 MARZO 2025</v>
      </c>
      <c r="G752" s="59">
        <v>6.5</v>
      </c>
      <c r="H752" s="1338" t="s">
        <v>776</v>
      </c>
      <c r="I752" s="960"/>
      <c r="J752" s="59"/>
      <c r="K752" s="59"/>
    </row>
    <row r="753" spans="1:11" ht="16.5" customHeight="1" x14ac:dyDescent="0.25">
      <c r="A753" s="57" t="s">
        <v>108</v>
      </c>
      <c r="B753" s="57" t="s">
        <v>168</v>
      </c>
      <c r="C753" s="57">
        <v>2025</v>
      </c>
      <c r="D753" s="58">
        <f>MATCH(B753,{"GENNAIO","FEBBRAIO","MARZO","APRILE","MAGGIO","GIUGNO","LUGLIO","AGOSTO","SETTEMBRE","OTTOBRE","NOVEMBRE","DICEMBRE"},0)</f>
        <v>3</v>
      </c>
      <c r="E753" s="57" t="str">
        <f t="shared" ref="E753" si="1180">CONCATENATE(,B753," ",C753)</f>
        <v>MARZO 2025</v>
      </c>
      <c r="F753" s="57" t="str">
        <f t="shared" ref="F753" si="1181">CONCATENATE(D753," ",E753)</f>
        <v>3 MARZO 2025</v>
      </c>
      <c r="G753" s="59">
        <v>19</v>
      </c>
      <c r="H753" s="1338" t="s">
        <v>75</v>
      </c>
      <c r="I753" s="960"/>
      <c r="J753" s="57" t="s">
        <v>108</v>
      </c>
      <c r="K753" s="59"/>
    </row>
    <row r="754" spans="1:11" x14ac:dyDescent="0.25">
      <c r="A754" s="57" t="s">
        <v>83</v>
      </c>
      <c r="B754" s="57" t="s">
        <v>168</v>
      </c>
      <c r="C754" s="57">
        <v>2025</v>
      </c>
      <c r="D754" s="58">
        <f>MATCH(B754,{"GENNAIO","FEBBRAIO","MARZO","APRILE","MAGGIO","GIUGNO","LUGLIO","AGOSTO","SETTEMBRE","OTTOBRE","NOVEMBRE","DICEMBRE"},0)</f>
        <v>3</v>
      </c>
      <c r="E754" s="57" t="str">
        <f t="shared" ref="E754" si="1182">CONCATENATE(,B754," ",C754)</f>
        <v>MARZO 2025</v>
      </c>
      <c r="F754" s="57" t="str">
        <f t="shared" ref="F754" si="1183">CONCATENATE(D754," ",E754)</f>
        <v>3 MARZO 2025</v>
      </c>
      <c r="G754" s="59">
        <v>19.649999999999999</v>
      </c>
      <c r="H754" s="1338" t="s">
        <v>77</v>
      </c>
      <c r="I754" s="960"/>
      <c r="J754" s="59"/>
      <c r="K754" s="59"/>
    </row>
    <row r="755" spans="1:11" x14ac:dyDescent="0.25">
      <c r="A755" s="57" t="s">
        <v>79</v>
      </c>
      <c r="B755" s="57" t="s">
        <v>168</v>
      </c>
      <c r="C755" s="57">
        <v>2025</v>
      </c>
      <c r="D755" s="58">
        <f>MATCH(B755,{"GENNAIO","FEBBRAIO","MARZO","APRILE","MAGGIO","GIUGNO","LUGLIO","AGOSTO","SETTEMBRE","OTTOBRE","NOVEMBRE","DICEMBRE"},0)</f>
        <v>3</v>
      </c>
      <c r="E755" s="57" t="str">
        <f t="shared" ref="E755:E756" si="1184">CONCATENATE(,B755," ",C755)</f>
        <v>MARZO 2025</v>
      </c>
      <c r="F755" s="57" t="str">
        <f t="shared" ref="F755:F756" si="1185">CONCATENATE(D755," ",E755)</f>
        <v>3 MARZO 2025</v>
      </c>
      <c r="G755" s="59">
        <v>15.38</v>
      </c>
      <c r="H755" s="1338" t="s">
        <v>81</v>
      </c>
      <c r="I755" s="960"/>
      <c r="J755" s="59"/>
      <c r="K755" s="59"/>
    </row>
    <row r="756" spans="1:11" x14ac:dyDescent="0.25">
      <c r="A756" s="57" t="s">
        <v>108</v>
      </c>
      <c r="B756" s="57" t="s">
        <v>176</v>
      </c>
      <c r="C756" s="57">
        <v>2025</v>
      </c>
      <c r="D756" s="58">
        <f>MATCH(B756,{"GENNAIO","FEBBRAIO","MARZO","APRILE","MAGGIO","GIUGNO","LUGLIO","AGOSTO","SETTEMBRE","OTTOBRE","NOVEMBRE","DICEMBRE"},0)</f>
        <v>2</v>
      </c>
      <c r="E756" s="57" t="str">
        <f t="shared" si="1184"/>
        <v>FEBBRAIO 2025</v>
      </c>
      <c r="F756" s="57" t="str">
        <f t="shared" si="1185"/>
        <v>2 FEBBRAIO 2025</v>
      </c>
      <c r="G756" s="59">
        <v>15.39</v>
      </c>
      <c r="H756" s="1338" t="s">
        <v>75</v>
      </c>
      <c r="I756" s="960" t="s">
        <v>1046</v>
      </c>
      <c r="J756" s="57" t="s">
        <v>108</v>
      </c>
      <c r="K756" s="59" t="s">
        <v>1031</v>
      </c>
    </row>
    <row r="757" spans="1:11" x14ac:dyDescent="0.25">
      <c r="A757" s="57" t="s">
        <v>121</v>
      </c>
      <c r="B757" s="57" t="s">
        <v>176</v>
      </c>
      <c r="C757" s="57">
        <v>2025</v>
      </c>
      <c r="D757" s="58">
        <f>MATCH(B757,{"GENNAIO","FEBBRAIO","MARZO","APRILE","MAGGIO","GIUGNO","LUGLIO","AGOSTO","SETTEMBRE","OTTOBRE","NOVEMBRE","DICEMBRE"},0)</f>
        <v>2</v>
      </c>
      <c r="E757" s="57" t="str">
        <f t="shared" ref="E757:E758" si="1186">CONCATENATE(,B757," ",C757)</f>
        <v>FEBBRAIO 2025</v>
      </c>
      <c r="F757" s="57" t="str">
        <f t="shared" ref="F757:F758" si="1187">CONCATENATE(D757," ",E757)</f>
        <v>2 FEBBRAIO 2025</v>
      </c>
      <c r="G757" s="59">
        <v>0.4</v>
      </c>
      <c r="H757" s="1338" t="s">
        <v>777</v>
      </c>
      <c r="I757" s="960"/>
      <c r="J757" s="59"/>
      <c r="K757" s="59"/>
    </row>
    <row r="758" spans="1:11" ht="16.5" customHeight="1" x14ac:dyDescent="0.25">
      <c r="A758" s="57" t="s">
        <v>121</v>
      </c>
      <c r="B758" s="57" t="s">
        <v>176</v>
      </c>
      <c r="C758" s="57">
        <v>2025</v>
      </c>
      <c r="D758" s="58">
        <f>MATCH(B758,{"GENNAIO","FEBBRAIO","MARZO","APRILE","MAGGIO","GIUGNO","LUGLIO","AGOSTO","SETTEMBRE","OTTOBRE","NOVEMBRE","DICEMBRE"},0)</f>
        <v>2</v>
      </c>
      <c r="E758" s="57" t="str">
        <f t="shared" si="1186"/>
        <v>FEBBRAIO 2025</v>
      </c>
      <c r="F758" s="57" t="str">
        <f t="shared" si="1187"/>
        <v>2 FEBBRAIO 2025</v>
      </c>
      <c r="G758" s="59">
        <v>0.4</v>
      </c>
      <c r="H758" s="1338" t="s">
        <v>777</v>
      </c>
      <c r="I758" s="960"/>
      <c r="J758" s="59"/>
      <c r="K758" s="59"/>
    </row>
    <row r="759" spans="1:11" ht="18" customHeight="1" x14ac:dyDescent="0.25">
      <c r="A759" s="57" t="s">
        <v>121</v>
      </c>
      <c r="B759" s="57" t="s">
        <v>176</v>
      </c>
      <c r="C759" s="57">
        <v>2025</v>
      </c>
      <c r="D759" s="58">
        <f>MATCH(B759,{"GENNAIO","FEBBRAIO","MARZO","APRILE","MAGGIO","GIUGNO","LUGLIO","AGOSTO","SETTEMBRE","OTTOBRE","NOVEMBRE","DICEMBRE"},0)</f>
        <v>2</v>
      </c>
      <c r="E759" s="57" t="str">
        <f t="shared" ref="E759" si="1188">CONCATENATE(,B759," ",C759)</f>
        <v>FEBBRAIO 2025</v>
      </c>
      <c r="F759" s="57" t="str">
        <f t="shared" ref="F759" si="1189">CONCATENATE(D759," ",E759)</f>
        <v>2 FEBBRAIO 2025</v>
      </c>
      <c r="G759" s="59">
        <v>0.4</v>
      </c>
      <c r="H759" s="1338" t="s">
        <v>777</v>
      </c>
      <c r="I759" s="960"/>
      <c r="J759" s="59"/>
      <c r="K759" s="59"/>
    </row>
    <row r="760" spans="1:11" ht="18" customHeight="1" x14ac:dyDescent="0.25">
      <c r="A760" s="57" t="s">
        <v>121</v>
      </c>
      <c r="B760" s="57" t="s">
        <v>176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ref="E760" si="1190">CONCATENATE(,B760," ",C760)</f>
        <v>FEBBRAIO 2025</v>
      </c>
      <c r="F760" s="57" t="str">
        <f t="shared" ref="F760" si="1191">CONCATENATE(D760," ",E760)</f>
        <v>2 FEBBRAIO 2025</v>
      </c>
      <c r="G760" s="59">
        <v>0.4</v>
      </c>
      <c r="H760" s="1338" t="s">
        <v>777</v>
      </c>
      <c r="I760" s="960"/>
      <c r="J760" s="59"/>
      <c r="K760" s="59"/>
    </row>
    <row r="761" spans="1:11" x14ac:dyDescent="0.25">
      <c r="A761" s="57" t="s">
        <v>108</v>
      </c>
      <c r="B761" s="57" t="s">
        <v>176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ref="E761" si="1192">CONCATENATE(,B761," ",C761)</f>
        <v>FEBBRAIO 2025</v>
      </c>
      <c r="F761" s="57" t="str">
        <f t="shared" ref="F761" si="1193">CONCATENATE(D761," ",E761)</f>
        <v>2 FEBBRAIO 2025</v>
      </c>
      <c r="G761" s="59">
        <v>16.899999999999999</v>
      </c>
      <c r="H761" s="1338" t="s">
        <v>77</v>
      </c>
      <c r="I761" s="960"/>
      <c r="J761" s="57" t="s">
        <v>108</v>
      </c>
      <c r="K761" s="59"/>
    </row>
    <row r="762" spans="1:11" x14ac:dyDescent="0.25">
      <c r="A762" s="57" t="s">
        <v>1022</v>
      </c>
      <c r="B762" s="57" t="s">
        <v>176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ref="E762" si="1194">CONCATENATE(,B762," ",C762)</f>
        <v>FEBBRAIO 2025</v>
      </c>
      <c r="F762" s="57" t="str">
        <f t="shared" ref="F762" si="1195">CONCATENATE(D762," ",E762)</f>
        <v>2 FEBBRAIO 2025</v>
      </c>
      <c r="G762" s="59">
        <v>25</v>
      </c>
      <c r="H762" s="1338" t="s">
        <v>741</v>
      </c>
      <c r="I762" s="963"/>
      <c r="J762" s="59" t="s">
        <v>173</v>
      </c>
      <c r="K762" s="59" t="s">
        <v>823</v>
      </c>
    </row>
    <row r="763" spans="1:11" x14ac:dyDescent="0.25">
      <c r="A763" s="57" t="s">
        <v>1003</v>
      </c>
      <c r="B763" s="57" t="s">
        <v>176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ref="E763:E811" si="1196">CONCATENATE(,B763," ",C763)</f>
        <v>FEBBRAIO 2025</v>
      </c>
      <c r="F763" s="57" t="str">
        <f t="shared" ref="F763:F811" si="1197">CONCATENATE(D763," ",E763)</f>
        <v>2 FEBBRAIO 2025</v>
      </c>
      <c r="G763" s="59">
        <v>60</v>
      </c>
      <c r="H763" s="1338" t="s">
        <v>93</v>
      </c>
      <c r="I763" s="960"/>
      <c r="J763" s="59" t="s">
        <v>768</v>
      </c>
      <c r="K763" s="59" t="s">
        <v>1011</v>
      </c>
    </row>
    <row r="764" spans="1:11" x14ac:dyDescent="0.25">
      <c r="A764" s="57" t="s">
        <v>1089</v>
      </c>
      <c r="B764" s="57" t="s">
        <v>176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si="1196"/>
        <v>FEBBRAIO 2025</v>
      </c>
      <c r="F764" s="57" t="str">
        <f t="shared" si="1197"/>
        <v>2 FEBBRAIO 2025</v>
      </c>
      <c r="G764" s="59">
        <v>35.6</v>
      </c>
      <c r="H764" s="1338" t="s">
        <v>69</v>
      </c>
      <c r="I764" s="960"/>
      <c r="J764" s="59"/>
      <c r="K764" s="59"/>
    </row>
    <row r="765" spans="1:11" x14ac:dyDescent="0.25">
      <c r="A765" s="57" t="s">
        <v>67</v>
      </c>
      <c r="B765" s="57" t="s">
        <v>176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ref="E765" si="1198">CONCATENATE(,B765," ",C765)</f>
        <v>FEBBRAIO 2025</v>
      </c>
      <c r="F765" s="57" t="str">
        <f t="shared" ref="F765" si="1199">CONCATENATE(D765," ",E765)</f>
        <v>2 FEBBRAIO 2025</v>
      </c>
      <c r="G765" s="59">
        <v>4.2</v>
      </c>
      <c r="H765" s="1338" t="s">
        <v>69</v>
      </c>
      <c r="I765" s="960"/>
      <c r="J765" s="59"/>
      <c r="K765" s="59"/>
    </row>
    <row r="766" spans="1:11" x14ac:dyDescent="0.25">
      <c r="A766" s="57" t="s">
        <v>67</v>
      </c>
      <c r="B766" s="57" t="s">
        <v>176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si="1196"/>
        <v>FEBBRAIO 2025</v>
      </c>
      <c r="F766" s="57" t="str">
        <f t="shared" si="1197"/>
        <v>2 FEBBRAIO 2025</v>
      </c>
      <c r="G766" s="59">
        <v>6.5</v>
      </c>
      <c r="H766" s="1338" t="s">
        <v>776</v>
      </c>
      <c r="I766" s="960"/>
      <c r="J766" s="59"/>
      <c r="K766" s="59"/>
    </row>
    <row r="767" spans="1:11" x14ac:dyDescent="0.25">
      <c r="A767" s="57" t="s">
        <v>121</v>
      </c>
      <c r="B767" s="57" t="s">
        <v>176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si="1196"/>
        <v>FEBBRAIO 2025</v>
      </c>
      <c r="F767" s="57" t="str">
        <f t="shared" si="1197"/>
        <v>2 FEBBRAIO 2025</v>
      </c>
      <c r="G767" s="59">
        <v>0.4</v>
      </c>
      <c r="H767" s="1338" t="s">
        <v>777</v>
      </c>
      <c r="I767" s="960"/>
      <c r="J767" s="59"/>
      <c r="K767" s="59"/>
    </row>
    <row r="768" spans="1:11" ht="16.5" customHeight="1" x14ac:dyDescent="0.25">
      <c r="A768" s="57" t="s">
        <v>67</v>
      </c>
      <c r="B768" s="57" t="s">
        <v>176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si="1196"/>
        <v>FEBBRAIO 2025</v>
      </c>
      <c r="F768" s="57" t="str">
        <f t="shared" si="1197"/>
        <v>2 FEBBRAIO 2025</v>
      </c>
      <c r="G768" s="59">
        <v>4.2</v>
      </c>
      <c r="H768" s="1338" t="s">
        <v>69</v>
      </c>
      <c r="I768" s="960"/>
      <c r="J768" s="59"/>
      <c r="K768" s="59"/>
    </row>
    <row r="769" spans="1:11" x14ac:dyDescent="0.25">
      <c r="A769" s="57" t="s">
        <v>121</v>
      </c>
      <c r="B769" s="57" t="s">
        <v>176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si="1196"/>
        <v>FEBBRAIO 2025</v>
      </c>
      <c r="F769" s="57" t="str">
        <f t="shared" si="1197"/>
        <v>2 FEBBRAIO 2025</v>
      </c>
      <c r="G769" s="59">
        <v>0.4</v>
      </c>
      <c r="H769" s="1338" t="s">
        <v>777</v>
      </c>
      <c r="I769" s="960"/>
      <c r="J769" s="59"/>
      <c r="K769" s="59"/>
    </row>
    <row r="770" spans="1:11" ht="18.600000000000001" customHeight="1" x14ac:dyDescent="0.25">
      <c r="A770" s="57" t="s">
        <v>121</v>
      </c>
      <c r="B770" s="57" t="s">
        <v>176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196"/>
        <v>FEBBRAIO 2025</v>
      </c>
      <c r="F770" s="57" t="str">
        <f t="shared" si="1197"/>
        <v>2 FEBBRAIO 2025</v>
      </c>
      <c r="G770" s="59">
        <v>0.4</v>
      </c>
      <c r="H770" s="1338" t="s">
        <v>777</v>
      </c>
      <c r="I770" s="960"/>
      <c r="J770" s="59"/>
      <c r="K770" s="59"/>
    </row>
    <row r="771" spans="1:11" x14ac:dyDescent="0.25">
      <c r="A771" s="57" t="s">
        <v>108</v>
      </c>
      <c r="B771" s="57" t="s">
        <v>176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196"/>
        <v>FEBBRAIO 2025</v>
      </c>
      <c r="F771" s="57" t="str">
        <f t="shared" si="1197"/>
        <v>2 FEBBRAIO 2025</v>
      </c>
      <c r="G771" s="59">
        <v>30.6</v>
      </c>
      <c r="H771" s="1338" t="s">
        <v>75</v>
      </c>
      <c r="I771" s="960" t="s">
        <v>1043</v>
      </c>
      <c r="J771" s="57" t="s">
        <v>108</v>
      </c>
      <c r="K771" s="59" t="s">
        <v>918</v>
      </c>
    </row>
    <row r="772" spans="1:11" x14ac:dyDescent="0.25">
      <c r="A772" s="57" t="s">
        <v>121</v>
      </c>
      <c r="B772" s="57" t="s">
        <v>176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196"/>
        <v>FEBBRAIO 2025</v>
      </c>
      <c r="F772" s="57" t="str">
        <f t="shared" si="1197"/>
        <v>2 FEBBRAIO 2025</v>
      </c>
      <c r="G772" s="59">
        <v>0.4</v>
      </c>
      <c r="H772" s="1338" t="s">
        <v>777</v>
      </c>
      <c r="I772" s="960"/>
      <c r="J772" s="59"/>
      <c r="K772" s="59"/>
    </row>
    <row r="773" spans="1:11" x14ac:dyDescent="0.25">
      <c r="A773" s="57" t="s">
        <v>78</v>
      </c>
      <c r="B773" s="57" t="s">
        <v>176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196"/>
        <v>FEBBRAIO 2025</v>
      </c>
      <c r="F773" s="57" t="str">
        <f t="shared" si="1197"/>
        <v>2 FEBBRAIO 2025</v>
      </c>
      <c r="G773" s="59">
        <v>4.25</v>
      </c>
      <c r="H773" s="1338" t="s">
        <v>77</v>
      </c>
      <c r="I773" s="960"/>
      <c r="J773" s="59"/>
      <c r="K773" s="59"/>
    </row>
    <row r="774" spans="1:11" ht="18.600000000000001" customHeight="1" x14ac:dyDescent="0.25">
      <c r="A774" s="57" t="s">
        <v>121</v>
      </c>
      <c r="B774" s="57" t="s">
        <v>176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196"/>
        <v>FEBBRAIO 2025</v>
      </c>
      <c r="F774" s="57" t="str">
        <f t="shared" si="1197"/>
        <v>2 FEBBRAIO 2025</v>
      </c>
      <c r="G774" s="59">
        <v>0.4</v>
      </c>
      <c r="H774" s="1338" t="s">
        <v>777</v>
      </c>
      <c r="I774" s="960"/>
      <c r="J774" s="59"/>
      <c r="K774" s="59"/>
    </row>
    <row r="775" spans="1:11" x14ac:dyDescent="0.25">
      <c r="A775" s="57" t="s">
        <v>121</v>
      </c>
      <c r="B775" s="57" t="s">
        <v>176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196"/>
        <v>FEBBRAIO 2025</v>
      </c>
      <c r="F775" s="57" t="str">
        <f t="shared" si="1197"/>
        <v>2 FEBBRAIO 2025</v>
      </c>
      <c r="G775" s="59">
        <v>0.4</v>
      </c>
      <c r="H775" s="1338" t="s">
        <v>777</v>
      </c>
      <c r="I775" s="960"/>
      <c r="J775" s="59"/>
      <c r="K775" s="59"/>
    </row>
    <row r="776" spans="1:11" x14ac:dyDescent="0.25">
      <c r="A776" s="57" t="s">
        <v>121</v>
      </c>
      <c r="B776" s="57" t="s">
        <v>176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196"/>
        <v>FEBBRAIO 2025</v>
      </c>
      <c r="F776" s="57" t="str">
        <f t="shared" si="1197"/>
        <v>2 FEBBRAIO 2025</v>
      </c>
      <c r="G776" s="59">
        <v>0.4</v>
      </c>
      <c r="H776" s="1338" t="s">
        <v>777</v>
      </c>
      <c r="I776" s="960"/>
      <c r="J776" s="59"/>
      <c r="K776" s="59"/>
    </row>
    <row r="777" spans="1:11" ht="18.600000000000001" customHeight="1" x14ac:dyDescent="0.25">
      <c r="A777" s="57" t="s">
        <v>83</v>
      </c>
      <c r="B777" s="57" t="s">
        <v>176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196"/>
        <v>FEBBRAIO 2025</v>
      </c>
      <c r="F777" s="57" t="str">
        <f t="shared" si="1197"/>
        <v>2 FEBBRAIO 2025</v>
      </c>
      <c r="G777" s="59">
        <v>16.52</v>
      </c>
      <c r="H777" s="1338" t="s">
        <v>77</v>
      </c>
      <c r="I777" s="960"/>
      <c r="J777" s="59"/>
      <c r="K777" s="59"/>
    </row>
    <row r="778" spans="1:11" ht="18.600000000000001" customHeight="1" x14ac:dyDescent="0.25">
      <c r="A778" s="57" t="s">
        <v>821</v>
      </c>
      <c r="B778" s="57" t="s">
        <v>176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196"/>
        <v>FEBBRAIO 2025</v>
      </c>
      <c r="F778" s="57" t="str">
        <f t="shared" si="1197"/>
        <v>2 FEBBRAIO 2025</v>
      </c>
      <c r="G778" s="59">
        <v>74</v>
      </c>
      <c r="H778" s="1338" t="s">
        <v>69</v>
      </c>
      <c r="I778" s="960"/>
      <c r="J778" s="59"/>
      <c r="K778" s="59"/>
    </row>
    <row r="779" spans="1:11" x14ac:dyDescent="0.25">
      <c r="A779" s="57" t="s">
        <v>820</v>
      </c>
      <c r="B779" s="57" t="s">
        <v>176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196"/>
        <v>FEBBRAIO 2025</v>
      </c>
      <c r="F779" s="57" t="str">
        <f t="shared" si="1197"/>
        <v>2 FEBBRAIO 2025</v>
      </c>
      <c r="G779" s="59">
        <v>28</v>
      </c>
      <c r="H779" s="1338" t="s">
        <v>69</v>
      </c>
      <c r="I779" s="960"/>
      <c r="J779" s="59"/>
      <c r="K779" s="59"/>
    </row>
    <row r="780" spans="1:11" x14ac:dyDescent="0.25">
      <c r="A780" s="57" t="s">
        <v>79</v>
      </c>
      <c r="B780" s="57" t="s">
        <v>176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196"/>
        <v>FEBBRAIO 2025</v>
      </c>
      <c r="F780" s="57" t="str">
        <f t="shared" si="1197"/>
        <v>2 FEBBRAIO 2025</v>
      </c>
      <c r="G780" s="59">
        <v>14.07</v>
      </c>
      <c r="H780" s="1338" t="s">
        <v>81</v>
      </c>
      <c r="I780" s="960"/>
      <c r="J780" s="59"/>
      <c r="K780" s="59"/>
    </row>
    <row r="781" spans="1:11" ht="18.95" customHeight="1" x14ac:dyDescent="0.25">
      <c r="A781" s="57" t="s">
        <v>76</v>
      </c>
      <c r="B781" s="57" t="s">
        <v>176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196"/>
        <v>FEBBRAIO 2025</v>
      </c>
      <c r="F781" s="57" t="str">
        <f t="shared" si="1197"/>
        <v>2 FEBBRAIO 2025</v>
      </c>
      <c r="G781" s="59">
        <v>20.5</v>
      </c>
      <c r="H781" s="1338" t="s">
        <v>77</v>
      </c>
      <c r="I781" s="960"/>
      <c r="J781" s="59"/>
      <c r="K781" s="59"/>
    </row>
    <row r="782" spans="1:11" ht="16.5" customHeight="1" x14ac:dyDescent="0.25">
      <c r="A782" s="57" t="s">
        <v>67</v>
      </c>
      <c r="B782" s="57" t="s">
        <v>176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196"/>
        <v>FEBBRAIO 2025</v>
      </c>
      <c r="F782" s="57" t="str">
        <f t="shared" si="1197"/>
        <v>2 FEBBRAIO 2025</v>
      </c>
      <c r="G782" s="59">
        <v>6.5</v>
      </c>
      <c r="H782" s="1338" t="s">
        <v>776</v>
      </c>
      <c r="I782" s="960"/>
      <c r="J782" s="59"/>
      <c r="K782" s="59"/>
    </row>
    <row r="783" spans="1:11" ht="18" customHeight="1" x14ac:dyDescent="0.25">
      <c r="A783" s="57" t="s">
        <v>171</v>
      </c>
      <c r="B783" s="57" t="s">
        <v>176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196"/>
        <v>FEBBRAIO 2025</v>
      </c>
      <c r="F783" s="57" t="str">
        <f t="shared" si="1197"/>
        <v>2 FEBBRAIO 2025</v>
      </c>
      <c r="G783" s="59">
        <v>40.75</v>
      </c>
      <c r="H783" s="1338" t="s">
        <v>81</v>
      </c>
      <c r="I783" s="960"/>
      <c r="J783" s="59"/>
      <c r="K783" s="59"/>
    </row>
    <row r="784" spans="1:11" ht="18.600000000000001" customHeight="1" x14ac:dyDescent="0.25">
      <c r="A784" s="57" t="s">
        <v>296</v>
      </c>
      <c r="B784" s="57" t="s">
        <v>176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196"/>
        <v>FEBBRAIO 2025</v>
      </c>
      <c r="F784" s="57" t="str">
        <f t="shared" si="1197"/>
        <v>2 FEBBRAIO 2025</v>
      </c>
      <c r="G784" s="59">
        <v>20.45</v>
      </c>
      <c r="H784" s="1338" t="s">
        <v>166</v>
      </c>
      <c r="I784" s="960"/>
      <c r="J784" s="59"/>
      <c r="K784" s="59"/>
    </row>
    <row r="785" spans="1:11" ht="18.600000000000001" customHeight="1" x14ac:dyDescent="0.25">
      <c r="A785" s="57" t="s">
        <v>108</v>
      </c>
      <c r="B785" s="57" t="s">
        <v>176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196"/>
        <v>FEBBRAIO 2025</v>
      </c>
      <c r="F785" s="57" t="str">
        <f t="shared" si="1197"/>
        <v>2 FEBBRAIO 2025</v>
      </c>
      <c r="G785" s="59">
        <v>44.42</v>
      </c>
      <c r="H785" s="1338" t="s">
        <v>185</v>
      </c>
      <c r="I785" s="960"/>
      <c r="J785" s="57" t="s">
        <v>108</v>
      </c>
      <c r="K785" s="59"/>
    </row>
    <row r="786" spans="1:11" x14ac:dyDescent="0.25">
      <c r="A786" s="57" t="s">
        <v>1002</v>
      </c>
      <c r="B786" s="57" t="s">
        <v>176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196"/>
        <v>FEBBRAIO 2025</v>
      </c>
      <c r="F786" s="57" t="str">
        <f t="shared" si="1197"/>
        <v>2 FEBBRAIO 2025</v>
      </c>
      <c r="G786" s="59">
        <v>17.79</v>
      </c>
      <c r="H786" s="1338" t="s">
        <v>231</v>
      </c>
      <c r="I786" s="960" t="s">
        <v>993</v>
      </c>
      <c r="J786" s="59" t="s">
        <v>768</v>
      </c>
      <c r="K786" s="59"/>
    </row>
    <row r="787" spans="1:11" x14ac:dyDescent="0.25">
      <c r="A787" s="57" t="s">
        <v>83</v>
      </c>
      <c r="B787" s="57" t="s">
        <v>176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196"/>
        <v>FEBBRAIO 2025</v>
      </c>
      <c r="F787" s="57" t="str">
        <f t="shared" si="1197"/>
        <v>2 FEBBRAIO 2025</v>
      </c>
      <c r="G787" s="59">
        <v>20.46</v>
      </c>
      <c r="H787" s="1338" t="s">
        <v>77</v>
      </c>
      <c r="I787" s="960"/>
      <c r="J787" s="59"/>
      <c r="K787" s="59"/>
    </row>
    <row r="788" spans="1:11" x14ac:dyDescent="0.25">
      <c r="A788" s="57" t="s">
        <v>122</v>
      </c>
      <c r="B788" s="57" t="s">
        <v>176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196"/>
        <v>FEBBRAIO 2025</v>
      </c>
      <c r="F788" s="57" t="str">
        <f t="shared" si="1197"/>
        <v>2 FEBBRAIO 2025</v>
      </c>
      <c r="G788" s="59">
        <v>22.31</v>
      </c>
      <c r="H788" s="1338" t="s">
        <v>77</v>
      </c>
      <c r="I788" s="960"/>
      <c r="J788" s="59"/>
      <c r="K788" s="59"/>
    </row>
    <row r="789" spans="1:11" x14ac:dyDescent="0.25">
      <c r="A789" s="57" t="s">
        <v>1089</v>
      </c>
      <c r="B789" s="57" t="s">
        <v>176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196"/>
        <v>FEBBRAIO 2025</v>
      </c>
      <c r="F789" s="57" t="str">
        <f t="shared" si="1197"/>
        <v>2 FEBBRAIO 2025</v>
      </c>
      <c r="G789" s="59">
        <v>30.8</v>
      </c>
      <c r="H789" s="1338" t="s">
        <v>69</v>
      </c>
      <c r="I789" s="960"/>
      <c r="J789" s="59"/>
      <c r="K789" s="59"/>
    </row>
    <row r="790" spans="1:11" x14ac:dyDescent="0.25">
      <c r="A790" s="57" t="s">
        <v>67</v>
      </c>
      <c r="B790" s="57" t="s">
        <v>176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196"/>
        <v>FEBBRAIO 2025</v>
      </c>
      <c r="F790" s="57" t="str">
        <f t="shared" si="1197"/>
        <v>2 FEBBRAIO 2025</v>
      </c>
      <c r="G790" s="59">
        <v>15.4</v>
      </c>
      <c r="H790" s="1338" t="s">
        <v>69</v>
      </c>
      <c r="I790" s="960"/>
      <c r="J790" s="59"/>
      <c r="K790" s="59"/>
    </row>
    <row r="791" spans="1:11" ht="16.5" customHeight="1" x14ac:dyDescent="0.25">
      <c r="A791" s="57" t="s">
        <v>67</v>
      </c>
      <c r="B791" s="57" t="s">
        <v>176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196"/>
        <v>FEBBRAIO 2025</v>
      </c>
      <c r="F791" s="57" t="str">
        <f t="shared" si="1197"/>
        <v>2 FEBBRAIO 2025</v>
      </c>
      <c r="G791" s="59">
        <v>6.5</v>
      </c>
      <c r="H791" s="1338" t="s">
        <v>776</v>
      </c>
      <c r="I791" s="960"/>
      <c r="J791" s="59"/>
      <c r="K791" s="59"/>
    </row>
    <row r="792" spans="1:11" ht="16.5" customHeight="1" x14ac:dyDescent="0.25">
      <c r="A792" s="57" t="s">
        <v>121</v>
      </c>
      <c r="B792" s="57" t="s">
        <v>176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196"/>
        <v>FEBBRAIO 2025</v>
      </c>
      <c r="F792" s="57" t="str">
        <f t="shared" si="1197"/>
        <v>2 FEBBRAIO 2025</v>
      </c>
      <c r="G792" s="59">
        <v>0.7</v>
      </c>
      <c r="H792" s="1338" t="s">
        <v>777</v>
      </c>
      <c r="I792" s="960"/>
      <c r="J792" s="59"/>
      <c r="K792" s="59"/>
    </row>
    <row r="793" spans="1:11" x14ac:dyDescent="0.25">
      <c r="A793" s="57" t="s">
        <v>67</v>
      </c>
      <c r="B793" s="57" t="s">
        <v>176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196"/>
        <v>FEBBRAIO 2025</v>
      </c>
      <c r="F793" s="57" t="str">
        <f t="shared" si="1197"/>
        <v>2 FEBBRAIO 2025</v>
      </c>
      <c r="G793" s="59">
        <v>4.2</v>
      </c>
      <c r="H793" s="1338" t="s">
        <v>69</v>
      </c>
      <c r="I793" s="960"/>
      <c r="J793" s="59"/>
      <c r="K793" s="59"/>
    </row>
    <row r="794" spans="1:11" ht="16.5" customHeight="1" x14ac:dyDescent="0.25">
      <c r="A794" s="57" t="s">
        <v>1005</v>
      </c>
      <c r="B794" s="57" t="s">
        <v>176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196"/>
        <v>FEBBRAIO 2025</v>
      </c>
      <c r="F794" s="57" t="str">
        <f t="shared" si="1197"/>
        <v>2 FEBBRAIO 2025</v>
      </c>
      <c r="G794" s="59">
        <v>20</v>
      </c>
      <c r="H794" s="1338" t="s">
        <v>77</v>
      </c>
      <c r="I794" s="960"/>
      <c r="J794" s="59" t="s">
        <v>768</v>
      </c>
      <c r="K794" s="59" t="s">
        <v>1004</v>
      </c>
    </row>
    <row r="795" spans="1:11" ht="16.5" customHeight="1" x14ac:dyDescent="0.25">
      <c r="A795" s="57" t="s">
        <v>232</v>
      </c>
      <c r="B795" s="57" t="s">
        <v>176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196"/>
        <v>FEBBRAIO 2025</v>
      </c>
      <c r="F795" s="57" t="str">
        <f t="shared" si="1197"/>
        <v>2 FEBBRAIO 2025</v>
      </c>
      <c r="G795" s="59">
        <v>1.7</v>
      </c>
      <c r="H795" s="1338" t="s">
        <v>91</v>
      </c>
      <c r="I795" s="960"/>
      <c r="J795" s="59"/>
      <c r="K795" s="59"/>
    </row>
    <row r="796" spans="1:11" ht="18.600000000000001" customHeight="1" x14ac:dyDescent="0.25">
      <c r="A796" s="57" t="s">
        <v>171</v>
      </c>
      <c r="B796" s="57" t="s">
        <v>176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196"/>
        <v>FEBBRAIO 2025</v>
      </c>
      <c r="F796" s="57" t="str">
        <f t="shared" si="1197"/>
        <v>2 FEBBRAIO 2025</v>
      </c>
      <c r="G796" s="59">
        <v>60.45</v>
      </c>
      <c r="H796" s="1338" t="s">
        <v>81</v>
      </c>
      <c r="I796" s="960"/>
      <c r="J796" s="59"/>
      <c r="K796" s="59"/>
    </row>
    <row r="797" spans="1:11" x14ac:dyDescent="0.25">
      <c r="A797" s="57" t="s">
        <v>108</v>
      </c>
      <c r="B797" s="57" t="s">
        <v>176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196"/>
        <v>FEBBRAIO 2025</v>
      </c>
      <c r="F797" s="57" t="str">
        <f t="shared" si="1197"/>
        <v>2 FEBBRAIO 2025</v>
      </c>
      <c r="G797" s="59">
        <v>8.99</v>
      </c>
      <c r="H797" s="1338" t="s">
        <v>75</v>
      </c>
      <c r="I797" s="960"/>
      <c r="J797" s="57" t="s">
        <v>108</v>
      </c>
      <c r="K797" s="59"/>
    </row>
    <row r="798" spans="1:11" x14ac:dyDescent="0.25">
      <c r="A798" s="57" t="s">
        <v>108</v>
      </c>
      <c r="B798" s="57" t="s">
        <v>176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196"/>
        <v>FEBBRAIO 2025</v>
      </c>
      <c r="F798" s="57" t="str">
        <f t="shared" si="1197"/>
        <v>2 FEBBRAIO 2025</v>
      </c>
      <c r="G798" s="59">
        <v>15</v>
      </c>
      <c r="H798" s="1338" t="s">
        <v>93</v>
      </c>
      <c r="I798" s="960" t="s">
        <v>1045</v>
      </c>
      <c r="J798" s="57" t="s">
        <v>108</v>
      </c>
      <c r="K798" s="59" t="s">
        <v>1030</v>
      </c>
    </row>
    <row r="799" spans="1:11" ht="16.5" customHeight="1" x14ac:dyDescent="0.25">
      <c r="A799" s="57" t="s">
        <v>83</v>
      </c>
      <c r="B799" s="57" t="s">
        <v>176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196"/>
        <v>FEBBRAIO 2025</v>
      </c>
      <c r="F799" s="57" t="str">
        <f t="shared" si="1197"/>
        <v>2 FEBBRAIO 2025</v>
      </c>
      <c r="G799" s="59">
        <v>18.079999999999998</v>
      </c>
      <c r="H799" s="1338" t="s">
        <v>77</v>
      </c>
      <c r="I799" s="960"/>
      <c r="J799" s="59"/>
      <c r="K799" s="59"/>
    </row>
    <row r="800" spans="1:11" ht="16.5" customHeight="1" x14ac:dyDescent="0.25">
      <c r="A800" s="57" t="s">
        <v>67</v>
      </c>
      <c r="B800" s="57" t="s">
        <v>176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196"/>
        <v>FEBBRAIO 2025</v>
      </c>
      <c r="F800" s="57" t="str">
        <f t="shared" si="1197"/>
        <v>2 FEBBRAIO 2025</v>
      </c>
      <c r="G800" s="59">
        <v>17.8</v>
      </c>
      <c r="H800" s="1338" t="s">
        <v>69</v>
      </c>
      <c r="I800" s="960"/>
      <c r="J800" s="59"/>
      <c r="K800" s="59"/>
    </row>
    <row r="801" spans="1:11" x14ac:dyDescent="0.25">
      <c r="A801" s="57" t="s">
        <v>67</v>
      </c>
      <c r="B801" s="57" t="s">
        <v>176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196"/>
        <v>FEBBRAIO 2025</v>
      </c>
      <c r="F801" s="57" t="str">
        <f t="shared" si="1197"/>
        <v>2 FEBBRAIO 2025</v>
      </c>
      <c r="G801" s="59">
        <v>6.5</v>
      </c>
      <c r="H801" s="1338" t="s">
        <v>776</v>
      </c>
      <c r="I801" s="960"/>
      <c r="J801" s="59"/>
      <c r="K801" s="59"/>
    </row>
    <row r="802" spans="1:11" x14ac:dyDescent="0.25">
      <c r="A802" s="57" t="s">
        <v>818</v>
      </c>
      <c r="B802" s="57" t="s">
        <v>176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196"/>
        <v>FEBBRAIO 2025</v>
      </c>
      <c r="F802" s="57" t="str">
        <f t="shared" si="1197"/>
        <v>2 FEBBRAIO 2025</v>
      </c>
      <c r="G802" s="59">
        <v>25</v>
      </c>
      <c r="H802" s="1338" t="s">
        <v>69</v>
      </c>
      <c r="I802" s="960"/>
      <c r="J802" s="59"/>
      <c r="K802" s="59"/>
    </row>
    <row r="803" spans="1:11" ht="16.5" customHeight="1" x14ac:dyDescent="0.25">
      <c r="A803" s="57" t="s">
        <v>817</v>
      </c>
      <c r="B803" s="57" t="s">
        <v>176</v>
      </c>
      <c r="C803" s="57">
        <v>2025</v>
      </c>
      <c r="D803" s="58">
        <f>MATCH(B803,{"GENNAIO","FEBBRAIO","MARZO","APRILE","MAGGIO","GIUGNO","LUGLIO","AGOSTO","SETTEMBRE","OTTOBRE","NOVEMBRE","DICEMBRE"},0)</f>
        <v>2</v>
      </c>
      <c r="E803" s="57" t="str">
        <f t="shared" si="1196"/>
        <v>FEBBRAIO 2025</v>
      </c>
      <c r="F803" s="57" t="str">
        <f t="shared" si="1197"/>
        <v>2 FEBBRAIO 2025</v>
      </c>
      <c r="G803" s="59">
        <v>85.2</v>
      </c>
      <c r="H803" s="1338" t="s">
        <v>69</v>
      </c>
      <c r="I803" s="960"/>
      <c r="J803" s="59"/>
      <c r="K803" s="59"/>
    </row>
    <row r="804" spans="1:11" x14ac:dyDescent="0.25">
      <c r="A804" s="57" t="s">
        <v>171</v>
      </c>
      <c r="B804" s="57" t="s">
        <v>176</v>
      </c>
      <c r="C804" s="57">
        <v>2025</v>
      </c>
      <c r="D804" s="58">
        <f>MATCH(B804,{"GENNAIO","FEBBRAIO","MARZO","APRILE","MAGGIO","GIUGNO","LUGLIO","AGOSTO","SETTEMBRE","OTTOBRE","NOVEMBRE","DICEMBRE"},0)</f>
        <v>2</v>
      </c>
      <c r="E804" s="57" t="str">
        <f t="shared" si="1196"/>
        <v>FEBBRAIO 2025</v>
      </c>
      <c r="F804" s="57" t="str">
        <f t="shared" si="1197"/>
        <v>2 FEBBRAIO 2025</v>
      </c>
      <c r="G804" s="59">
        <v>37.35</v>
      </c>
      <c r="H804" s="1338" t="s">
        <v>81</v>
      </c>
      <c r="I804" s="960"/>
      <c r="J804" s="59"/>
      <c r="K804" s="59"/>
    </row>
    <row r="805" spans="1:11" x14ac:dyDescent="0.25">
      <c r="A805" s="57" t="s">
        <v>171</v>
      </c>
      <c r="B805" s="57" t="s">
        <v>176</v>
      </c>
      <c r="C805" s="57">
        <v>2025</v>
      </c>
      <c r="D805" s="58">
        <f>MATCH(B805,{"GENNAIO","FEBBRAIO","MARZO","APRILE","MAGGIO","GIUGNO","LUGLIO","AGOSTO","SETTEMBRE","OTTOBRE","NOVEMBRE","DICEMBRE"},0)</f>
        <v>2</v>
      </c>
      <c r="E805" s="57" t="str">
        <f t="shared" si="1196"/>
        <v>FEBBRAIO 2025</v>
      </c>
      <c r="F805" s="57" t="str">
        <f t="shared" si="1197"/>
        <v>2 FEBBRAIO 2025</v>
      </c>
      <c r="G805" s="59">
        <v>24.9</v>
      </c>
      <c r="H805" s="1338" t="s">
        <v>81</v>
      </c>
      <c r="I805" s="960"/>
      <c r="J805" s="59"/>
      <c r="K805" s="59"/>
    </row>
    <row r="806" spans="1:11" ht="16.5" customHeight="1" x14ac:dyDescent="0.25">
      <c r="A806" s="57" t="s">
        <v>108</v>
      </c>
      <c r="B806" s="57" t="s">
        <v>176</v>
      </c>
      <c r="C806" s="57">
        <v>2025</v>
      </c>
      <c r="D806" s="58">
        <f>MATCH(B806,{"GENNAIO","FEBBRAIO","MARZO","APRILE","MAGGIO","GIUGNO","LUGLIO","AGOSTO","SETTEMBRE","OTTOBRE","NOVEMBRE","DICEMBRE"},0)</f>
        <v>2</v>
      </c>
      <c r="E806" s="57" t="str">
        <f t="shared" si="1196"/>
        <v>FEBBRAIO 2025</v>
      </c>
      <c r="F806" s="57" t="str">
        <f t="shared" si="1197"/>
        <v>2 FEBBRAIO 2025</v>
      </c>
      <c r="G806" s="59">
        <v>11.99</v>
      </c>
      <c r="H806" s="1338" t="s">
        <v>75</v>
      </c>
      <c r="I806" s="960"/>
      <c r="J806" s="57" t="s">
        <v>108</v>
      </c>
      <c r="K806" s="59"/>
    </row>
    <row r="807" spans="1:11" ht="16.5" customHeight="1" x14ac:dyDescent="0.25">
      <c r="A807" s="57" t="s">
        <v>121</v>
      </c>
      <c r="B807" s="57" t="s">
        <v>176</v>
      </c>
      <c r="C807" s="57">
        <v>2025</v>
      </c>
      <c r="D807" s="58">
        <f>MATCH(B807,{"GENNAIO","FEBBRAIO","MARZO","APRILE","MAGGIO","GIUGNO","LUGLIO","AGOSTO","SETTEMBRE","OTTOBRE","NOVEMBRE","DICEMBRE"},0)</f>
        <v>2</v>
      </c>
      <c r="E807" s="57" t="str">
        <f t="shared" si="1196"/>
        <v>FEBBRAIO 2025</v>
      </c>
      <c r="F807" s="57" t="str">
        <f t="shared" si="1197"/>
        <v>2 FEBBRAIO 2025</v>
      </c>
      <c r="G807" s="59">
        <v>0.4</v>
      </c>
      <c r="H807" s="1338" t="s">
        <v>777</v>
      </c>
      <c r="I807" s="960"/>
      <c r="J807" s="59"/>
      <c r="K807" s="59"/>
    </row>
    <row r="808" spans="1:11" x14ac:dyDescent="0.25">
      <c r="A808" s="57" t="s">
        <v>67</v>
      </c>
      <c r="B808" s="57" t="s">
        <v>176</v>
      </c>
      <c r="C808" s="57">
        <v>2025</v>
      </c>
      <c r="D808" s="58">
        <f>MATCH(B808,{"GENNAIO","FEBBRAIO","MARZO","APRILE","MAGGIO","GIUGNO","LUGLIO","AGOSTO","SETTEMBRE","OTTOBRE","NOVEMBRE","DICEMBRE"},0)</f>
        <v>2</v>
      </c>
      <c r="E808" s="57" t="str">
        <f t="shared" si="1196"/>
        <v>FEBBRAIO 2025</v>
      </c>
      <c r="F808" s="57" t="str">
        <f t="shared" si="1197"/>
        <v>2 FEBBRAIO 2025</v>
      </c>
      <c r="G808" s="59">
        <v>6.5</v>
      </c>
      <c r="H808" s="1338" t="s">
        <v>776</v>
      </c>
      <c r="I808" s="960"/>
      <c r="J808" s="59"/>
      <c r="K808" s="59"/>
    </row>
    <row r="809" spans="1:11" x14ac:dyDescent="0.25">
      <c r="A809" s="57" t="s">
        <v>108</v>
      </c>
      <c r="B809" s="57" t="s">
        <v>176</v>
      </c>
      <c r="C809" s="57">
        <v>2025</v>
      </c>
      <c r="D809" s="58">
        <f>MATCH(B809,{"GENNAIO","FEBBRAIO","MARZO","APRILE","MAGGIO","GIUGNO","LUGLIO","AGOSTO","SETTEMBRE","OTTOBRE","NOVEMBRE","DICEMBRE"},0)</f>
        <v>2</v>
      </c>
      <c r="E809" s="57" t="str">
        <f t="shared" si="1196"/>
        <v>FEBBRAIO 2025</v>
      </c>
      <c r="F809" s="57" t="str">
        <f t="shared" si="1197"/>
        <v>2 FEBBRAIO 2025</v>
      </c>
      <c r="G809" s="59">
        <v>15.39</v>
      </c>
      <c r="H809" s="1338" t="s">
        <v>75</v>
      </c>
      <c r="I809" s="960" t="s">
        <v>1027</v>
      </c>
      <c r="J809" s="57" t="s">
        <v>108</v>
      </c>
      <c r="K809" s="59" t="s">
        <v>1031</v>
      </c>
    </row>
    <row r="810" spans="1:11" x14ac:dyDescent="0.25">
      <c r="A810" s="57" t="s">
        <v>108</v>
      </c>
      <c r="B810" s="57" t="s">
        <v>176</v>
      </c>
      <c r="C810" s="57">
        <v>2025</v>
      </c>
      <c r="D810" s="58">
        <f>MATCH(B810,{"GENNAIO","FEBBRAIO","MARZO","APRILE","MAGGIO","GIUGNO","LUGLIO","AGOSTO","SETTEMBRE","OTTOBRE","NOVEMBRE","DICEMBRE"},0)</f>
        <v>2</v>
      </c>
      <c r="E810" s="57" t="str">
        <f t="shared" si="1196"/>
        <v>FEBBRAIO 2025</v>
      </c>
      <c r="F810" s="57" t="str">
        <f t="shared" si="1197"/>
        <v>2 FEBBRAIO 2025</v>
      </c>
      <c r="G810" s="59">
        <v>45.33</v>
      </c>
      <c r="H810" s="1338" t="s">
        <v>137</v>
      </c>
      <c r="I810" s="960"/>
      <c r="J810" s="57" t="s">
        <v>108</v>
      </c>
      <c r="K810" s="59"/>
    </row>
    <row r="811" spans="1:11" x14ac:dyDescent="0.25">
      <c r="A811" s="57" t="s">
        <v>370</v>
      </c>
      <c r="B811" s="57" t="s">
        <v>176</v>
      </c>
      <c r="C811" s="57">
        <v>2025</v>
      </c>
      <c r="D811" s="58">
        <f>MATCH(B811,{"GENNAIO","FEBBRAIO","MARZO","APRILE","MAGGIO","GIUGNO","LUGLIO","AGOSTO","SETTEMBRE","OTTOBRE","NOVEMBRE","DICEMBRE"},0)</f>
        <v>2</v>
      </c>
      <c r="E811" s="57" t="str">
        <f t="shared" si="1196"/>
        <v>FEBBRAIO 2025</v>
      </c>
      <c r="F811" s="57" t="str">
        <f t="shared" si="1197"/>
        <v>2 FEBBRAIO 2025</v>
      </c>
      <c r="G811" s="59">
        <v>220</v>
      </c>
      <c r="H811" s="1338" t="s">
        <v>166</v>
      </c>
      <c r="I811" s="963"/>
      <c r="J811" s="59" t="s">
        <v>173</v>
      </c>
      <c r="K811" s="59" t="s">
        <v>816</v>
      </c>
    </row>
    <row r="812" spans="1:11" x14ac:dyDescent="0.25">
      <c r="A812" s="57" t="s">
        <v>121</v>
      </c>
      <c r="B812" s="57" t="s">
        <v>183</v>
      </c>
      <c r="C812" s="57">
        <v>2025</v>
      </c>
      <c r="D812" s="58">
        <f>MATCH(B812,{"GENNAIO","FEBBRAIO","MARZO","APRILE","MAGGIO","GIUGNO","LUGLIO","AGOSTO","SETTEMBRE","OTTOBRE","NOVEMBRE","DICEMBRE"},0)</f>
        <v>1</v>
      </c>
      <c r="E812" s="57" t="str">
        <f t="shared" ref="E812:E857" si="1200">CONCATENATE(,B812," ",C812)</f>
        <v>GENNAIO 2025</v>
      </c>
      <c r="F812" s="57" t="str">
        <f t="shared" ref="F812:F857" si="1201">CONCATENATE(D812," ",E812)</f>
        <v>1 GENNAIO 2025</v>
      </c>
      <c r="G812" s="59">
        <v>0.4</v>
      </c>
      <c r="H812" s="1338" t="s">
        <v>777</v>
      </c>
      <c r="I812" s="960"/>
      <c r="J812" s="59"/>
      <c r="K812" s="59"/>
    </row>
    <row r="813" spans="1:11" x14ac:dyDescent="0.25">
      <c r="A813" s="57" t="s">
        <v>121</v>
      </c>
      <c r="B813" s="57" t="s">
        <v>183</v>
      </c>
      <c r="C813" s="57">
        <v>2025</v>
      </c>
      <c r="D813" s="58">
        <f>MATCH(B813,{"GENNAIO","FEBBRAIO","MARZO","APRILE","MAGGIO","GIUGNO","LUGLIO","AGOSTO","SETTEMBRE","OTTOBRE","NOVEMBRE","DICEMBRE"},0)</f>
        <v>1</v>
      </c>
      <c r="E813" s="57" t="str">
        <f t="shared" si="1200"/>
        <v>GENNAIO 2025</v>
      </c>
      <c r="F813" s="57" t="str">
        <f t="shared" si="1201"/>
        <v>1 GENNAIO 2025</v>
      </c>
      <c r="G813" s="59">
        <v>0.4</v>
      </c>
      <c r="H813" s="1338" t="s">
        <v>777</v>
      </c>
      <c r="I813" s="960"/>
      <c r="J813" s="59"/>
      <c r="K813" s="59"/>
    </row>
    <row r="814" spans="1:11" ht="16.5" customHeight="1" x14ac:dyDescent="0.25">
      <c r="A814" s="57" t="s">
        <v>67</v>
      </c>
      <c r="B814" s="57" t="s">
        <v>183</v>
      </c>
      <c r="C814" s="57">
        <v>2025</v>
      </c>
      <c r="D814" s="58">
        <f>MATCH(B814,{"GENNAIO","FEBBRAIO","MARZO","APRILE","MAGGIO","GIUGNO","LUGLIO","AGOSTO","SETTEMBRE","OTTOBRE","NOVEMBRE","DICEMBRE"},0)</f>
        <v>1</v>
      </c>
      <c r="E814" s="57" t="str">
        <f t="shared" si="1200"/>
        <v>GENNAIO 2025</v>
      </c>
      <c r="F814" s="57" t="str">
        <f t="shared" si="1201"/>
        <v>1 GENNAIO 2025</v>
      </c>
      <c r="G814" s="59">
        <v>6.5</v>
      </c>
      <c r="H814" s="1338" t="s">
        <v>776</v>
      </c>
      <c r="I814" s="960"/>
      <c r="J814" s="59"/>
      <c r="K814" s="59"/>
    </row>
    <row r="815" spans="1:11" x14ac:dyDescent="0.25">
      <c r="A815" s="57" t="s">
        <v>113</v>
      </c>
      <c r="B815" s="57" t="s">
        <v>183</v>
      </c>
      <c r="C815" s="57">
        <v>2025</v>
      </c>
      <c r="D815" s="58">
        <f>MATCH(B815,{"GENNAIO","FEBBRAIO","MARZO","APRILE","MAGGIO","GIUGNO","LUGLIO","AGOSTO","SETTEMBRE","OTTOBRE","NOVEMBRE","DICEMBRE"},0)</f>
        <v>1</v>
      </c>
      <c r="E815" s="57" t="str">
        <f t="shared" si="1200"/>
        <v>GENNAIO 2025</v>
      </c>
      <c r="F815" s="57" t="str">
        <f t="shared" si="1201"/>
        <v>1 GENNAIO 2025</v>
      </c>
      <c r="G815" s="59">
        <v>33</v>
      </c>
      <c r="H815" s="1338" t="s">
        <v>114</v>
      </c>
      <c r="I815" s="960"/>
      <c r="J815" s="59"/>
      <c r="K815" s="59"/>
    </row>
    <row r="816" spans="1:11" x14ac:dyDescent="0.25">
      <c r="A816" s="57" t="s">
        <v>67</v>
      </c>
      <c r="B816" s="57" t="s">
        <v>183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si="1200"/>
        <v>GENNAIO 2025</v>
      </c>
      <c r="F816" s="57" t="str">
        <f t="shared" si="1201"/>
        <v>1 GENNAIO 2025</v>
      </c>
      <c r="G816" s="59">
        <v>6.5</v>
      </c>
      <c r="H816" s="1338" t="s">
        <v>776</v>
      </c>
      <c r="I816" s="960"/>
      <c r="J816" s="59"/>
      <c r="K816" s="59"/>
    </row>
    <row r="817" spans="1:11" ht="16.5" customHeight="1" x14ac:dyDescent="0.25">
      <c r="A817" s="57" t="s">
        <v>108</v>
      </c>
      <c r="B817" s="57" t="s">
        <v>183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200"/>
        <v>GENNAIO 2025</v>
      </c>
      <c r="F817" s="57" t="str">
        <f t="shared" si="1201"/>
        <v>1 GENNAIO 2025</v>
      </c>
      <c r="G817" s="59">
        <v>16.71</v>
      </c>
      <c r="H817" s="1338" t="s">
        <v>75</v>
      </c>
      <c r="I817" s="960"/>
      <c r="J817" s="57" t="s">
        <v>108</v>
      </c>
      <c r="K817" s="59"/>
    </row>
    <row r="818" spans="1:11" x14ac:dyDescent="0.25">
      <c r="A818" s="57" t="s">
        <v>121</v>
      </c>
      <c r="B818" s="57" t="s">
        <v>183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200"/>
        <v>GENNAIO 2025</v>
      </c>
      <c r="F818" s="57" t="str">
        <f t="shared" si="1201"/>
        <v>1 GENNAIO 2025</v>
      </c>
      <c r="G818" s="59">
        <v>0.4</v>
      </c>
      <c r="H818" s="1338" t="s">
        <v>777</v>
      </c>
      <c r="I818" s="960"/>
      <c r="J818" s="59"/>
      <c r="K818" s="59"/>
    </row>
    <row r="819" spans="1:11" x14ac:dyDescent="0.25">
      <c r="A819" s="57" t="s">
        <v>121</v>
      </c>
      <c r="B819" s="57" t="s">
        <v>183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200"/>
        <v>GENNAIO 2025</v>
      </c>
      <c r="F819" s="57" t="str">
        <f t="shared" si="1201"/>
        <v>1 GENNAIO 2025</v>
      </c>
      <c r="G819" s="59">
        <v>0.4</v>
      </c>
      <c r="H819" s="1338" t="s">
        <v>777</v>
      </c>
      <c r="I819" s="960"/>
      <c r="J819" s="59"/>
      <c r="K819" s="59"/>
    </row>
    <row r="820" spans="1:11" x14ac:dyDescent="0.25">
      <c r="A820" s="57" t="s">
        <v>108</v>
      </c>
      <c r="B820" s="57" t="s">
        <v>183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200"/>
        <v>GENNAIO 2025</v>
      </c>
      <c r="F820" s="57" t="str">
        <f t="shared" si="1201"/>
        <v>1 GENNAIO 2025</v>
      </c>
      <c r="G820" s="59">
        <v>30.6</v>
      </c>
      <c r="H820" s="1338" t="s">
        <v>75</v>
      </c>
      <c r="I820" s="960" t="s">
        <v>1044</v>
      </c>
      <c r="J820" s="57" t="s">
        <v>108</v>
      </c>
      <c r="K820" s="59" t="s">
        <v>918</v>
      </c>
    </row>
    <row r="821" spans="1:11" x14ac:dyDescent="0.25">
      <c r="A821" s="57" t="s">
        <v>121</v>
      </c>
      <c r="B821" s="57" t="s">
        <v>183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200"/>
        <v>GENNAIO 2025</v>
      </c>
      <c r="F821" s="57" t="str">
        <f t="shared" si="1201"/>
        <v>1 GENNAIO 2025</v>
      </c>
      <c r="G821" s="59">
        <v>0.4</v>
      </c>
      <c r="H821" s="1338" t="s">
        <v>777</v>
      </c>
      <c r="I821" s="960"/>
      <c r="J821" s="59"/>
      <c r="K821" s="59"/>
    </row>
    <row r="822" spans="1:11" ht="16.5" customHeight="1" x14ac:dyDescent="0.25">
      <c r="A822" s="57" t="s">
        <v>793</v>
      </c>
      <c r="B822" s="57" t="s">
        <v>183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200"/>
        <v>GENNAIO 2025</v>
      </c>
      <c r="F822" s="57" t="str">
        <f t="shared" si="1201"/>
        <v>1 GENNAIO 2025</v>
      </c>
      <c r="G822" s="59">
        <v>64.400000000000006</v>
      </c>
      <c r="H822" s="1338" t="s">
        <v>69</v>
      </c>
      <c r="I822" s="960"/>
      <c r="J822" s="59"/>
      <c r="K822" s="59"/>
    </row>
    <row r="823" spans="1:11" ht="16.5" customHeight="1" x14ac:dyDescent="0.25">
      <c r="A823" s="57" t="s">
        <v>67</v>
      </c>
      <c r="B823" s="57" t="s">
        <v>183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200"/>
        <v>GENNAIO 2025</v>
      </c>
      <c r="F823" s="57" t="str">
        <f t="shared" si="1201"/>
        <v>1 GENNAIO 2025</v>
      </c>
      <c r="G823" s="59">
        <v>8.8000000000000007</v>
      </c>
      <c r="H823" s="1338" t="s">
        <v>776</v>
      </c>
      <c r="I823" s="960"/>
      <c r="J823" s="59"/>
      <c r="K823" s="59"/>
    </row>
    <row r="824" spans="1:11" ht="18.600000000000001" customHeight="1" x14ac:dyDescent="0.25">
      <c r="A824" s="57" t="s">
        <v>67</v>
      </c>
      <c r="B824" s="57" t="s">
        <v>183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200"/>
        <v>GENNAIO 2025</v>
      </c>
      <c r="F824" s="57" t="str">
        <f t="shared" si="1201"/>
        <v>1 GENNAIO 2025</v>
      </c>
      <c r="G824" s="59">
        <v>6.5</v>
      </c>
      <c r="H824" s="1338" t="s">
        <v>776</v>
      </c>
      <c r="I824" s="960"/>
      <c r="J824" s="59"/>
      <c r="K824" s="59"/>
    </row>
    <row r="825" spans="1:11" ht="16.5" customHeight="1" x14ac:dyDescent="0.25">
      <c r="A825" s="57" t="s">
        <v>344</v>
      </c>
      <c r="B825" s="57" t="s">
        <v>183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200"/>
        <v>GENNAIO 2025</v>
      </c>
      <c r="F825" s="57" t="str">
        <f t="shared" si="1201"/>
        <v>1 GENNAIO 2025</v>
      </c>
      <c r="G825" s="59">
        <v>29.95</v>
      </c>
      <c r="H825" s="1338" t="s">
        <v>93</v>
      </c>
      <c r="I825" s="960"/>
      <c r="J825" s="59"/>
      <c r="K825" s="59" t="s">
        <v>792</v>
      </c>
    </row>
    <row r="826" spans="1:11" ht="16.5" customHeight="1" x14ac:dyDescent="0.25">
      <c r="A826" s="57" t="s">
        <v>108</v>
      </c>
      <c r="B826" s="57" t="s">
        <v>183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200"/>
        <v>GENNAIO 2025</v>
      </c>
      <c r="F826" s="57" t="str">
        <f t="shared" si="1201"/>
        <v>1 GENNAIO 2025</v>
      </c>
      <c r="G826" s="59">
        <v>45.87</v>
      </c>
      <c r="H826" s="1338" t="s">
        <v>75</v>
      </c>
      <c r="I826" s="960"/>
      <c r="J826" s="57" t="s">
        <v>108</v>
      </c>
      <c r="K826" s="59"/>
    </row>
    <row r="827" spans="1:11" ht="18.600000000000001" customHeight="1" x14ac:dyDescent="0.25">
      <c r="A827" s="57" t="s">
        <v>789</v>
      </c>
      <c r="B827" s="57" t="s">
        <v>183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200"/>
        <v>GENNAIO 2025</v>
      </c>
      <c r="F827" s="57" t="str">
        <f t="shared" si="1201"/>
        <v>1 GENNAIO 2025</v>
      </c>
      <c r="G827" s="59">
        <v>4.33</v>
      </c>
      <c r="H827" s="1338" t="s">
        <v>77</v>
      </c>
      <c r="I827" s="960"/>
      <c r="J827" s="59"/>
      <c r="K827" s="59"/>
    </row>
    <row r="828" spans="1:11" x14ac:dyDescent="0.25">
      <c r="A828" s="57" t="s">
        <v>138</v>
      </c>
      <c r="B828" s="57" t="s">
        <v>183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200"/>
        <v>GENNAIO 2025</v>
      </c>
      <c r="F828" s="57" t="str">
        <f t="shared" si="1201"/>
        <v>1 GENNAIO 2025</v>
      </c>
      <c r="G828" s="59">
        <v>11.5</v>
      </c>
      <c r="H828" s="1338" t="s">
        <v>69</v>
      </c>
      <c r="I828" s="960"/>
      <c r="J828" s="59"/>
      <c r="K828" s="59"/>
    </row>
    <row r="829" spans="1:11" ht="18.600000000000001" customHeight="1" x14ac:dyDescent="0.25">
      <c r="A829" s="57" t="s">
        <v>177</v>
      </c>
      <c r="B829" s="57" t="s">
        <v>183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200"/>
        <v>GENNAIO 2025</v>
      </c>
      <c r="F829" s="57" t="str">
        <f t="shared" si="1201"/>
        <v>1 GENNAIO 2025</v>
      </c>
      <c r="G829" s="59">
        <v>21</v>
      </c>
      <c r="H829" s="1338" t="s">
        <v>69</v>
      </c>
      <c r="I829" s="960"/>
      <c r="J829" s="59"/>
      <c r="K829" s="59"/>
    </row>
    <row r="830" spans="1:11" ht="18.600000000000001" customHeight="1" x14ac:dyDescent="0.25">
      <c r="A830" s="57" t="s">
        <v>79</v>
      </c>
      <c r="B830" s="57" t="s">
        <v>183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200"/>
        <v>GENNAIO 2025</v>
      </c>
      <c r="F830" s="57" t="str">
        <f t="shared" si="1201"/>
        <v>1 GENNAIO 2025</v>
      </c>
      <c r="G830" s="59">
        <v>26.19</v>
      </c>
      <c r="H830" s="1338" t="s">
        <v>81</v>
      </c>
      <c r="I830" s="960"/>
      <c r="J830" s="59"/>
      <c r="K830" s="59"/>
    </row>
    <row r="831" spans="1:11" x14ac:dyDescent="0.25">
      <c r="A831" s="57" t="s">
        <v>154</v>
      </c>
      <c r="B831" s="57" t="s">
        <v>183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200"/>
        <v>GENNAIO 2025</v>
      </c>
      <c r="F831" s="57" t="str">
        <f t="shared" si="1201"/>
        <v>1 GENNAIO 2025</v>
      </c>
      <c r="G831" s="59">
        <v>20.7</v>
      </c>
      <c r="H831" s="1338" t="s">
        <v>93</v>
      </c>
      <c r="I831" s="960"/>
      <c r="J831" s="59"/>
      <c r="K831" s="59"/>
    </row>
    <row r="832" spans="1:11" ht="18.600000000000001" customHeight="1" x14ac:dyDescent="0.25">
      <c r="A832" s="57" t="s">
        <v>76</v>
      </c>
      <c r="B832" s="57" t="s">
        <v>183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200"/>
        <v>GENNAIO 2025</v>
      </c>
      <c r="F832" s="57" t="str">
        <f t="shared" si="1201"/>
        <v>1 GENNAIO 2025</v>
      </c>
      <c r="G832" s="59">
        <v>7.73</v>
      </c>
      <c r="H832" s="1338" t="s">
        <v>77</v>
      </c>
      <c r="I832" s="960"/>
      <c r="J832" s="59"/>
      <c r="K832" s="59"/>
    </row>
    <row r="833" spans="1:11" x14ac:dyDescent="0.25">
      <c r="A833" s="57" t="s">
        <v>122</v>
      </c>
      <c r="B833" s="57" t="s">
        <v>183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200"/>
        <v>GENNAIO 2025</v>
      </c>
      <c r="F833" s="57" t="str">
        <f t="shared" si="1201"/>
        <v>1 GENNAIO 2025</v>
      </c>
      <c r="G833" s="59">
        <v>41.98</v>
      </c>
      <c r="H833" s="1338" t="s">
        <v>77</v>
      </c>
      <c r="I833" s="960"/>
      <c r="J833" s="59"/>
      <c r="K833" s="59"/>
    </row>
    <row r="834" spans="1:11" ht="18.600000000000001" customHeight="1" x14ac:dyDescent="0.25">
      <c r="A834" s="57" t="s">
        <v>154</v>
      </c>
      <c r="B834" s="57" t="s">
        <v>183</v>
      </c>
      <c r="C834" s="57">
        <v>2025</v>
      </c>
      <c r="D834" s="58">
        <f>MATCH(B834,{"GENNAIO","FEBBRAIO","MARZO","APRILE","MAGGIO","GIUGNO","LUGLIO","AGOSTO","SETTEMBRE","OTTOBRE","NOVEMBRE","DICEMBRE"},0)</f>
        <v>1</v>
      </c>
      <c r="E834" s="57" t="str">
        <f t="shared" si="1200"/>
        <v>GENNAIO 2025</v>
      </c>
      <c r="F834" s="57" t="str">
        <f t="shared" si="1201"/>
        <v>1 GENNAIO 2025</v>
      </c>
      <c r="G834" s="59">
        <v>17.899999999999999</v>
      </c>
      <c r="H834" s="1338" t="s">
        <v>93</v>
      </c>
      <c r="I834" s="960"/>
      <c r="J834" s="59"/>
      <c r="K834" s="59"/>
    </row>
    <row r="835" spans="1:11" ht="18.600000000000001" customHeight="1" x14ac:dyDescent="0.25">
      <c r="A835" s="57" t="s">
        <v>788</v>
      </c>
      <c r="B835" s="57" t="s">
        <v>183</v>
      </c>
      <c r="C835" s="57">
        <v>2025</v>
      </c>
      <c r="D835" s="58">
        <f>MATCH(B835,{"GENNAIO","FEBBRAIO","MARZO","APRILE","MAGGIO","GIUGNO","LUGLIO","AGOSTO","SETTEMBRE","OTTOBRE","NOVEMBRE","DICEMBRE"},0)</f>
        <v>1</v>
      </c>
      <c r="E835" s="57" t="str">
        <f t="shared" si="1200"/>
        <v>GENNAIO 2025</v>
      </c>
      <c r="F835" s="57" t="str">
        <f t="shared" si="1201"/>
        <v>1 GENNAIO 2025</v>
      </c>
      <c r="G835" s="59">
        <v>6.4</v>
      </c>
      <c r="H835" s="1338" t="s">
        <v>81</v>
      </c>
      <c r="I835" s="960"/>
      <c r="J835" s="59"/>
      <c r="K835" s="59"/>
    </row>
    <row r="836" spans="1:11" ht="16.5" customHeight="1" x14ac:dyDescent="0.25">
      <c r="A836" s="57" t="s">
        <v>171</v>
      </c>
      <c r="B836" s="57" t="s">
        <v>183</v>
      </c>
      <c r="C836" s="57">
        <v>2025</v>
      </c>
      <c r="D836" s="58">
        <f>MATCH(B836,{"GENNAIO","FEBBRAIO","MARZO","APRILE","MAGGIO","GIUGNO","LUGLIO","AGOSTO","SETTEMBRE","OTTOBRE","NOVEMBRE","DICEMBRE"},0)</f>
        <v>1</v>
      </c>
      <c r="E836" s="57" t="str">
        <f t="shared" si="1200"/>
        <v>GENNAIO 2025</v>
      </c>
      <c r="F836" s="57" t="str">
        <f t="shared" si="1201"/>
        <v>1 GENNAIO 2025</v>
      </c>
      <c r="G836" s="59">
        <v>53.55</v>
      </c>
      <c r="H836" s="1338" t="s">
        <v>81</v>
      </c>
      <c r="I836" s="960"/>
      <c r="J836" s="59"/>
      <c r="K836" s="59"/>
    </row>
    <row r="837" spans="1:11" x14ac:dyDescent="0.25">
      <c r="A837" s="57" t="s">
        <v>79</v>
      </c>
      <c r="B837" s="57" t="s">
        <v>183</v>
      </c>
      <c r="C837" s="57">
        <v>2025</v>
      </c>
      <c r="D837" s="58">
        <f>MATCH(B837,{"GENNAIO","FEBBRAIO","MARZO","APRILE","MAGGIO","GIUGNO","LUGLIO","AGOSTO","SETTEMBRE","OTTOBRE","NOVEMBRE","DICEMBRE"},0)</f>
        <v>1</v>
      </c>
      <c r="E837" s="57" t="str">
        <f t="shared" si="1200"/>
        <v>GENNAIO 2025</v>
      </c>
      <c r="F837" s="57" t="str">
        <f t="shared" si="1201"/>
        <v>1 GENNAIO 2025</v>
      </c>
      <c r="G837" s="59">
        <v>7.4</v>
      </c>
      <c r="H837" s="1338" t="s">
        <v>81</v>
      </c>
      <c r="I837" s="960"/>
      <c r="J837" s="59"/>
      <c r="K837" s="59"/>
    </row>
    <row r="838" spans="1:11" ht="16.5" customHeight="1" x14ac:dyDescent="0.25">
      <c r="A838" s="57" t="s">
        <v>788</v>
      </c>
      <c r="B838" s="57" t="s">
        <v>183</v>
      </c>
      <c r="C838" s="57">
        <v>2025</v>
      </c>
      <c r="D838" s="58">
        <f>MATCH(B838,{"GENNAIO","FEBBRAIO","MARZO","APRILE","MAGGIO","GIUGNO","LUGLIO","AGOSTO","SETTEMBRE","OTTOBRE","NOVEMBRE","DICEMBRE"},0)</f>
        <v>1</v>
      </c>
      <c r="E838" s="57" t="str">
        <f t="shared" si="1200"/>
        <v>GENNAIO 2025</v>
      </c>
      <c r="F838" s="57" t="str">
        <f t="shared" si="1201"/>
        <v>1 GENNAIO 2025</v>
      </c>
      <c r="G838" s="59">
        <v>7</v>
      </c>
      <c r="H838" s="1338" t="s">
        <v>81</v>
      </c>
      <c r="I838" s="960"/>
      <c r="J838" s="59"/>
      <c r="K838" s="59"/>
    </row>
    <row r="839" spans="1:11" ht="16.5" customHeight="1" x14ac:dyDescent="0.25">
      <c r="A839" s="57" t="s">
        <v>108</v>
      </c>
      <c r="B839" s="57" t="s">
        <v>183</v>
      </c>
      <c r="C839" s="57">
        <v>2025</v>
      </c>
      <c r="D839" s="58">
        <f>MATCH(B839,{"GENNAIO","FEBBRAIO","MARZO","APRILE","MAGGIO","GIUGNO","LUGLIO","AGOSTO","SETTEMBRE","OTTOBRE","NOVEMBRE","DICEMBRE"},0)</f>
        <v>1</v>
      </c>
      <c r="E839" s="57" t="str">
        <f t="shared" si="1200"/>
        <v>GENNAIO 2025</v>
      </c>
      <c r="F839" s="57" t="str">
        <f t="shared" si="1201"/>
        <v>1 GENNAIO 2025</v>
      </c>
      <c r="G839" s="59">
        <v>11.98</v>
      </c>
      <c r="H839" s="1338" t="s">
        <v>75</v>
      </c>
      <c r="I839" s="960"/>
      <c r="J839" s="57" t="s">
        <v>108</v>
      </c>
      <c r="K839" s="59"/>
    </row>
    <row r="840" spans="1:11" ht="16.5" customHeight="1" x14ac:dyDescent="0.25">
      <c r="A840" s="57" t="s">
        <v>171</v>
      </c>
      <c r="B840" s="57" t="s">
        <v>183</v>
      </c>
      <c r="C840" s="57">
        <v>2025</v>
      </c>
      <c r="D840" s="58">
        <f>MATCH(B840,{"GENNAIO","FEBBRAIO","MARZO","APRILE","MAGGIO","GIUGNO","LUGLIO","AGOSTO","SETTEMBRE","OTTOBRE","NOVEMBRE","DICEMBRE"},0)</f>
        <v>1</v>
      </c>
      <c r="E840" s="57" t="str">
        <f t="shared" si="1200"/>
        <v>GENNAIO 2025</v>
      </c>
      <c r="F840" s="57" t="str">
        <f t="shared" si="1201"/>
        <v>1 GENNAIO 2025</v>
      </c>
      <c r="G840" s="59">
        <v>71.400000000000006</v>
      </c>
      <c r="H840" s="1338" t="s">
        <v>81</v>
      </c>
      <c r="I840" s="960"/>
      <c r="J840" s="59"/>
      <c r="K840" s="59"/>
    </row>
    <row r="841" spans="1:11" x14ac:dyDescent="0.25">
      <c r="A841" s="57" t="s">
        <v>108</v>
      </c>
      <c r="B841" s="57" t="s">
        <v>183</v>
      </c>
      <c r="C841" s="57">
        <v>2025</v>
      </c>
      <c r="D841" s="58">
        <f>MATCH(B841,{"GENNAIO","FEBBRAIO","MARZO","APRILE","MAGGIO","GIUGNO","LUGLIO","AGOSTO","SETTEMBRE","OTTOBRE","NOVEMBRE","DICEMBRE"},0)</f>
        <v>1</v>
      </c>
      <c r="E841" s="57" t="str">
        <f t="shared" si="1200"/>
        <v>GENNAIO 2025</v>
      </c>
      <c r="F841" s="57" t="str">
        <f t="shared" si="1201"/>
        <v>1 GENNAIO 2025</v>
      </c>
      <c r="G841" s="59">
        <v>63.6</v>
      </c>
      <c r="H841" s="1338" t="s">
        <v>75</v>
      </c>
      <c r="I841" s="960"/>
      <c r="J841" s="57" t="s">
        <v>108</v>
      </c>
      <c r="K841" s="59"/>
    </row>
    <row r="842" spans="1:11" x14ac:dyDescent="0.25">
      <c r="A842" s="57" t="s">
        <v>108</v>
      </c>
      <c r="B842" s="57" t="s">
        <v>183</v>
      </c>
      <c r="C842" s="57">
        <v>2025</v>
      </c>
      <c r="D842" s="58">
        <f>MATCH(B842,{"GENNAIO","FEBBRAIO","MARZO","APRILE","MAGGIO","GIUGNO","LUGLIO","AGOSTO","SETTEMBRE","OTTOBRE","NOVEMBRE","DICEMBRE"},0)</f>
        <v>1</v>
      </c>
      <c r="E842" s="57" t="str">
        <f t="shared" si="1200"/>
        <v>GENNAIO 2025</v>
      </c>
      <c r="F842" s="57" t="str">
        <f t="shared" si="1201"/>
        <v>1 GENNAIO 2025</v>
      </c>
      <c r="G842" s="59">
        <v>15</v>
      </c>
      <c r="H842" s="1338" t="s">
        <v>93</v>
      </c>
      <c r="I842" s="960" t="s">
        <v>1043</v>
      </c>
      <c r="J842" s="57" t="s">
        <v>108</v>
      </c>
      <c r="K842" s="59" t="s">
        <v>1030</v>
      </c>
    </row>
    <row r="843" spans="1:11" x14ac:dyDescent="0.25">
      <c r="A843" s="57" t="s">
        <v>787</v>
      </c>
      <c r="B843" s="57" t="s">
        <v>188</v>
      </c>
      <c r="C843" s="57">
        <v>2024</v>
      </c>
      <c r="D843" s="58">
        <f>MATCH(B843,{"GENNAIO","FEBBRAIO","MARZO","APRILE","MAGGIO","GIUGNO","LUGLIO","AGOSTO","SETTEMBRE","OTTOBRE","NOVEMBRE","DICEMBRE"},0)</f>
        <v>12</v>
      </c>
      <c r="E843" s="57" t="str">
        <f t="shared" si="1200"/>
        <v>DICEMBRE 2024</v>
      </c>
      <c r="F843" s="57" t="str">
        <f t="shared" si="1201"/>
        <v>12 DICEMBRE 2024</v>
      </c>
      <c r="G843" s="59">
        <v>14.4</v>
      </c>
      <c r="H843" s="1338" t="s">
        <v>69</v>
      </c>
      <c r="I843" s="960"/>
      <c r="J843" s="59"/>
      <c r="K843" s="59"/>
    </row>
    <row r="844" spans="1:11" x14ac:dyDescent="0.25">
      <c r="A844" s="57" t="s">
        <v>79</v>
      </c>
      <c r="B844" s="57" t="s">
        <v>188</v>
      </c>
      <c r="C844" s="57">
        <v>2024</v>
      </c>
      <c r="D844" s="58">
        <f>MATCH(B844,{"GENNAIO","FEBBRAIO","MARZO","APRILE","MAGGIO","GIUGNO","LUGLIO","AGOSTO","SETTEMBRE","OTTOBRE","NOVEMBRE","DICEMBRE"},0)</f>
        <v>12</v>
      </c>
      <c r="E844" s="57" t="str">
        <f t="shared" si="1200"/>
        <v>DICEMBRE 2024</v>
      </c>
      <c r="F844" s="57" t="str">
        <f t="shared" si="1201"/>
        <v>12 DICEMBRE 2024</v>
      </c>
      <c r="G844" s="59">
        <v>4.9000000000000004</v>
      </c>
      <c r="H844" s="1338" t="s">
        <v>81</v>
      </c>
      <c r="I844" s="960"/>
      <c r="J844" s="59"/>
      <c r="K844" s="59"/>
    </row>
    <row r="845" spans="1:11" ht="18.600000000000001" customHeight="1" x14ac:dyDescent="0.25">
      <c r="A845" s="57" t="s">
        <v>250</v>
      </c>
      <c r="B845" s="57" t="s">
        <v>188</v>
      </c>
      <c r="C845" s="57">
        <v>2024</v>
      </c>
      <c r="D845" s="58">
        <f>MATCH(B845,{"GENNAIO","FEBBRAIO","MARZO","APRILE","MAGGIO","GIUGNO","LUGLIO","AGOSTO","SETTEMBRE","OTTOBRE","NOVEMBRE","DICEMBRE"},0)</f>
        <v>12</v>
      </c>
      <c r="E845" s="57" t="str">
        <f t="shared" si="1200"/>
        <v>DICEMBRE 2024</v>
      </c>
      <c r="F845" s="57" t="str">
        <f t="shared" si="1201"/>
        <v>12 DICEMBRE 2024</v>
      </c>
      <c r="G845" s="59">
        <v>1.3</v>
      </c>
      <c r="H845" s="1338" t="s">
        <v>91</v>
      </c>
      <c r="I845" s="960"/>
      <c r="J845" s="59"/>
      <c r="K845" s="59"/>
    </row>
    <row r="846" spans="1:11" x14ac:dyDescent="0.25">
      <c r="A846" s="57" t="s">
        <v>67</v>
      </c>
      <c r="B846" s="57" t="s">
        <v>188</v>
      </c>
      <c r="C846" s="57">
        <v>2024</v>
      </c>
      <c r="D846" s="58">
        <f>MATCH(B846,{"GENNAIO","FEBBRAIO","MARZO","APRILE","MAGGIO","GIUGNO","LUGLIO","AGOSTO","SETTEMBRE","OTTOBRE","NOVEMBRE","DICEMBRE"},0)</f>
        <v>12</v>
      </c>
      <c r="E846" s="57" t="str">
        <f t="shared" si="1200"/>
        <v>DICEMBRE 2024</v>
      </c>
      <c r="F846" s="57" t="str">
        <f t="shared" si="1201"/>
        <v>12 DICEMBRE 2024</v>
      </c>
      <c r="G846" s="59">
        <v>6.5</v>
      </c>
      <c r="H846" s="1338" t="s">
        <v>776</v>
      </c>
      <c r="I846" s="960"/>
      <c r="J846" s="59"/>
      <c r="K846" s="59"/>
    </row>
    <row r="847" spans="1:11" ht="18.600000000000001" customHeight="1" x14ac:dyDescent="0.25">
      <c r="A847" s="57" t="s">
        <v>67</v>
      </c>
      <c r="B847" s="57" t="s">
        <v>188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si="1200"/>
        <v>DICEMBRE 2024</v>
      </c>
      <c r="F847" s="57" t="str">
        <f t="shared" si="1201"/>
        <v>12 DICEMBRE 2024</v>
      </c>
      <c r="G847" s="59">
        <v>6.5</v>
      </c>
      <c r="H847" s="1338" t="s">
        <v>776</v>
      </c>
      <c r="I847" s="960"/>
      <c r="J847" s="59"/>
      <c r="K847" s="59"/>
    </row>
    <row r="848" spans="1:11" ht="18.600000000000001" customHeight="1" x14ac:dyDescent="0.25">
      <c r="A848" s="57" t="s">
        <v>78</v>
      </c>
      <c r="B848" s="57" t="s">
        <v>188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200"/>
        <v>DICEMBRE 2024</v>
      </c>
      <c r="F848" s="57" t="str">
        <f t="shared" si="1201"/>
        <v>12 DICEMBRE 2024</v>
      </c>
      <c r="G848" s="59">
        <v>9.99</v>
      </c>
      <c r="H848" s="1338" t="s">
        <v>77</v>
      </c>
      <c r="I848" s="960"/>
      <c r="J848" s="59"/>
      <c r="K848" s="59"/>
    </row>
    <row r="849" spans="1:11" ht="16.5" customHeight="1" x14ac:dyDescent="0.25">
      <c r="A849" s="57" t="s">
        <v>170</v>
      </c>
      <c r="B849" s="57" t="s">
        <v>188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si="1200"/>
        <v>DICEMBRE 2024</v>
      </c>
      <c r="F849" s="57" t="str">
        <f t="shared" si="1201"/>
        <v>12 DICEMBRE 2024</v>
      </c>
      <c r="G849" s="59">
        <v>18</v>
      </c>
      <c r="H849" s="1338" t="s">
        <v>69</v>
      </c>
      <c r="I849" s="960"/>
      <c r="J849" s="59"/>
      <c r="K849" s="59" t="s">
        <v>771</v>
      </c>
    </row>
    <row r="850" spans="1:11" ht="16.5" customHeight="1" x14ac:dyDescent="0.25">
      <c r="A850" s="57" t="s">
        <v>78</v>
      </c>
      <c r="B850" s="57" t="s">
        <v>188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200"/>
        <v>DICEMBRE 2024</v>
      </c>
      <c r="F850" s="57" t="str">
        <f t="shared" si="1201"/>
        <v>12 DICEMBRE 2024</v>
      </c>
      <c r="G850" s="59">
        <v>83.13</v>
      </c>
      <c r="H850" s="1338" t="s">
        <v>77</v>
      </c>
      <c r="I850" s="960"/>
      <c r="J850" s="59"/>
      <c r="K850" s="59" t="s">
        <v>771</v>
      </c>
    </row>
    <row r="851" spans="1:11" ht="16.5" customHeight="1" x14ac:dyDescent="0.25">
      <c r="A851" s="57" t="s">
        <v>76</v>
      </c>
      <c r="B851" s="57" t="s">
        <v>188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si="1200"/>
        <v>DICEMBRE 2024</v>
      </c>
      <c r="F851" s="57" t="str">
        <f t="shared" si="1201"/>
        <v>12 DICEMBRE 2024</v>
      </c>
      <c r="G851" s="59">
        <v>18.39</v>
      </c>
      <c r="H851" s="1338" t="s">
        <v>77</v>
      </c>
      <c r="I851" s="960"/>
      <c r="J851" s="59"/>
      <c r="K851" s="59"/>
    </row>
    <row r="852" spans="1:11" ht="16.5" customHeight="1" x14ac:dyDescent="0.25">
      <c r="A852" s="57" t="s">
        <v>1005</v>
      </c>
      <c r="B852" s="57" t="s">
        <v>188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200"/>
        <v>DICEMBRE 2024</v>
      </c>
      <c r="F852" s="57" t="str">
        <f t="shared" si="1201"/>
        <v>12 DICEMBRE 2024</v>
      </c>
      <c r="G852" s="59">
        <v>20</v>
      </c>
      <c r="H852" s="1338" t="s">
        <v>77</v>
      </c>
      <c r="I852" s="960"/>
      <c r="J852" s="59" t="s">
        <v>768</v>
      </c>
      <c r="K852" s="59"/>
    </row>
    <row r="853" spans="1:11" x14ac:dyDescent="0.25">
      <c r="A853" s="57" t="s">
        <v>121</v>
      </c>
      <c r="B853" s="57" t="s">
        <v>188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200"/>
        <v>DICEMBRE 2024</v>
      </c>
      <c r="F853" s="57" t="str">
        <f t="shared" si="1201"/>
        <v>12 DICEMBRE 2024</v>
      </c>
      <c r="G853" s="59">
        <v>0.4</v>
      </c>
      <c r="H853" s="1338" t="s">
        <v>777</v>
      </c>
      <c r="I853" s="960"/>
      <c r="J853" s="59"/>
      <c r="K853" s="59"/>
    </row>
    <row r="854" spans="1:11" x14ac:dyDescent="0.25">
      <c r="A854" s="57" t="s">
        <v>121</v>
      </c>
      <c r="B854" s="57" t="s">
        <v>188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200"/>
        <v>DICEMBRE 2024</v>
      </c>
      <c r="F854" s="57" t="str">
        <f t="shared" si="1201"/>
        <v>12 DICEMBRE 2024</v>
      </c>
      <c r="G854" s="59">
        <v>0.4</v>
      </c>
      <c r="H854" s="1338" t="s">
        <v>777</v>
      </c>
      <c r="I854" s="960"/>
      <c r="J854" s="59"/>
      <c r="K854" s="59"/>
    </row>
    <row r="855" spans="1:11" ht="16.5" customHeight="1" x14ac:dyDescent="0.25">
      <c r="A855" s="57" t="s">
        <v>108</v>
      </c>
      <c r="B855" s="57" t="s">
        <v>188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200"/>
        <v>DICEMBRE 2024</v>
      </c>
      <c r="F855" s="57" t="str">
        <f t="shared" si="1201"/>
        <v>12 DICEMBRE 2024</v>
      </c>
      <c r="G855" s="59">
        <v>55.99</v>
      </c>
      <c r="H855" s="1338" t="s">
        <v>93</v>
      </c>
      <c r="I855" s="960"/>
      <c r="J855" s="57" t="s">
        <v>108</v>
      </c>
      <c r="K855" s="59" t="s">
        <v>1132</v>
      </c>
    </row>
    <row r="856" spans="1:11" ht="18.600000000000001" customHeight="1" x14ac:dyDescent="0.25">
      <c r="A856" s="57" t="s">
        <v>67</v>
      </c>
      <c r="B856" s="57" t="s">
        <v>188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200"/>
        <v>DICEMBRE 2024</v>
      </c>
      <c r="F856" s="57" t="str">
        <f t="shared" si="1201"/>
        <v>12 DICEMBRE 2024</v>
      </c>
      <c r="G856" s="59">
        <v>30.4</v>
      </c>
      <c r="H856" s="1338" t="s">
        <v>69</v>
      </c>
      <c r="I856" s="960"/>
      <c r="J856" s="59"/>
      <c r="K856" s="59"/>
    </row>
    <row r="857" spans="1:11" x14ac:dyDescent="0.25">
      <c r="A857" s="57" t="s">
        <v>67</v>
      </c>
      <c r="B857" s="57" t="s">
        <v>188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200"/>
        <v>DICEMBRE 2024</v>
      </c>
      <c r="F857" s="57" t="str">
        <f t="shared" si="1201"/>
        <v>12 DICEMBRE 2024</v>
      </c>
      <c r="G857" s="59">
        <v>6.5</v>
      </c>
      <c r="H857" s="1338" t="s">
        <v>776</v>
      </c>
      <c r="I857" s="960"/>
      <c r="J857" s="59"/>
      <c r="K857" s="59"/>
    </row>
    <row r="858" spans="1:11" ht="16.5" customHeight="1" x14ac:dyDescent="0.25">
      <c r="A858" s="57" t="s">
        <v>121</v>
      </c>
      <c r="B858" s="57" t="s">
        <v>188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ref="E858:E921" si="1202">CONCATENATE(,B858," ",C858)</f>
        <v>DICEMBRE 2024</v>
      </c>
      <c r="F858" s="57" t="str">
        <f t="shared" ref="F858:F921" si="1203">CONCATENATE(D858," ",E858)</f>
        <v>12 DICEMBRE 2024</v>
      </c>
      <c r="G858" s="59">
        <v>0.4</v>
      </c>
      <c r="H858" s="1338" t="s">
        <v>777</v>
      </c>
      <c r="I858" s="960"/>
      <c r="J858" s="59"/>
      <c r="K858" s="59"/>
    </row>
    <row r="859" spans="1:11" ht="16.5" customHeight="1" x14ac:dyDescent="0.25">
      <c r="A859" s="57" t="s">
        <v>196</v>
      </c>
      <c r="B859" s="57" t="s">
        <v>188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202"/>
        <v>DICEMBRE 2024</v>
      </c>
      <c r="F859" s="57" t="str">
        <f t="shared" si="1203"/>
        <v>12 DICEMBRE 2024</v>
      </c>
      <c r="G859" s="59">
        <v>39.5</v>
      </c>
      <c r="H859" s="1338" t="s">
        <v>77</v>
      </c>
      <c r="I859" s="960"/>
      <c r="J859" s="59"/>
      <c r="K859" s="59" t="s">
        <v>771</v>
      </c>
    </row>
    <row r="860" spans="1:11" x14ac:dyDescent="0.25">
      <c r="A860" s="57" t="s">
        <v>190</v>
      </c>
      <c r="B860" s="57" t="s">
        <v>188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202"/>
        <v>DICEMBRE 2024</v>
      </c>
      <c r="F860" s="57" t="str">
        <f t="shared" si="1203"/>
        <v>12 DICEMBRE 2024</v>
      </c>
      <c r="G860" s="59">
        <v>25.9</v>
      </c>
      <c r="H860" s="1338" t="s">
        <v>191</v>
      </c>
      <c r="I860" s="960"/>
      <c r="J860" s="59"/>
      <c r="K860" s="59" t="s">
        <v>1132</v>
      </c>
    </row>
    <row r="861" spans="1:11" x14ac:dyDescent="0.25">
      <c r="A861" s="57" t="s">
        <v>302</v>
      </c>
      <c r="B861" s="57" t="s">
        <v>188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202"/>
        <v>DICEMBRE 2024</v>
      </c>
      <c r="F861" s="57" t="str">
        <f t="shared" si="1203"/>
        <v>12 DICEMBRE 2024</v>
      </c>
      <c r="G861" s="59">
        <v>30.18</v>
      </c>
      <c r="H861" s="1338" t="s">
        <v>93</v>
      </c>
      <c r="I861" s="960"/>
      <c r="J861" s="59"/>
      <c r="K861" s="59" t="s">
        <v>1132</v>
      </c>
    </row>
    <row r="862" spans="1:11" x14ac:dyDescent="0.25">
      <c r="A862" s="57" t="s">
        <v>110</v>
      </c>
      <c r="B862" s="57" t="s">
        <v>188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202"/>
        <v>DICEMBRE 2024</v>
      </c>
      <c r="F862" s="57" t="str">
        <f t="shared" si="1203"/>
        <v>12 DICEMBRE 2024</v>
      </c>
      <c r="G862" s="59">
        <v>154.76</v>
      </c>
      <c r="H862" s="1338" t="s">
        <v>772</v>
      </c>
      <c r="I862" s="960"/>
      <c r="J862" s="59"/>
      <c r="K862" s="59" t="s">
        <v>770</v>
      </c>
    </row>
    <row r="863" spans="1:11" ht="16.5" customHeight="1" x14ac:dyDescent="0.25">
      <c r="A863" s="57" t="s">
        <v>769</v>
      </c>
      <c r="B863" s="57" t="s">
        <v>188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202"/>
        <v>DICEMBRE 2024</v>
      </c>
      <c r="F863" s="57" t="str">
        <f t="shared" si="1203"/>
        <v>12 DICEMBRE 2024</v>
      </c>
      <c r="G863" s="59">
        <v>30.8</v>
      </c>
      <c r="H863" s="1338" t="s">
        <v>69</v>
      </c>
      <c r="I863" s="960"/>
      <c r="J863" s="59"/>
      <c r="K863" s="59" t="s">
        <v>770</v>
      </c>
    </row>
    <row r="864" spans="1:11" x14ac:dyDescent="0.25">
      <c r="A864" s="57" t="s">
        <v>67</v>
      </c>
      <c r="B864" s="57" t="s">
        <v>188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202"/>
        <v>DICEMBRE 2024</v>
      </c>
      <c r="F864" s="57" t="str">
        <f t="shared" si="1203"/>
        <v>12 DICEMBRE 2024</v>
      </c>
      <c r="G864" s="59">
        <v>40</v>
      </c>
      <c r="H864" s="1338" t="s">
        <v>69</v>
      </c>
      <c r="I864" s="960"/>
      <c r="J864" s="59"/>
      <c r="K864" s="59"/>
    </row>
    <row r="865" spans="1:11" x14ac:dyDescent="0.25">
      <c r="A865" s="57" t="s">
        <v>67</v>
      </c>
      <c r="B865" s="57" t="s">
        <v>188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202"/>
        <v>DICEMBRE 2024</v>
      </c>
      <c r="F865" s="57" t="str">
        <f t="shared" si="1203"/>
        <v>12 DICEMBRE 2024</v>
      </c>
      <c r="G865" s="59">
        <v>6.5</v>
      </c>
      <c r="H865" s="1338" t="s">
        <v>776</v>
      </c>
      <c r="I865" s="960"/>
      <c r="J865" s="59"/>
      <c r="K865" s="59"/>
    </row>
    <row r="866" spans="1:11" ht="16.5" customHeight="1" x14ac:dyDescent="0.25">
      <c r="A866" s="57" t="s">
        <v>121</v>
      </c>
      <c r="B866" s="57" t="s">
        <v>188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202"/>
        <v>DICEMBRE 2024</v>
      </c>
      <c r="F866" s="57" t="str">
        <f t="shared" si="1203"/>
        <v>12 DICEMBRE 2024</v>
      </c>
      <c r="G866" s="59">
        <v>0.4</v>
      </c>
      <c r="H866" s="1338" t="s">
        <v>777</v>
      </c>
      <c r="I866" s="960"/>
      <c r="J866" s="59"/>
      <c r="K866" s="59"/>
    </row>
    <row r="867" spans="1:11" ht="16.5" customHeight="1" x14ac:dyDescent="0.25">
      <c r="A867" s="57" t="s">
        <v>67</v>
      </c>
      <c r="B867" s="57" t="s">
        <v>188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202"/>
        <v>DICEMBRE 2024</v>
      </c>
      <c r="F867" s="57" t="str">
        <f t="shared" si="1203"/>
        <v>12 DICEMBRE 2024</v>
      </c>
      <c r="G867" s="59">
        <v>6.5</v>
      </c>
      <c r="H867" s="1338" t="s">
        <v>776</v>
      </c>
      <c r="I867" s="960"/>
      <c r="J867" s="59"/>
      <c r="K867" s="59"/>
    </row>
    <row r="868" spans="1:11" ht="16.5" customHeight="1" x14ac:dyDescent="0.25">
      <c r="A868" s="57" t="s">
        <v>67</v>
      </c>
      <c r="B868" s="57" t="s">
        <v>188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202"/>
        <v>DICEMBRE 2024</v>
      </c>
      <c r="F868" s="57" t="str">
        <f t="shared" si="1203"/>
        <v>12 DICEMBRE 2024</v>
      </c>
      <c r="G868" s="59">
        <v>6.5</v>
      </c>
      <c r="H868" s="1338" t="s">
        <v>776</v>
      </c>
      <c r="I868" s="960"/>
      <c r="J868" s="59"/>
      <c r="K868" s="59"/>
    </row>
    <row r="869" spans="1:11" ht="18.600000000000001" customHeight="1" x14ac:dyDescent="0.25">
      <c r="A869" s="57" t="s">
        <v>108</v>
      </c>
      <c r="B869" s="57" t="s">
        <v>188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202"/>
        <v>DICEMBRE 2024</v>
      </c>
      <c r="F869" s="57" t="str">
        <f t="shared" si="1203"/>
        <v>12 DICEMBRE 2024</v>
      </c>
      <c r="G869" s="59">
        <v>14.99</v>
      </c>
      <c r="H869" s="1338" t="s">
        <v>75</v>
      </c>
      <c r="I869" s="960"/>
      <c r="J869" s="57" t="s">
        <v>108</v>
      </c>
      <c r="K869" s="59"/>
    </row>
    <row r="870" spans="1:11" ht="18.600000000000001" customHeight="1" x14ac:dyDescent="0.25">
      <c r="A870" s="57" t="s">
        <v>108</v>
      </c>
      <c r="B870" s="57" t="s">
        <v>188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202"/>
        <v>DICEMBRE 2024</v>
      </c>
      <c r="F870" s="57" t="str">
        <f t="shared" si="1203"/>
        <v>12 DICEMBRE 2024</v>
      </c>
      <c r="G870" s="59">
        <v>11.69</v>
      </c>
      <c r="H870" s="1338" t="s">
        <v>75</v>
      </c>
      <c r="I870" s="960"/>
      <c r="J870" s="57" t="s">
        <v>108</v>
      </c>
      <c r="K870" s="59"/>
    </row>
    <row r="871" spans="1:11" ht="18.600000000000001" customHeight="1" x14ac:dyDescent="0.25">
      <c r="A871" s="57" t="s">
        <v>767</v>
      </c>
      <c r="B871" s="57" t="s">
        <v>188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202"/>
        <v>DICEMBRE 2024</v>
      </c>
      <c r="F871" s="57" t="str">
        <f t="shared" si="1203"/>
        <v>12 DICEMBRE 2024</v>
      </c>
      <c r="G871" s="59">
        <v>54</v>
      </c>
      <c r="H871" s="1338" t="s">
        <v>69</v>
      </c>
      <c r="I871" s="960"/>
      <c r="J871" s="59"/>
      <c r="K871" s="59"/>
    </row>
    <row r="872" spans="1:11" ht="16.5" customHeight="1" x14ac:dyDescent="0.25">
      <c r="A872" s="57" t="s">
        <v>83</v>
      </c>
      <c r="B872" s="57" t="s">
        <v>188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202"/>
        <v>DICEMBRE 2024</v>
      </c>
      <c r="F872" s="57" t="str">
        <f t="shared" si="1203"/>
        <v>12 DICEMBRE 2024</v>
      </c>
      <c r="G872" s="59">
        <v>16.3</v>
      </c>
      <c r="H872" s="1338" t="s">
        <v>77</v>
      </c>
      <c r="I872" s="960"/>
      <c r="J872" s="59"/>
      <c r="K872" s="59"/>
    </row>
    <row r="873" spans="1:11" ht="16.5" customHeight="1" x14ac:dyDescent="0.25">
      <c r="A873" s="57" t="s">
        <v>78</v>
      </c>
      <c r="B873" s="57" t="s">
        <v>188</v>
      </c>
      <c r="C873" s="57">
        <v>2024</v>
      </c>
      <c r="D873" s="58">
        <f>MATCH(B873,{"GENNAIO","FEBBRAIO","MARZO","APRILE","MAGGIO","GIUGNO","LUGLIO","AGOSTO","SETTEMBRE","OTTOBRE","NOVEMBRE","DICEMBRE"},0)</f>
        <v>12</v>
      </c>
      <c r="E873" s="57" t="str">
        <f t="shared" si="1202"/>
        <v>DICEMBRE 2024</v>
      </c>
      <c r="F873" s="57" t="str">
        <f t="shared" si="1203"/>
        <v>12 DICEMBRE 2024</v>
      </c>
      <c r="G873" s="59">
        <v>13.38</v>
      </c>
      <c r="H873" s="1338" t="s">
        <v>77</v>
      </c>
      <c r="I873" s="960"/>
      <c r="J873" s="59"/>
      <c r="K873" s="59"/>
    </row>
    <row r="874" spans="1:11" ht="16.5" customHeight="1" x14ac:dyDescent="0.25">
      <c r="A874" s="57" t="s">
        <v>79</v>
      </c>
      <c r="B874" s="57" t="s">
        <v>188</v>
      </c>
      <c r="C874" s="57">
        <v>2024</v>
      </c>
      <c r="D874" s="58">
        <f>MATCH(B874,{"GENNAIO","FEBBRAIO","MARZO","APRILE","MAGGIO","GIUGNO","LUGLIO","AGOSTO","SETTEMBRE","OTTOBRE","NOVEMBRE","DICEMBRE"},0)</f>
        <v>12</v>
      </c>
      <c r="E874" s="57" t="str">
        <f t="shared" si="1202"/>
        <v>DICEMBRE 2024</v>
      </c>
      <c r="F874" s="57" t="str">
        <f t="shared" si="1203"/>
        <v>12 DICEMBRE 2024</v>
      </c>
      <c r="G874" s="59">
        <v>32.369999999999997</v>
      </c>
      <c r="H874" s="1338" t="s">
        <v>81</v>
      </c>
      <c r="I874" s="960"/>
      <c r="J874" s="59"/>
      <c r="K874" s="59"/>
    </row>
    <row r="875" spans="1:11" x14ac:dyDescent="0.25">
      <c r="A875" s="57" t="s">
        <v>108</v>
      </c>
      <c r="B875" s="57" t="s">
        <v>188</v>
      </c>
      <c r="C875" s="57">
        <v>2024</v>
      </c>
      <c r="D875" s="58">
        <f>MATCH(B875,{"GENNAIO","FEBBRAIO","MARZO","APRILE","MAGGIO","GIUGNO","LUGLIO","AGOSTO","SETTEMBRE","OTTOBRE","NOVEMBRE","DICEMBRE"},0)</f>
        <v>12</v>
      </c>
      <c r="E875" s="57" t="str">
        <f t="shared" si="1202"/>
        <v>DICEMBRE 2024</v>
      </c>
      <c r="F875" s="57" t="str">
        <f t="shared" si="1203"/>
        <v>12 DICEMBRE 2024</v>
      </c>
      <c r="G875" s="59">
        <v>6.39</v>
      </c>
      <c r="H875" s="1338" t="s">
        <v>75</v>
      </c>
      <c r="I875" s="960"/>
      <c r="J875" s="57" t="s">
        <v>108</v>
      </c>
      <c r="K875" s="59"/>
    </row>
    <row r="876" spans="1:11" x14ac:dyDescent="0.25">
      <c r="A876" s="57" t="s">
        <v>1006</v>
      </c>
      <c r="B876" s="57" t="s">
        <v>188</v>
      </c>
      <c r="C876" s="57">
        <v>2024</v>
      </c>
      <c r="D876" s="58">
        <f>MATCH(B876,{"GENNAIO","FEBBRAIO","MARZO","APRILE","MAGGIO","GIUGNO","LUGLIO","AGOSTO","SETTEMBRE","OTTOBRE","NOVEMBRE","DICEMBRE"},0)</f>
        <v>12</v>
      </c>
      <c r="E876" s="57" t="str">
        <f t="shared" si="1202"/>
        <v>DICEMBRE 2024</v>
      </c>
      <c r="F876" s="57" t="str">
        <f t="shared" si="1203"/>
        <v>12 DICEMBRE 2024</v>
      </c>
      <c r="G876" s="59">
        <v>40</v>
      </c>
      <c r="H876" s="1338" t="s">
        <v>93</v>
      </c>
      <c r="I876" s="960"/>
      <c r="J876" s="59" t="s">
        <v>768</v>
      </c>
      <c r="K876" s="59" t="s">
        <v>766</v>
      </c>
    </row>
    <row r="877" spans="1:11" ht="16.5" customHeight="1" x14ac:dyDescent="0.25">
      <c r="A877" s="57" t="s">
        <v>108</v>
      </c>
      <c r="B877" s="57" t="s">
        <v>188</v>
      </c>
      <c r="C877" s="57">
        <v>2024</v>
      </c>
      <c r="D877" s="58">
        <f>MATCH(B877,{"GENNAIO","FEBBRAIO","MARZO","APRILE","MAGGIO","GIUGNO","LUGLIO","AGOSTO","SETTEMBRE","OTTOBRE","NOVEMBRE","DICEMBRE"},0)</f>
        <v>12</v>
      </c>
      <c r="E877" s="57" t="str">
        <f t="shared" si="1202"/>
        <v>DICEMBRE 2024</v>
      </c>
      <c r="F877" s="57" t="str">
        <f t="shared" si="1203"/>
        <v>12 DICEMBRE 2024</v>
      </c>
      <c r="G877" s="59">
        <v>30.6</v>
      </c>
      <c r="H877" s="1338" t="s">
        <v>75</v>
      </c>
      <c r="I877" s="960" t="s">
        <v>1046</v>
      </c>
      <c r="J877" s="57" t="s">
        <v>108</v>
      </c>
      <c r="K877" s="59" t="s">
        <v>918</v>
      </c>
    </row>
    <row r="878" spans="1:11" x14ac:dyDescent="0.25">
      <c r="A878" s="57" t="s">
        <v>998</v>
      </c>
      <c r="B878" s="57" t="s">
        <v>188</v>
      </c>
      <c r="C878" s="57">
        <v>2024</v>
      </c>
      <c r="D878" s="58">
        <f>MATCH(B878,{"GENNAIO","FEBBRAIO","MARZO","APRILE","MAGGIO","GIUGNO","LUGLIO","AGOSTO","SETTEMBRE","OTTOBRE","NOVEMBRE","DICEMBRE"},0)</f>
        <v>12</v>
      </c>
      <c r="E878" s="57" t="str">
        <f t="shared" si="1202"/>
        <v>DICEMBRE 2024</v>
      </c>
      <c r="F878" s="57" t="str">
        <f t="shared" si="1203"/>
        <v>12 DICEMBRE 2024</v>
      </c>
      <c r="G878" s="59">
        <v>52.08</v>
      </c>
      <c r="H878" s="1338" t="s">
        <v>70</v>
      </c>
      <c r="I878" s="960" t="s">
        <v>989</v>
      </c>
      <c r="J878" s="59" t="s">
        <v>768</v>
      </c>
      <c r="K878" s="59" t="s">
        <v>749</v>
      </c>
    </row>
    <row r="879" spans="1:11" x14ac:dyDescent="0.25">
      <c r="A879" s="57" t="s">
        <v>108</v>
      </c>
      <c r="B879" s="57" t="s">
        <v>188</v>
      </c>
      <c r="C879" s="57">
        <v>2024</v>
      </c>
      <c r="D879" s="58">
        <f>MATCH(B879,{"GENNAIO","FEBBRAIO","MARZO","APRILE","MAGGIO","GIUGNO","LUGLIO","AGOSTO","SETTEMBRE","OTTOBRE","NOVEMBRE","DICEMBRE"},0)</f>
        <v>12</v>
      </c>
      <c r="E879" s="57" t="str">
        <f t="shared" si="1202"/>
        <v>DICEMBRE 2024</v>
      </c>
      <c r="F879" s="57" t="str">
        <f t="shared" si="1203"/>
        <v>12 DICEMBRE 2024</v>
      </c>
      <c r="G879" s="59">
        <v>16.63</v>
      </c>
      <c r="H879" s="1338" t="s">
        <v>75</v>
      </c>
      <c r="I879" s="960" t="s">
        <v>989</v>
      </c>
      <c r="J879" s="57" t="s">
        <v>108</v>
      </c>
      <c r="K879" s="59"/>
    </row>
    <row r="880" spans="1:11" ht="16.5" customHeight="1" x14ac:dyDescent="0.25">
      <c r="A880" s="57" t="s">
        <v>108</v>
      </c>
      <c r="B880" s="57" t="s">
        <v>188</v>
      </c>
      <c r="C880" s="57">
        <v>2024</v>
      </c>
      <c r="D880" s="58">
        <f>MATCH(B880,{"GENNAIO","FEBBRAIO","MARZO","APRILE","MAGGIO","GIUGNO","LUGLIO","AGOSTO","SETTEMBRE","OTTOBRE","NOVEMBRE","DICEMBRE"},0)</f>
        <v>12</v>
      </c>
      <c r="E880" s="57" t="str">
        <f t="shared" si="1202"/>
        <v>DICEMBRE 2024</v>
      </c>
      <c r="F880" s="57" t="str">
        <f t="shared" si="1203"/>
        <v>12 DICEMBRE 2024</v>
      </c>
      <c r="G880" s="59">
        <v>15</v>
      </c>
      <c r="H880" s="1338" t="s">
        <v>93</v>
      </c>
      <c r="I880" s="960" t="s">
        <v>1044</v>
      </c>
      <c r="J880" s="57" t="s">
        <v>108</v>
      </c>
      <c r="K880" s="59" t="s">
        <v>1030</v>
      </c>
    </row>
    <row r="881" spans="1:11" ht="16.5" customHeight="1" x14ac:dyDescent="0.25">
      <c r="A881" s="57" t="s">
        <v>999</v>
      </c>
      <c r="B881" s="57" t="s">
        <v>188</v>
      </c>
      <c r="C881" s="57">
        <v>2024</v>
      </c>
      <c r="D881" s="58">
        <f>MATCH(B881,{"GENNAIO","FEBBRAIO","MARZO","APRILE","MAGGIO","GIUGNO","LUGLIO","AGOSTO","SETTEMBRE","OTTOBRE","NOVEMBRE","DICEMBRE"},0)</f>
        <v>12</v>
      </c>
      <c r="E881" s="57" t="str">
        <f t="shared" si="1202"/>
        <v>DICEMBRE 2024</v>
      </c>
      <c r="F881" s="57" t="str">
        <f t="shared" si="1203"/>
        <v>12 DICEMBRE 2024</v>
      </c>
      <c r="G881" s="59">
        <v>36.32</v>
      </c>
      <c r="H881" s="1338" t="s">
        <v>75</v>
      </c>
      <c r="I881" s="960" t="s">
        <v>989</v>
      </c>
      <c r="J881" s="59" t="s">
        <v>768</v>
      </c>
      <c r="K881" s="59"/>
    </row>
    <row r="882" spans="1:11" ht="16.5" customHeight="1" x14ac:dyDescent="0.25">
      <c r="A882" s="57" t="s">
        <v>113</v>
      </c>
      <c r="B882" s="57" t="s">
        <v>207</v>
      </c>
      <c r="C882" s="57">
        <v>2024</v>
      </c>
      <c r="D882" s="58">
        <f>MATCH(B882,{"GENNAIO","FEBBRAIO","MARZO","APRILE","MAGGIO","GIUGNO","LUGLIO","AGOSTO","SETTEMBRE","OTTOBRE","NOVEMBRE","DICEMBRE"},0)</f>
        <v>11</v>
      </c>
      <c r="E882" s="57" t="str">
        <f t="shared" si="1202"/>
        <v>NOVEMBRE 2024</v>
      </c>
      <c r="F882" s="57" t="str">
        <f t="shared" si="1203"/>
        <v>11 NOVEMBRE 2024</v>
      </c>
      <c r="G882" s="59">
        <v>33</v>
      </c>
      <c r="H882" s="1338" t="s">
        <v>114</v>
      </c>
      <c r="I882" s="960"/>
      <c r="J882" s="59"/>
      <c r="K882" s="59"/>
    </row>
    <row r="883" spans="1:11" ht="16.5" customHeight="1" x14ac:dyDescent="0.25">
      <c r="A883" s="57" t="s">
        <v>232</v>
      </c>
      <c r="B883" s="57" t="s">
        <v>207</v>
      </c>
      <c r="C883" s="57">
        <v>2024</v>
      </c>
      <c r="D883" s="58">
        <f>MATCH(B883,{"GENNAIO","FEBBRAIO","MARZO","APRILE","MAGGIO","GIUGNO","LUGLIO","AGOSTO","SETTEMBRE","OTTOBRE","NOVEMBRE","DICEMBRE"},0)</f>
        <v>11</v>
      </c>
      <c r="E883" s="57" t="str">
        <f t="shared" si="1202"/>
        <v>NOVEMBRE 2024</v>
      </c>
      <c r="F883" s="57" t="str">
        <f t="shared" si="1203"/>
        <v>11 NOVEMBRE 2024</v>
      </c>
      <c r="G883" s="59">
        <v>11.5</v>
      </c>
      <c r="H883" s="1338" t="s">
        <v>91</v>
      </c>
      <c r="I883" s="960"/>
      <c r="J883" s="59"/>
      <c r="K883" s="59"/>
    </row>
    <row r="884" spans="1:11" ht="16.5" customHeight="1" x14ac:dyDescent="0.25">
      <c r="A884" s="57" t="s">
        <v>108</v>
      </c>
      <c r="B884" s="57" t="s">
        <v>207</v>
      </c>
      <c r="C884" s="57">
        <v>2024</v>
      </c>
      <c r="D884" s="58">
        <f>MATCH(B884,{"GENNAIO","FEBBRAIO","MARZO","APRILE","MAGGIO","GIUGNO","LUGLIO","AGOSTO","SETTEMBRE","OTTOBRE","NOVEMBRE","DICEMBRE"},0)</f>
        <v>11</v>
      </c>
      <c r="E884" s="57" t="str">
        <f t="shared" si="1202"/>
        <v>NOVEMBRE 2024</v>
      </c>
      <c r="F884" s="57" t="str">
        <f t="shared" si="1203"/>
        <v>11 NOVEMBRE 2024</v>
      </c>
      <c r="G884" s="59">
        <v>30.6</v>
      </c>
      <c r="H884" s="1338" t="s">
        <v>75</v>
      </c>
      <c r="I884" s="960" t="s">
        <v>1027</v>
      </c>
      <c r="J884" s="57" t="s">
        <v>108</v>
      </c>
      <c r="K884" s="59" t="s">
        <v>918</v>
      </c>
    </row>
    <row r="885" spans="1:11" ht="16.5" customHeight="1" x14ac:dyDescent="0.25">
      <c r="A885" s="57" t="s">
        <v>764</v>
      </c>
      <c r="B885" s="57" t="s">
        <v>207</v>
      </c>
      <c r="C885" s="57">
        <v>2024</v>
      </c>
      <c r="D885" s="58">
        <f>MATCH(B885,{"GENNAIO","FEBBRAIO","MARZO","APRILE","MAGGIO","GIUGNO","LUGLIO","AGOSTO","SETTEMBRE","OTTOBRE","NOVEMBRE","DICEMBRE"},0)</f>
        <v>11</v>
      </c>
      <c r="E885" s="57" t="str">
        <f t="shared" si="1202"/>
        <v>NOVEMBRE 2024</v>
      </c>
      <c r="F885" s="57" t="str">
        <f t="shared" si="1203"/>
        <v>11 NOVEMBRE 2024</v>
      </c>
      <c r="G885" s="59">
        <v>75</v>
      </c>
      <c r="H885" s="1338" t="s">
        <v>69</v>
      </c>
      <c r="I885" s="960"/>
      <c r="J885" s="59"/>
      <c r="K885" s="59"/>
    </row>
    <row r="886" spans="1:11" ht="16.5" customHeight="1" x14ac:dyDescent="0.25">
      <c r="A886" s="57" t="s">
        <v>108</v>
      </c>
      <c r="B886" s="57" t="s">
        <v>207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202"/>
        <v>NOVEMBRE 2024</v>
      </c>
      <c r="F886" s="57" t="str">
        <f t="shared" si="1203"/>
        <v>11 NOVEMBRE 2024</v>
      </c>
      <c r="G886" s="59">
        <v>47.08</v>
      </c>
      <c r="H886" s="1338" t="s">
        <v>137</v>
      </c>
      <c r="I886" s="960"/>
      <c r="J886" s="57" t="s">
        <v>108</v>
      </c>
      <c r="K886" s="59"/>
    </row>
    <row r="887" spans="1:11" ht="16.5" customHeight="1" x14ac:dyDescent="0.25">
      <c r="A887" s="57" t="s">
        <v>138</v>
      </c>
      <c r="B887" s="57" t="s">
        <v>207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202"/>
        <v>NOVEMBRE 2024</v>
      </c>
      <c r="F887" s="57" t="str">
        <f t="shared" si="1203"/>
        <v>11 NOVEMBRE 2024</v>
      </c>
      <c r="G887" s="59">
        <v>11.5</v>
      </c>
      <c r="H887" s="1338" t="s">
        <v>69</v>
      </c>
      <c r="I887" s="960"/>
      <c r="J887" s="59"/>
      <c r="K887" s="59"/>
    </row>
    <row r="888" spans="1:11" ht="16.5" customHeight="1" x14ac:dyDescent="0.25">
      <c r="A888" s="57" t="s">
        <v>1007</v>
      </c>
      <c r="B888" s="57" t="s">
        <v>207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202"/>
        <v>NOVEMBRE 2024</v>
      </c>
      <c r="F888" s="57" t="str">
        <f t="shared" si="1203"/>
        <v>11 NOVEMBRE 2024</v>
      </c>
      <c r="G888" s="59">
        <v>60</v>
      </c>
      <c r="H888" s="1338" t="s">
        <v>93</v>
      </c>
      <c r="I888" s="960"/>
      <c r="J888" s="59" t="s">
        <v>768</v>
      </c>
      <c r="K888" s="59" t="s">
        <v>765</v>
      </c>
    </row>
    <row r="889" spans="1:11" x14ac:dyDescent="0.25">
      <c r="A889" s="57" t="s">
        <v>121</v>
      </c>
      <c r="B889" s="57" t="s">
        <v>207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202"/>
        <v>NOVEMBRE 2024</v>
      </c>
      <c r="F889" s="57" t="str">
        <f t="shared" si="1203"/>
        <v>11 NOVEMBRE 2024</v>
      </c>
      <c r="G889" s="59">
        <v>0.35</v>
      </c>
      <c r="H889" s="1338" t="s">
        <v>777</v>
      </c>
      <c r="I889" s="960"/>
      <c r="J889" s="59"/>
      <c r="K889" s="59"/>
    </row>
    <row r="890" spans="1:11" ht="16.5" customHeight="1" x14ac:dyDescent="0.25">
      <c r="A890" s="57" t="s">
        <v>1054</v>
      </c>
      <c r="B890" s="57" t="s">
        <v>207</v>
      </c>
      <c r="C890" s="57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202"/>
        <v>NOVEMBRE 2024</v>
      </c>
      <c r="F890" s="57" t="str">
        <f t="shared" si="1203"/>
        <v>11 NOVEMBRE 2024</v>
      </c>
      <c r="G890" s="59">
        <v>72</v>
      </c>
      <c r="H890" s="1338" t="s">
        <v>91</v>
      </c>
      <c r="I890" s="960"/>
      <c r="J890" s="59"/>
      <c r="K890" s="59" t="s">
        <v>761</v>
      </c>
    </row>
    <row r="891" spans="1:11" x14ac:dyDescent="0.25">
      <c r="A891" s="57" t="s">
        <v>763</v>
      </c>
      <c r="B891" s="57" t="s">
        <v>207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202"/>
        <v>NOVEMBRE 2024</v>
      </c>
      <c r="F891" s="57" t="str">
        <f t="shared" si="1203"/>
        <v>11 NOVEMBRE 2024</v>
      </c>
      <c r="G891" s="59">
        <v>28.6</v>
      </c>
      <c r="H891" s="1338" t="s">
        <v>93</v>
      </c>
      <c r="I891" s="960"/>
      <c r="J891" s="59"/>
      <c r="K891" s="59"/>
    </row>
    <row r="892" spans="1:11" x14ac:dyDescent="0.25">
      <c r="A892" s="57" t="s">
        <v>998</v>
      </c>
      <c r="B892" s="57" t="s">
        <v>207</v>
      </c>
      <c r="C892" s="57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202"/>
        <v>NOVEMBRE 2024</v>
      </c>
      <c r="F892" s="57" t="str">
        <f t="shared" si="1203"/>
        <v>11 NOVEMBRE 2024</v>
      </c>
      <c r="G892" s="59">
        <v>232.39</v>
      </c>
      <c r="H892" s="1338" t="s">
        <v>70</v>
      </c>
      <c r="I892" s="960"/>
      <c r="J892" s="59"/>
      <c r="K892" s="59" t="s">
        <v>762</v>
      </c>
    </row>
    <row r="893" spans="1:11" ht="16.5" customHeight="1" x14ac:dyDescent="0.25">
      <c r="A893" s="57" t="s">
        <v>1054</v>
      </c>
      <c r="B893" s="57" t="s">
        <v>207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202"/>
        <v>NOVEMBRE 2024</v>
      </c>
      <c r="F893" s="57" t="str">
        <f t="shared" si="1203"/>
        <v>11 NOVEMBRE 2024</v>
      </c>
      <c r="G893" s="59">
        <v>72</v>
      </c>
      <c r="H893" s="1338" t="s">
        <v>91</v>
      </c>
      <c r="I893" s="960"/>
      <c r="J893" s="59"/>
      <c r="K893" s="59" t="s">
        <v>761</v>
      </c>
    </row>
    <row r="894" spans="1:11" ht="18.600000000000001" customHeight="1" x14ac:dyDescent="0.25">
      <c r="A894" s="57" t="s">
        <v>1020</v>
      </c>
      <c r="B894" s="57" t="s">
        <v>207</v>
      </c>
      <c r="C894" s="57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202"/>
        <v>NOVEMBRE 2024</v>
      </c>
      <c r="F894" s="57" t="str">
        <f t="shared" si="1203"/>
        <v>11 NOVEMBRE 2024</v>
      </c>
      <c r="G894" s="59">
        <v>11.2</v>
      </c>
      <c r="H894" s="1338" t="s">
        <v>69</v>
      </c>
      <c r="I894" s="960"/>
      <c r="J894" s="59"/>
      <c r="K894" s="59"/>
    </row>
    <row r="895" spans="1:11" ht="18.600000000000001" customHeight="1" x14ac:dyDescent="0.25">
      <c r="A895" s="57" t="s">
        <v>67</v>
      </c>
      <c r="B895" s="57" t="s">
        <v>207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202"/>
        <v>NOVEMBRE 2024</v>
      </c>
      <c r="F895" s="57" t="str">
        <f t="shared" si="1203"/>
        <v>11 NOVEMBRE 2024</v>
      </c>
      <c r="G895" s="59">
        <v>6.5</v>
      </c>
      <c r="H895" s="1338" t="s">
        <v>776</v>
      </c>
      <c r="I895" s="960"/>
      <c r="J895" s="59"/>
      <c r="K895" s="59"/>
    </row>
    <row r="896" spans="1:11" x14ac:dyDescent="0.25">
      <c r="A896" s="57" t="s">
        <v>108</v>
      </c>
      <c r="B896" s="57" t="s">
        <v>207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202"/>
        <v>NOVEMBRE 2024</v>
      </c>
      <c r="F896" s="57" t="str">
        <f t="shared" si="1203"/>
        <v>11 NOVEMBRE 2024</v>
      </c>
      <c r="G896" s="59">
        <v>67.959999999999994</v>
      </c>
      <c r="H896" s="1338" t="s">
        <v>137</v>
      </c>
      <c r="I896" s="960"/>
      <c r="J896" s="57" t="s">
        <v>108</v>
      </c>
      <c r="K896" s="59"/>
    </row>
    <row r="897" spans="1:11" x14ac:dyDescent="0.25">
      <c r="A897" s="57" t="s">
        <v>79</v>
      </c>
      <c r="B897" s="57" t="s">
        <v>207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202"/>
        <v>NOVEMBRE 2024</v>
      </c>
      <c r="F897" s="57" t="str">
        <f t="shared" si="1203"/>
        <v>11 NOVEMBRE 2024</v>
      </c>
      <c r="G897" s="59">
        <v>8.15</v>
      </c>
      <c r="H897" s="1338" t="s">
        <v>81</v>
      </c>
      <c r="I897" s="960"/>
      <c r="J897" s="59"/>
      <c r="K897" s="59"/>
    </row>
    <row r="898" spans="1:11" ht="16.5" customHeight="1" x14ac:dyDescent="0.25">
      <c r="A898" s="57" t="s">
        <v>76</v>
      </c>
      <c r="B898" s="57" t="s">
        <v>207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202"/>
        <v>NOVEMBRE 2024</v>
      </c>
      <c r="F898" s="57" t="str">
        <f t="shared" si="1203"/>
        <v>11 NOVEMBRE 2024</v>
      </c>
      <c r="G898" s="59">
        <v>8.25</v>
      </c>
      <c r="H898" s="1338" t="s">
        <v>77</v>
      </c>
      <c r="I898" s="960"/>
      <c r="J898" s="59"/>
      <c r="K898" s="59"/>
    </row>
    <row r="899" spans="1:11" ht="16.5" customHeight="1" x14ac:dyDescent="0.25">
      <c r="A899" s="57" t="s">
        <v>73</v>
      </c>
      <c r="B899" s="57" t="s">
        <v>207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202"/>
        <v>NOVEMBRE 2024</v>
      </c>
      <c r="F899" s="57" t="str">
        <f t="shared" si="1203"/>
        <v>11 NOVEMBRE 2024</v>
      </c>
      <c r="G899" s="59">
        <v>11</v>
      </c>
      <c r="H899" s="1338" t="s">
        <v>74</v>
      </c>
      <c r="I899" s="960"/>
      <c r="J899" s="59"/>
      <c r="K899" s="59"/>
    </row>
    <row r="900" spans="1:11" ht="16.5" customHeight="1" x14ac:dyDescent="0.25">
      <c r="A900" s="57" t="s">
        <v>211</v>
      </c>
      <c r="B900" s="57" t="s">
        <v>207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202"/>
        <v>NOVEMBRE 2024</v>
      </c>
      <c r="F900" s="57" t="str">
        <f t="shared" si="1203"/>
        <v>11 NOVEMBRE 2024</v>
      </c>
      <c r="G900" s="59">
        <v>50</v>
      </c>
      <c r="H900" s="1338" t="s">
        <v>114</v>
      </c>
      <c r="I900" s="960"/>
      <c r="J900" s="59"/>
      <c r="K900" s="59"/>
    </row>
    <row r="901" spans="1:11" ht="16.5" customHeight="1" x14ac:dyDescent="0.25">
      <c r="A901" s="57" t="s">
        <v>84</v>
      </c>
      <c r="B901" s="61" t="s">
        <v>207</v>
      </c>
      <c r="C901" s="61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202"/>
        <v>NOVEMBRE 2024</v>
      </c>
      <c r="F901" s="57" t="str">
        <f t="shared" si="1203"/>
        <v>11 NOVEMBRE 2024</v>
      </c>
      <c r="G901" s="60">
        <v>11.5</v>
      </c>
      <c r="H901" s="1338" t="s">
        <v>85</v>
      </c>
      <c r="I901" s="960"/>
      <c r="J901" s="59"/>
      <c r="K901" s="59"/>
    </row>
    <row r="902" spans="1:11" ht="16.5" customHeight="1" x14ac:dyDescent="0.25">
      <c r="A902" s="57" t="s">
        <v>121</v>
      </c>
      <c r="B902" s="57" t="s">
        <v>207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202"/>
        <v>NOVEMBRE 2024</v>
      </c>
      <c r="F902" s="57" t="str">
        <f t="shared" si="1203"/>
        <v>11 NOVEMBRE 2024</v>
      </c>
      <c r="G902" s="59">
        <v>0.4</v>
      </c>
      <c r="H902" s="1338" t="s">
        <v>777</v>
      </c>
      <c r="I902" s="960"/>
      <c r="J902" s="59"/>
      <c r="K902" s="59"/>
    </row>
    <row r="903" spans="1:11" ht="16.5" customHeight="1" x14ac:dyDescent="0.25">
      <c r="A903" s="57" t="s">
        <v>121</v>
      </c>
      <c r="B903" s="57" t="s">
        <v>207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202"/>
        <v>NOVEMBRE 2024</v>
      </c>
      <c r="F903" s="57" t="str">
        <f t="shared" si="1203"/>
        <v>11 NOVEMBRE 2024</v>
      </c>
      <c r="G903" s="59">
        <v>0.4</v>
      </c>
      <c r="H903" s="1338" t="s">
        <v>777</v>
      </c>
      <c r="I903" s="960"/>
      <c r="J903" s="59"/>
      <c r="K903" s="59"/>
    </row>
    <row r="904" spans="1:11" ht="16.5" customHeight="1" x14ac:dyDescent="0.25">
      <c r="A904" s="57" t="s">
        <v>121</v>
      </c>
      <c r="B904" s="57" t="s">
        <v>207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202"/>
        <v>NOVEMBRE 2024</v>
      </c>
      <c r="F904" s="57" t="str">
        <f t="shared" si="1203"/>
        <v>11 NOVEMBRE 2024</v>
      </c>
      <c r="G904" s="59">
        <v>0.4</v>
      </c>
      <c r="H904" s="1338" t="s">
        <v>777</v>
      </c>
      <c r="I904" s="960"/>
      <c r="J904" s="59"/>
      <c r="K904" s="59"/>
    </row>
    <row r="905" spans="1:11" ht="16.5" customHeight="1" x14ac:dyDescent="0.25">
      <c r="A905" s="57" t="s">
        <v>121</v>
      </c>
      <c r="B905" s="57" t="s">
        <v>207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202"/>
        <v>NOVEMBRE 2024</v>
      </c>
      <c r="F905" s="57" t="str">
        <f t="shared" si="1203"/>
        <v>11 NOVEMBRE 2024</v>
      </c>
      <c r="G905" s="59">
        <v>0.4</v>
      </c>
      <c r="H905" s="1338" t="s">
        <v>777</v>
      </c>
      <c r="I905" s="960"/>
      <c r="J905" s="59"/>
      <c r="K905" s="59"/>
    </row>
    <row r="906" spans="1:11" ht="18.600000000000001" customHeight="1" x14ac:dyDescent="0.25">
      <c r="A906" s="57" t="s">
        <v>108</v>
      </c>
      <c r="B906" s="57" t="s">
        <v>207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202"/>
        <v>NOVEMBRE 2024</v>
      </c>
      <c r="F906" s="57" t="str">
        <f t="shared" si="1203"/>
        <v>11 NOVEMBRE 2024</v>
      </c>
      <c r="G906" s="59">
        <v>34.99</v>
      </c>
      <c r="H906" s="1338" t="s">
        <v>137</v>
      </c>
      <c r="I906" s="960"/>
      <c r="J906" s="57" t="s">
        <v>108</v>
      </c>
      <c r="K906" s="59"/>
    </row>
    <row r="907" spans="1:11" ht="18.600000000000001" customHeight="1" x14ac:dyDescent="0.25">
      <c r="A907" s="57" t="s">
        <v>108</v>
      </c>
      <c r="B907" s="57" t="s">
        <v>207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202"/>
        <v>NOVEMBRE 2024</v>
      </c>
      <c r="F907" s="57" t="str">
        <f t="shared" si="1203"/>
        <v>11 NOVEMBRE 2024</v>
      </c>
      <c r="G907" s="59">
        <v>50.84</v>
      </c>
      <c r="H907" s="1338" t="s">
        <v>137</v>
      </c>
      <c r="I907" s="960"/>
      <c r="J907" s="57" t="s">
        <v>108</v>
      </c>
      <c r="K907" s="59"/>
    </row>
    <row r="908" spans="1:11" x14ac:dyDescent="0.25">
      <c r="A908" s="57" t="s">
        <v>108</v>
      </c>
      <c r="B908" s="57" t="s">
        <v>207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202"/>
        <v>NOVEMBRE 2024</v>
      </c>
      <c r="F908" s="57" t="str">
        <f t="shared" si="1203"/>
        <v>11 NOVEMBRE 2024</v>
      </c>
      <c r="G908" s="59">
        <v>55.49</v>
      </c>
      <c r="H908" s="1338" t="s">
        <v>137</v>
      </c>
      <c r="I908" s="960"/>
      <c r="J908" s="57" t="s">
        <v>108</v>
      </c>
      <c r="K908" s="59"/>
    </row>
    <row r="909" spans="1:11" ht="16.5" customHeight="1" x14ac:dyDescent="0.25">
      <c r="A909" s="57" t="s">
        <v>122</v>
      </c>
      <c r="B909" s="57" t="s">
        <v>207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202"/>
        <v>NOVEMBRE 2024</v>
      </c>
      <c r="F909" s="57" t="str">
        <f t="shared" si="1203"/>
        <v>11 NOVEMBRE 2024</v>
      </c>
      <c r="G909" s="59">
        <v>8.24</v>
      </c>
      <c r="H909" s="1338" t="s">
        <v>77</v>
      </c>
      <c r="I909" s="960"/>
      <c r="J909" s="59"/>
      <c r="K909" s="59"/>
    </row>
    <row r="910" spans="1:11" ht="16.5" customHeight="1" x14ac:dyDescent="0.25">
      <c r="A910" s="57" t="s">
        <v>83</v>
      </c>
      <c r="B910" s="57" t="s">
        <v>207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202"/>
        <v>NOVEMBRE 2024</v>
      </c>
      <c r="F910" s="57" t="str">
        <f t="shared" si="1203"/>
        <v>11 NOVEMBRE 2024</v>
      </c>
      <c r="G910" s="59">
        <v>25.69</v>
      </c>
      <c r="H910" s="1338" t="s">
        <v>77</v>
      </c>
      <c r="I910" s="960"/>
      <c r="J910" s="59"/>
      <c r="K910" s="59"/>
    </row>
    <row r="911" spans="1:11" ht="16.5" customHeight="1" x14ac:dyDescent="0.25">
      <c r="A911" s="57" t="s">
        <v>759</v>
      </c>
      <c r="B911" s="57" t="s">
        <v>207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202"/>
        <v>NOVEMBRE 2024</v>
      </c>
      <c r="F911" s="57" t="str">
        <f t="shared" si="1203"/>
        <v>11 NOVEMBRE 2024</v>
      </c>
      <c r="G911" s="59">
        <v>55</v>
      </c>
      <c r="H911" s="1338" t="s">
        <v>69</v>
      </c>
      <c r="I911" s="960"/>
      <c r="J911" s="59"/>
      <c r="K911" s="59" t="s">
        <v>760</v>
      </c>
    </row>
    <row r="912" spans="1:11" x14ac:dyDescent="0.25">
      <c r="A912" s="57" t="s">
        <v>232</v>
      </c>
      <c r="B912" s="57" t="s">
        <v>207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202"/>
        <v>NOVEMBRE 2024</v>
      </c>
      <c r="F912" s="57" t="str">
        <f t="shared" si="1203"/>
        <v>11 NOVEMBRE 2024</v>
      </c>
      <c r="G912" s="59">
        <v>1.7</v>
      </c>
      <c r="H912" s="1338" t="s">
        <v>91</v>
      </c>
      <c r="I912" s="960"/>
      <c r="J912" s="59"/>
      <c r="K912" s="59"/>
    </row>
    <row r="913" spans="1:11" x14ac:dyDescent="0.25">
      <c r="A913" s="57" t="s">
        <v>115</v>
      </c>
      <c r="B913" s="57" t="s">
        <v>207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si="1202"/>
        <v>NOVEMBRE 2024</v>
      </c>
      <c r="F913" s="57" t="str">
        <f t="shared" si="1203"/>
        <v>11 NOVEMBRE 2024</v>
      </c>
      <c r="G913" s="59">
        <v>5.3</v>
      </c>
      <c r="H913" s="1338" t="s">
        <v>69</v>
      </c>
      <c r="I913" s="960"/>
      <c r="J913" s="59"/>
      <c r="K913" s="59"/>
    </row>
    <row r="914" spans="1:11" x14ac:dyDescent="0.25">
      <c r="A914" s="57" t="s">
        <v>115</v>
      </c>
      <c r="B914" s="57" t="s">
        <v>207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202"/>
        <v>NOVEMBRE 2024</v>
      </c>
      <c r="F914" s="57" t="str">
        <f t="shared" si="1203"/>
        <v>11 NOVEMBRE 2024</v>
      </c>
      <c r="G914" s="59">
        <v>20.3</v>
      </c>
      <c r="H914" s="1338" t="s">
        <v>69</v>
      </c>
      <c r="I914" s="960"/>
      <c r="J914" s="59"/>
      <c r="K914" s="59"/>
    </row>
    <row r="915" spans="1:11" ht="16.5" customHeight="1" x14ac:dyDescent="0.25">
      <c r="A915" s="57" t="s">
        <v>67</v>
      </c>
      <c r="B915" s="57" t="s">
        <v>207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202"/>
        <v>NOVEMBRE 2024</v>
      </c>
      <c r="F915" s="57" t="str">
        <f t="shared" si="1203"/>
        <v>11 NOVEMBRE 2024</v>
      </c>
      <c r="G915" s="59">
        <v>6.5</v>
      </c>
      <c r="H915" s="1338" t="s">
        <v>776</v>
      </c>
      <c r="I915" s="960"/>
      <c r="J915" s="59"/>
      <c r="K915" s="59"/>
    </row>
    <row r="916" spans="1:11" ht="16.5" customHeight="1" x14ac:dyDescent="0.25">
      <c r="A916" s="57" t="s">
        <v>998</v>
      </c>
      <c r="B916" s="57" t="s">
        <v>207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202"/>
        <v>NOVEMBRE 2024</v>
      </c>
      <c r="F916" s="57" t="str">
        <f t="shared" si="1203"/>
        <v>11 NOVEMBRE 2024</v>
      </c>
      <c r="G916" s="59">
        <v>63.99</v>
      </c>
      <c r="H916" s="1338" t="s">
        <v>70</v>
      </c>
      <c r="I916" s="960"/>
      <c r="J916" s="59"/>
      <c r="K916" s="59" t="s">
        <v>757</v>
      </c>
    </row>
    <row r="917" spans="1:11" ht="16.5" customHeight="1" x14ac:dyDescent="0.25">
      <c r="A917" s="57" t="s">
        <v>998</v>
      </c>
      <c r="B917" s="57" t="s">
        <v>207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202"/>
        <v>NOVEMBRE 2024</v>
      </c>
      <c r="F917" s="57" t="str">
        <f t="shared" si="1203"/>
        <v>11 NOVEMBRE 2024</v>
      </c>
      <c r="G917" s="59">
        <v>136.94999999999999</v>
      </c>
      <c r="H917" s="1338" t="s">
        <v>70</v>
      </c>
      <c r="I917" s="960"/>
      <c r="J917" s="59"/>
      <c r="K917" s="59" t="s">
        <v>756</v>
      </c>
    </row>
    <row r="918" spans="1:11" ht="16.5" customHeight="1" x14ac:dyDescent="0.25">
      <c r="A918" s="57" t="s">
        <v>121</v>
      </c>
      <c r="B918" s="57" t="s">
        <v>207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202"/>
        <v>NOVEMBRE 2024</v>
      </c>
      <c r="F918" s="57" t="str">
        <f t="shared" si="1203"/>
        <v>11 NOVEMBRE 2024</v>
      </c>
      <c r="G918" s="59">
        <v>0.4</v>
      </c>
      <c r="H918" s="1338" t="s">
        <v>777</v>
      </c>
      <c r="I918" s="960"/>
      <c r="J918" s="59"/>
      <c r="K918" s="59"/>
    </row>
    <row r="919" spans="1:11" ht="18" customHeight="1" x14ac:dyDescent="0.25">
      <c r="A919" s="57" t="s">
        <v>121</v>
      </c>
      <c r="B919" s="57" t="s">
        <v>207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202"/>
        <v>NOVEMBRE 2024</v>
      </c>
      <c r="F919" s="57" t="str">
        <f t="shared" si="1203"/>
        <v>11 NOVEMBRE 2024</v>
      </c>
      <c r="G919" s="59">
        <v>0.4</v>
      </c>
      <c r="H919" s="1338" t="s">
        <v>777</v>
      </c>
      <c r="I919" s="960"/>
      <c r="J919" s="59"/>
      <c r="K919" s="59"/>
    </row>
    <row r="920" spans="1:11" x14ac:dyDescent="0.25">
      <c r="A920" s="57" t="s">
        <v>121</v>
      </c>
      <c r="B920" s="57" t="s">
        <v>207</v>
      </c>
      <c r="C920" s="57">
        <v>2024</v>
      </c>
      <c r="D920" s="58">
        <f>MATCH(B920,{"GENNAIO","FEBBRAIO","MARZO","APRILE","MAGGIO","GIUGNO","LUGLIO","AGOSTO","SETTEMBRE","OTTOBRE","NOVEMBRE","DICEMBRE"},0)</f>
        <v>11</v>
      </c>
      <c r="E920" s="57" t="str">
        <f t="shared" si="1202"/>
        <v>NOVEMBRE 2024</v>
      </c>
      <c r="F920" s="57" t="str">
        <f t="shared" si="1203"/>
        <v>11 NOVEMBRE 2024</v>
      </c>
      <c r="G920" s="59">
        <v>0.4</v>
      </c>
      <c r="H920" s="1338" t="s">
        <v>777</v>
      </c>
      <c r="I920" s="960"/>
      <c r="J920" s="59"/>
      <c r="K920" s="59"/>
    </row>
    <row r="921" spans="1:11" ht="16.5" customHeight="1" x14ac:dyDescent="0.25">
      <c r="A921" s="57" t="s">
        <v>121</v>
      </c>
      <c r="B921" s="57" t="s">
        <v>207</v>
      </c>
      <c r="C921" s="57">
        <v>2024</v>
      </c>
      <c r="D921" s="58">
        <f>MATCH(B921,{"GENNAIO","FEBBRAIO","MARZO","APRILE","MAGGIO","GIUGNO","LUGLIO","AGOSTO","SETTEMBRE","OTTOBRE","NOVEMBRE","DICEMBRE"},0)</f>
        <v>11</v>
      </c>
      <c r="E921" s="57" t="str">
        <f t="shared" si="1202"/>
        <v>NOVEMBRE 2024</v>
      </c>
      <c r="F921" s="57" t="str">
        <f t="shared" si="1203"/>
        <v>11 NOVEMBRE 2024</v>
      </c>
      <c r="G921" s="59">
        <v>0.4</v>
      </c>
      <c r="H921" s="1338" t="s">
        <v>777</v>
      </c>
      <c r="I921" s="960"/>
      <c r="J921" s="59"/>
      <c r="K921" s="59"/>
    </row>
    <row r="922" spans="1:11" ht="16.5" customHeight="1" x14ac:dyDescent="0.25">
      <c r="A922" s="57" t="s">
        <v>998</v>
      </c>
      <c r="B922" s="57" t="s">
        <v>207</v>
      </c>
      <c r="C922" s="57">
        <v>2024</v>
      </c>
      <c r="D922" s="58">
        <f>MATCH(B922,{"GENNAIO","FEBBRAIO","MARZO","APRILE","MAGGIO","GIUGNO","LUGLIO","AGOSTO","SETTEMBRE","OTTOBRE","NOVEMBRE","DICEMBRE"},0)</f>
        <v>11</v>
      </c>
      <c r="E922" s="57" t="str">
        <f t="shared" ref="E922:E985" si="1204">CONCATENATE(,B922," ",C922)</f>
        <v>NOVEMBRE 2024</v>
      </c>
      <c r="F922" s="57" t="str">
        <f t="shared" ref="F922:F985" si="1205">CONCATENATE(D922," ",E922)</f>
        <v>11 NOVEMBRE 2024</v>
      </c>
      <c r="G922" s="59">
        <v>52.09</v>
      </c>
      <c r="H922" s="1338" t="s">
        <v>70</v>
      </c>
      <c r="I922" s="960" t="s">
        <v>988</v>
      </c>
      <c r="J922" s="59" t="s">
        <v>768</v>
      </c>
      <c r="K922" s="59" t="s">
        <v>749</v>
      </c>
    </row>
    <row r="923" spans="1:11" x14ac:dyDescent="0.25">
      <c r="A923" s="57" t="s">
        <v>108</v>
      </c>
      <c r="B923" s="57" t="s">
        <v>207</v>
      </c>
      <c r="C923" s="57">
        <v>2024</v>
      </c>
      <c r="D923" s="58">
        <f>MATCH(B923,{"GENNAIO","FEBBRAIO","MARZO","APRILE","MAGGIO","GIUGNO","LUGLIO","AGOSTO","SETTEMBRE","OTTOBRE","NOVEMBRE","DICEMBRE"},0)</f>
        <v>11</v>
      </c>
      <c r="E923" s="57" t="str">
        <f t="shared" si="1204"/>
        <v>NOVEMBRE 2024</v>
      </c>
      <c r="F923" s="57" t="str">
        <f t="shared" si="1205"/>
        <v>11 NOVEMBRE 2024</v>
      </c>
      <c r="G923" s="59">
        <v>16.63</v>
      </c>
      <c r="H923" s="1338" t="s">
        <v>75</v>
      </c>
      <c r="I923" s="960" t="s">
        <v>988</v>
      </c>
      <c r="J923" s="57" t="s">
        <v>108</v>
      </c>
      <c r="K923" s="59"/>
    </row>
    <row r="924" spans="1:11" ht="18.600000000000001" customHeight="1" x14ac:dyDescent="0.25">
      <c r="A924" s="57" t="s">
        <v>108</v>
      </c>
      <c r="B924" s="57" t="s">
        <v>207</v>
      </c>
      <c r="C924" s="57">
        <v>2024</v>
      </c>
      <c r="D924" s="58">
        <f>MATCH(B924,{"GENNAIO","FEBBRAIO","MARZO","APRILE","MAGGIO","GIUGNO","LUGLIO","AGOSTO","SETTEMBRE","OTTOBRE","NOVEMBRE","DICEMBRE"},0)</f>
        <v>11</v>
      </c>
      <c r="E924" s="57" t="str">
        <f t="shared" si="1204"/>
        <v>NOVEMBRE 2024</v>
      </c>
      <c r="F924" s="57" t="str">
        <f t="shared" si="1205"/>
        <v>11 NOVEMBRE 2024</v>
      </c>
      <c r="G924" s="59">
        <v>13.99</v>
      </c>
      <c r="H924" s="1338" t="s">
        <v>75</v>
      </c>
      <c r="I924" s="960" t="s">
        <v>1045</v>
      </c>
      <c r="J924" s="57" t="s">
        <v>108</v>
      </c>
      <c r="K924" s="59" t="s">
        <v>1033</v>
      </c>
    </row>
    <row r="925" spans="1:11" ht="16.5" customHeight="1" x14ac:dyDescent="0.25">
      <c r="A925" s="57" t="s">
        <v>108</v>
      </c>
      <c r="B925" s="57" t="s">
        <v>207</v>
      </c>
      <c r="C925" s="57">
        <v>2024</v>
      </c>
      <c r="D925" s="58">
        <f>MATCH(B925,{"GENNAIO","FEBBRAIO","MARZO","APRILE","MAGGIO","GIUGNO","LUGLIO","AGOSTO","SETTEMBRE","OTTOBRE","NOVEMBRE","DICEMBRE"},0)</f>
        <v>11</v>
      </c>
      <c r="E925" s="57" t="str">
        <f t="shared" si="1204"/>
        <v>NOVEMBRE 2024</v>
      </c>
      <c r="F925" s="57" t="str">
        <f t="shared" si="1205"/>
        <v>11 NOVEMBRE 2024</v>
      </c>
      <c r="G925" s="59">
        <v>15</v>
      </c>
      <c r="H925" s="1338" t="s">
        <v>93</v>
      </c>
      <c r="I925" s="960" t="s">
        <v>1046</v>
      </c>
      <c r="J925" s="57" t="s">
        <v>108</v>
      </c>
      <c r="K925" s="59" t="s">
        <v>1030</v>
      </c>
    </row>
    <row r="926" spans="1:11" x14ac:dyDescent="0.25">
      <c r="A926" s="57" t="s">
        <v>999</v>
      </c>
      <c r="B926" s="57" t="s">
        <v>207</v>
      </c>
      <c r="C926" s="57">
        <v>2024</v>
      </c>
      <c r="D926" s="58">
        <f>MATCH(B926,{"GENNAIO","FEBBRAIO","MARZO","APRILE","MAGGIO","GIUGNO","LUGLIO","AGOSTO","SETTEMBRE","OTTOBRE","NOVEMBRE","DICEMBRE"},0)</f>
        <v>11</v>
      </c>
      <c r="E926" s="57" t="str">
        <f t="shared" si="1204"/>
        <v>NOVEMBRE 2024</v>
      </c>
      <c r="F926" s="57" t="str">
        <f t="shared" si="1205"/>
        <v>11 NOVEMBRE 2024</v>
      </c>
      <c r="G926" s="59">
        <v>36.32</v>
      </c>
      <c r="H926" s="1338" t="s">
        <v>137</v>
      </c>
      <c r="I926" s="960" t="s">
        <v>988</v>
      </c>
      <c r="J926" s="59" t="s">
        <v>768</v>
      </c>
      <c r="K926" s="59"/>
    </row>
    <row r="927" spans="1:11" x14ac:dyDescent="0.25">
      <c r="A927" s="57" t="s">
        <v>83</v>
      </c>
      <c r="B927" s="57" t="s">
        <v>207</v>
      </c>
      <c r="C927" s="57">
        <v>2024</v>
      </c>
      <c r="D927" s="58">
        <f>MATCH(B927,{"GENNAIO","FEBBRAIO","MARZO","APRILE","MAGGIO","GIUGNO","LUGLIO","AGOSTO","SETTEMBRE","OTTOBRE","NOVEMBRE","DICEMBRE"},0)</f>
        <v>11</v>
      </c>
      <c r="E927" s="57" t="str">
        <f t="shared" si="1204"/>
        <v>NOVEMBRE 2024</v>
      </c>
      <c r="F927" s="57" t="str">
        <f t="shared" si="1205"/>
        <v>11 NOVEMBRE 2024</v>
      </c>
      <c r="G927" s="59">
        <v>20.239999999999998</v>
      </c>
      <c r="H927" s="1338" t="s">
        <v>77</v>
      </c>
      <c r="I927" s="960"/>
      <c r="J927" s="59"/>
      <c r="K927" s="59"/>
    </row>
    <row r="928" spans="1:11" x14ac:dyDescent="0.25">
      <c r="A928" s="57" t="s">
        <v>121</v>
      </c>
      <c r="B928" s="57" t="s">
        <v>207</v>
      </c>
      <c r="C928" s="57">
        <v>2024</v>
      </c>
      <c r="D928" s="58">
        <f>MATCH(B928,{"GENNAIO","FEBBRAIO","MARZO","APRILE","MAGGIO","GIUGNO","LUGLIO","AGOSTO","SETTEMBRE","OTTOBRE","NOVEMBRE","DICEMBRE"},0)</f>
        <v>11</v>
      </c>
      <c r="E928" s="57" t="str">
        <f t="shared" si="1204"/>
        <v>NOVEMBRE 2024</v>
      </c>
      <c r="F928" s="57" t="str">
        <f t="shared" si="1205"/>
        <v>11 NOVEMBRE 2024</v>
      </c>
      <c r="G928" s="59">
        <v>0.4</v>
      </c>
      <c r="H928" s="1338" t="s">
        <v>777</v>
      </c>
      <c r="I928" s="960"/>
      <c r="J928" s="59"/>
      <c r="K928" s="59"/>
    </row>
    <row r="929" spans="1:11" ht="16.5" customHeight="1" x14ac:dyDescent="0.25">
      <c r="A929" s="57" t="s">
        <v>754</v>
      </c>
      <c r="B929" s="57" t="s">
        <v>215</v>
      </c>
      <c r="C929" s="57">
        <v>2024</v>
      </c>
      <c r="D929" s="58">
        <f>MATCH(B929,{"GENNAIO","FEBBRAIO","MARZO","APRILE","MAGGIO","GIUGNO","LUGLIO","AGOSTO","SETTEMBRE","OTTOBRE","NOVEMBRE","DICEMBRE"},0)</f>
        <v>10</v>
      </c>
      <c r="E929" s="57" t="str">
        <f t="shared" si="1204"/>
        <v>OTTOBRE 2024</v>
      </c>
      <c r="F929" s="57" t="str">
        <f t="shared" si="1205"/>
        <v>10 OTTOBRE 2024</v>
      </c>
      <c r="G929" s="59">
        <v>43.6</v>
      </c>
      <c r="H929" s="1338" t="s">
        <v>69</v>
      </c>
      <c r="I929" s="960"/>
      <c r="J929" s="59"/>
      <c r="K929" s="59"/>
    </row>
    <row r="930" spans="1:11" x14ac:dyDescent="0.25">
      <c r="A930" s="57" t="s">
        <v>753</v>
      </c>
      <c r="B930" s="57" t="s">
        <v>215</v>
      </c>
      <c r="C930" s="57">
        <v>2024</v>
      </c>
      <c r="D930" s="58">
        <f>MATCH(B930,{"GENNAIO","FEBBRAIO","MARZO","APRILE","MAGGIO","GIUGNO","LUGLIO","AGOSTO","SETTEMBRE","OTTOBRE","NOVEMBRE","DICEMBRE"},0)</f>
        <v>10</v>
      </c>
      <c r="E930" s="57" t="str">
        <f t="shared" si="1204"/>
        <v>OTTOBRE 2024</v>
      </c>
      <c r="F930" s="57" t="str">
        <f t="shared" si="1205"/>
        <v>10 OTTOBRE 2024</v>
      </c>
      <c r="G930" s="59">
        <v>12.5</v>
      </c>
      <c r="H930" s="1338" t="s">
        <v>69</v>
      </c>
      <c r="I930" s="960"/>
      <c r="J930" s="59"/>
      <c r="K930" s="59"/>
    </row>
    <row r="931" spans="1:11" ht="18.600000000000001" customHeight="1" x14ac:dyDescent="0.25">
      <c r="A931" s="57" t="s">
        <v>752</v>
      </c>
      <c r="B931" s="57" t="s">
        <v>215</v>
      </c>
      <c r="C931" s="57">
        <v>2024</v>
      </c>
      <c r="D931" s="58">
        <f>MATCH(B931,{"GENNAIO","FEBBRAIO","MARZO","APRILE","MAGGIO","GIUGNO","LUGLIO","AGOSTO","SETTEMBRE","OTTOBRE","NOVEMBRE","DICEMBRE"},0)</f>
        <v>10</v>
      </c>
      <c r="E931" s="57" t="str">
        <f t="shared" si="1204"/>
        <v>OTTOBRE 2024</v>
      </c>
      <c r="F931" s="57" t="str">
        <f t="shared" si="1205"/>
        <v>10 OTTOBRE 2024</v>
      </c>
      <c r="G931" s="59">
        <v>47.3</v>
      </c>
      <c r="H931" s="1338" t="s">
        <v>69</v>
      </c>
      <c r="I931" s="960"/>
      <c r="J931" s="59"/>
      <c r="K931" s="59"/>
    </row>
    <row r="932" spans="1:11" ht="18.600000000000001" customHeight="1" x14ac:dyDescent="0.25">
      <c r="A932" s="57" t="s">
        <v>121</v>
      </c>
      <c r="B932" s="57" t="s">
        <v>215</v>
      </c>
      <c r="C932" s="57">
        <v>2024</v>
      </c>
      <c r="D932" s="58">
        <f>MATCH(B932,{"GENNAIO","FEBBRAIO","MARZO","APRILE","MAGGIO","GIUGNO","LUGLIO","AGOSTO","SETTEMBRE","OTTOBRE","NOVEMBRE","DICEMBRE"},0)</f>
        <v>10</v>
      </c>
      <c r="E932" s="57" t="str">
        <f t="shared" si="1204"/>
        <v>OTTOBRE 2024</v>
      </c>
      <c r="F932" s="57" t="str">
        <f t="shared" si="1205"/>
        <v>10 OTTOBRE 2024</v>
      </c>
      <c r="G932" s="59">
        <v>0.4</v>
      </c>
      <c r="H932" s="1338" t="s">
        <v>777</v>
      </c>
      <c r="I932" s="960"/>
      <c r="J932" s="59"/>
      <c r="K932" s="59"/>
    </row>
    <row r="933" spans="1:11" ht="18.600000000000001" customHeight="1" x14ac:dyDescent="0.25">
      <c r="A933" s="57" t="s">
        <v>67</v>
      </c>
      <c r="B933" s="57" t="s">
        <v>215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204"/>
        <v>OTTOBRE 2024</v>
      </c>
      <c r="F933" s="57" t="str">
        <f t="shared" si="1205"/>
        <v>10 OTTOBRE 2024</v>
      </c>
      <c r="G933" s="59">
        <v>6.5</v>
      </c>
      <c r="H933" s="1338" t="s">
        <v>776</v>
      </c>
      <c r="I933" s="960"/>
      <c r="J933" s="59"/>
      <c r="K933" s="59"/>
    </row>
    <row r="934" spans="1:11" ht="18.600000000000001" customHeight="1" x14ac:dyDescent="0.25">
      <c r="A934" s="57" t="s">
        <v>122</v>
      </c>
      <c r="B934" s="57" t="s">
        <v>215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204"/>
        <v>OTTOBRE 2024</v>
      </c>
      <c r="F934" s="57" t="str">
        <f t="shared" si="1205"/>
        <v>10 OTTOBRE 2024</v>
      </c>
      <c r="G934" s="59">
        <v>5.95</v>
      </c>
      <c r="H934" s="1338" t="s">
        <v>77</v>
      </c>
      <c r="I934" s="960"/>
      <c r="J934" s="59"/>
      <c r="K934" s="59"/>
    </row>
    <row r="935" spans="1:11" x14ac:dyDescent="0.25">
      <c r="A935" s="57" t="s">
        <v>83</v>
      </c>
      <c r="B935" s="57" t="s">
        <v>215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204"/>
        <v>OTTOBRE 2024</v>
      </c>
      <c r="F935" s="57" t="str">
        <f t="shared" si="1205"/>
        <v>10 OTTOBRE 2024</v>
      </c>
      <c r="G935" s="59">
        <v>11.93</v>
      </c>
      <c r="H935" s="1338" t="s">
        <v>77</v>
      </c>
      <c r="I935" s="960"/>
      <c r="J935" s="59"/>
      <c r="K935" s="59"/>
    </row>
    <row r="936" spans="1:11" x14ac:dyDescent="0.25">
      <c r="A936" s="57" t="s">
        <v>79</v>
      </c>
      <c r="B936" s="57" t="s">
        <v>215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204"/>
        <v>OTTOBRE 2024</v>
      </c>
      <c r="F936" s="57" t="str">
        <f t="shared" si="1205"/>
        <v>10 OTTOBRE 2024</v>
      </c>
      <c r="G936" s="59">
        <v>4.9000000000000004</v>
      </c>
      <c r="H936" s="1338" t="s">
        <v>81</v>
      </c>
      <c r="I936" s="960"/>
      <c r="J936" s="59"/>
      <c r="K936" s="59"/>
    </row>
    <row r="937" spans="1:11" x14ac:dyDescent="0.25">
      <c r="A937" s="57" t="s">
        <v>76</v>
      </c>
      <c r="B937" s="57" t="s">
        <v>215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204"/>
        <v>OTTOBRE 2024</v>
      </c>
      <c r="F937" s="57" t="str">
        <f t="shared" si="1205"/>
        <v>10 OTTOBRE 2024</v>
      </c>
      <c r="G937" s="59">
        <v>21.82</v>
      </c>
      <c r="H937" s="1338" t="s">
        <v>77</v>
      </c>
      <c r="I937" s="960"/>
      <c r="J937" s="59"/>
      <c r="K937" s="59"/>
    </row>
    <row r="938" spans="1:11" x14ac:dyDescent="0.25">
      <c r="A938" s="57" t="s">
        <v>67</v>
      </c>
      <c r="B938" s="57" t="s">
        <v>215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204"/>
        <v>OTTOBRE 2024</v>
      </c>
      <c r="F938" s="57" t="str">
        <f t="shared" si="1205"/>
        <v>10 OTTOBRE 2024</v>
      </c>
      <c r="G938" s="59">
        <v>6.5</v>
      </c>
      <c r="H938" s="1338" t="s">
        <v>776</v>
      </c>
      <c r="I938" s="960"/>
      <c r="J938" s="59"/>
      <c r="K938" s="59"/>
    </row>
    <row r="939" spans="1:11" ht="18" customHeight="1" x14ac:dyDescent="0.25">
      <c r="A939" s="57" t="s">
        <v>221</v>
      </c>
      <c r="B939" s="57" t="s">
        <v>215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204"/>
        <v>OTTOBRE 2024</v>
      </c>
      <c r="F939" s="57" t="str">
        <f t="shared" si="1205"/>
        <v>10 OTTOBRE 2024</v>
      </c>
      <c r="G939" s="59">
        <v>89</v>
      </c>
      <c r="H939" s="1338" t="s">
        <v>137</v>
      </c>
      <c r="I939" s="960"/>
      <c r="J939" s="59"/>
      <c r="K939" s="59"/>
    </row>
    <row r="940" spans="1:11" x14ac:dyDescent="0.25">
      <c r="A940" s="57" t="s">
        <v>67</v>
      </c>
      <c r="B940" s="57" t="s">
        <v>215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204"/>
        <v>OTTOBRE 2024</v>
      </c>
      <c r="F940" s="57" t="str">
        <f t="shared" si="1205"/>
        <v>10 OTTOBRE 2024</v>
      </c>
      <c r="G940" s="59">
        <v>2.8</v>
      </c>
      <c r="H940" s="1338" t="s">
        <v>69</v>
      </c>
      <c r="I940" s="960"/>
      <c r="J940" s="59"/>
      <c r="K940" s="59"/>
    </row>
    <row r="941" spans="1:11" x14ac:dyDescent="0.25">
      <c r="A941" s="57" t="s">
        <v>108</v>
      </c>
      <c r="B941" s="57" t="s">
        <v>215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204"/>
        <v>OTTOBRE 2024</v>
      </c>
      <c r="F941" s="57" t="str">
        <f t="shared" si="1205"/>
        <v>10 OTTOBRE 2024</v>
      </c>
      <c r="G941" s="59">
        <v>3.58</v>
      </c>
      <c r="H941" s="1338" t="s">
        <v>75</v>
      </c>
      <c r="I941" s="960"/>
      <c r="J941" s="57" t="s">
        <v>108</v>
      </c>
      <c r="K941" s="59"/>
    </row>
    <row r="942" spans="1:11" ht="18.600000000000001" customHeight="1" x14ac:dyDescent="0.25">
      <c r="A942" s="57" t="s">
        <v>998</v>
      </c>
      <c r="B942" s="57" t="s">
        <v>215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204"/>
        <v>OTTOBRE 2024</v>
      </c>
      <c r="F942" s="57" t="str">
        <f t="shared" si="1205"/>
        <v>10 OTTOBRE 2024</v>
      </c>
      <c r="G942" s="59">
        <v>52.09</v>
      </c>
      <c r="H942" s="1338" t="s">
        <v>70</v>
      </c>
      <c r="I942" s="960" t="s">
        <v>993</v>
      </c>
      <c r="J942" s="59" t="s">
        <v>768</v>
      </c>
      <c r="K942" s="59" t="s">
        <v>749</v>
      </c>
    </row>
    <row r="943" spans="1:11" x14ac:dyDescent="0.25">
      <c r="A943" s="57" t="s">
        <v>67</v>
      </c>
      <c r="B943" s="57" t="s">
        <v>215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204"/>
        <v>OTTOBRE 2024</v>
      </c>
      <c r="F943" s="57" t="str">
        <f t="shared" si="1205"/>
        <v>10 OTTOBRE 2024</v>
      </c>
      <c r="G943" s="59">
        <v>6.5</v>
      </c>
      <c r="H943" s="1338" t="s">
        <v>776</v>
      </c>
      <c r="I943" s="960"/>
      <c r="J943" s="59"/>
      <c r="K943" s="59"/>
    </row>
    <row r="944" spans="1:11" x14ac:dyDescent="0.25">
      <c r="A944" s="57" t="s">
        <v>108</v>
      </c>
      <c r="B944" s="57" t="s">
        <v>215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204"/>
        <v>OTTOBRE 2024</v>
      </c>
      <c r="F944" s="57" t="str">
        <f t="shared" si="1205"/>
        <v>10 OTTOBRE 2024</v>
      </c>
      <c r="G944" s="59">
        <v>16.64</v>
      </c>
      <c r="H944" s="1338" t="s">
        <v>75</v>
      </c>
      <c r="I944" s="960" t="s">
        <v>993</v>
      </c>
      <c r="J944" s="57" t="s">
        <v>108</v>
      </c>
      <c r="K944" s="59"/>
    </row>
    <row r="945" spans="1:11" x14ac:dyDescent="0.25">
      <c r="A945" s="57" t="s">
        <v>83</v>
      </c>
      <c r="B945" s="57" t="s">
        <v>215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204"/>
        <v>OTTOBRE 2024</v>
      </c>
      <c r="F945" s="57" t="str">
        <f t="shared" si="1205"/>
        <v>10 OTTOBRE 2024</v>
      </c>
      <c r="G945" s="59">
        <v>12.35</v>
      </c>
      <c r="H945" s="1338" t="s">
        <v>77</v>
      </c>
      <c r="I945" s="960"/>
      <c r="J945" s="59"/>
      <c r="K945" s="59"/>
    </row>
    <row r="946" spans="1:11" ht="18.600000000000001" customHeight="1" x14ac:dyDescent="0.25">
      <c r="A946" s="57" t="s">
        <v>748</v>
      </c>
      <c r="B946" s="57" t="s">
        <v>215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204"/>
        <v>OTTOBRE 2024</v>
      </c>
      <c r="F946" s="57" t="str">
        <f t="shared" si="1205"/>
        <v>10 OTTOBRE 2024</v>
      </c>
      <c r="G946" s="59">
        <v>26.8</v>
      </c>
      <c r="H946" s="1338" t="s">
        <v>69</v>
      </c>
      <c r="I946" s="960"/>
      <c r="J946" s="59"/>
      <c r="K946" s="59"/>
    </row>
    <row r="947" spans="1:11" x14ac:dyDescent="0.25">
      <c r="A947" s="57" t="s">
        <v>329</v>
      </c>
      <c r="B947" s="57" t="s">
        <v>215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204"/>
        <v>OTTOBRE 2024</v>
      </c>
      <c r="F947" s="57" t="str">
        <f t="shared" si="1205"/>
        <v>10 OTTOBRE 2024</v>
      </c>
      <c r="G947" s="59">
        <v>103.99</v>
      </c>
      <c r="H947" s="1338" t="s">
        <v>137</v>
      </c>
      <c r="I947" s="960"/>
      <c r="J947" s="59" t="s">
        <v>768</v>
      </c>
      <c r="K947" s="59"/>
    </row>
    <row r="948" spans="1:11" ht="18" customHeight="1" x14ac:dyDescent="0.25">
      <c r="A948" s="57" t="s">
        <v>1008</v>
      </c>
      <c r="B948" s="57" t="s">
        <v>215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204"/>
        <v>OTTOBRE 2024</v>
      </c>
      <c r="F948" s="57" t="str">
        <f t="shared" si="1205"/>
        <v>10 OTTOBRE 2024</v>
      </c>
      <c r="G948" s="59">
        <v>16.16</v>
      </c>
      <c r="H948" s="1338" t="s">
        <v>75</v>
      </c>
      <c r="I948" s="960"/>
      <c r="J948" s="59" t="s">
        <v>768</v>
      </c>
      <c r="K948" s="59"/>
    </row>
    <row r="949" spans="1:11" ht="16.5" customHeight="1" x14ac:dyDescent="0.25">
      <c r="A949" s="57" t="s">
        <v>78</v>
      </c>
      <c r="B949" s="57" t="s">
        <v>215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204"/>
        <v>OTTOBRE 2024</v>
      </c>
      <c r="F949" s="57" t="str">
        <f t="shared" si="1205"/>
        <v>10 OTTOBRE 2024</v>
      </c>
      <c r="G949" s="59">
        <v>11.3</v>
      </c>
      <c r="H949" s="1338" t="s">
        <v>77</v>
      </c>
      <c r="I949" s="960"/>
      <c r="J949" s="59"/>
      <c r="K949" s="59"/>
    </row>
    <row r="950" spans="1:11" ht="16.5" customHeight="1" x14ac:dyDescent="0.25">
      <c r="A950" s="57" t="s">
        <v>67</v>
      </c>
      <c r="B950" s="57" t="s">
        <v>215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204"/>
        <v>OTTOBRE 2024</v>
      </c>
      <c r="F950" s="57" t="str">
        <f t="shared" si="1205"/>
        <v>10 OTTOBRE 2024</v>
      </c>
      <c r="G950" s="59">
        <v>6.5</v>
      </c>
      <c r="H950" s="1338" t="s">
        <v>776</v>
      </c>
      <c r="I950" s="960"/>
      <c r="J950" s="59"/>
      <c r="K950" s="59"/>
    </row>
    <row r="951" spans="1:11" x14ac:dyDescent="0.25">
      <c r="A951" s="57" t="s">
        <v>1021</v>
      </c>
      <c r="B951" s="57" t="s">
        <v>215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204"/>
        <v>OTTOBRE 2024</v>
      </c>
      <c r="F951" s="57" t="str">
        <f t="shared" si="1205"/>
        <v>10 OTTOBRE 2024</v>
      </c>
      <c r="G951" s="59">
        <v>75</v>
      </c>
      <c r="H951" s="1338" t="s">
        <v>741</v>
      </c>
      <c r="I951" s="963" t="s">
        <v>986</v>
      </c>
      <c r="J951" s="59" t="s">
        <v>173</v>
      </c>
      <c r="K951" s="59" t="s">
        <v>747</v>
      </c>
    </row>
    <row r="952" spans="1:11" x14ac:dyDescent="0.25">
      <c r="A952" s="57" t="s">
        <v>108</v>
      </c>
      <c r="B952" s="57" t="s">
        <v>215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204"/>
        <v>OTTOBRE 2024</v>
      </c>
      <c r="F952" s="57" t="str">
        <f t="shared" si="1205"/>
        <v>10 OTTOBRE 2024</v>
      </c>
      <c r="G952" s="59">
        <v>14</v>
      </c>
      <c r="H952" s="1338" t="s">
        <v>75</v>
      </c>
      <c r="I952" s="960" t="s">
        <v>1043</v>
      </c>
      <c r="J952" s="57" t="s">
        <v>108</v>
      </c>
      <c r="K952" s="59" t="s">
        <v>1033</v>
      </c>
    </row>
    <row r="953" spans="1:11" ht="16.5" customHeight="1" x14ac:dyDescent="0.25">
      <c r="A953" s="57" t="s">
        <v>108</v>
      </c>
      <c r="B953" s="57" t="s">
        <v>215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204"/>
        <v>OTTOBRE 2024</v>
      </c>
      <c r="F953" s="57" t="str">
        <f t="shared" si="1205"/>
        <v>10 OTTOBRE 2024</v>
      </c>
      <c r="G953" s="59">
        <v>44.19</v>
      </c>
      <c r="H953" s="1338" t="s">
        <v>75</v>
      </c>
      <c r="I953" s="960"/>
      <c r="J953" s="57" t="s">
        <v>108</v>
      </c>
      <c r="K953" s="59"/>
    </row>
    <row r="954" spans="1:11" ht="16.5" customHeight="1" x14ac:dyDescent="0.25">
      <c r="A954" s="57" t="s">
        <v>171</v>
      </c>
      <c r="B954" s="57" t="s">
        <v>215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204"/>
        <v>OTTOBRE 2024</v>
      </c>
      <c r="F954" s="57" t="str">
        <f t="shared" si="1205"/>
        <v>10 OTTOBRE 2024</v>
      </c>
      <c r="G954" s="59">
        <v>5.95</v>
      </c>
      <c r="H954" s="1338" t="s">
        <v>81</v>
      </c>
      <c r="I954" s="960"/>
      <c r="J954" s="59"/>
      <c r="K954" s="59"/>
    </row>
    <row r="955" spans="1:11" x14ac:dyDescent="0.25">
      <c r="A955" s="57" t="s">
        <v>171</v>
      </c>
      <c r="B955" s="57" t="s">
        <v>215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204"/>
        <v>OTTOBRE 2024</v>
      </c>
      <c r="F955" s="57" t="str">
        <f t="shared" si="1205"/>
        <v>10 OTTOBRE 2024</v>
      </c>
      <c r="G955" s="59">
        <v>52.75</v>
      </c>
      <c r="H955" s="1338" t="s">
        <v>81</v>
      </c>
      <c r="I955" s="960"/>
      <c r="J955" s="59"/>
      <c r="K955" s="59"/>
    </row>
    <row r="956" spans="1:11" ht="16.5" customHeight="1" x14ac:dyDescent="0.25">
      <c r="A956" s="57" t="s">
        <v>232</v>
      </c>
      <c r="B956" s="57" t="s">
        <v>215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204"/>
        <v>OTTOBRE 2024</v>
      </c>
      <c r="F956" s="57" t="str">
        <f t="shared" si="1205"/>
        <v>10 OTTOBRE 2024</v>
      </c>
      <c r="G956" s="59">
        <v>3.3</v>
      </c>
      <c r="H956" s="1338" t="s">
        <v>91</v>
      </c>
      <c r="I956" s="960"/>
      <c r="J956" s="59"/>
      <c r="K956" s="59"/>
    </row>
    <row r="957" spans="1:11" ht="16.5" customHeight="1" x14ac:dyDescent="0.25">
      <c r="A957" s="57" t="s">
        <v>108</v>
      </c>
      <c r="B957" s="57" t="s">
        <v>215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204"/>
        <v>OTTOBRE 2024</v>
      </c>
      <c r="F957" s="57" t="str">
        <f t="shared" si="1205"/>
        <v>10 OTTOBRE 2024</v>
      </c>
      <c r="G957" s="59">
        <v>29.99</v>
      </c>
      <c r="H957" s="1338" t="s">
        <v>75</v>
      </c>
      <c r="I957" s="960"/>
      <c r="J957" s="57" t="s">
        <v>108</v>
      </c>
      <c r="K957" s="59"/>
    </row>
    <row r="958" spans="1:11" x14ac:dyDescent="0.25">
      <c r="A958" s="57" t="s">
        <v>67</v>
      </c>
      <c r="B958" s="57" t="s">
        <v>215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204"/>
        <v>OTTOBRE 2024</v>
      </c>
      <c r="F958" s="57" t="str">
        <f t="shared" si="1205"/>
        <v>10 OTTOBRE 2024</v>
      </c>
      <c r="G958" s="59">
        <v>6.5</v>
      </c>
      <c r="H958" s="1338" t="s">
        <v>776</v>
      </c>
      <c r="I958" s="960"/>
      <c r="J958" s="59"/>
      <c r="K958" s="59"/>
    </row>
    <row r="959" spans="1:11" ht="18.600000000000001" customHeight="1" x14ac:dyDescent="0.25">
      <c r="A959" s="57" t="s">
        <v>232</v>
      </c>
      <c r="B959" s="57" t="s">
        <v>215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204"/>
        <v>OTTOBRE 2024</v>
      </c>
      <c r="F959" s="57" t="str">
        <f t="shared" si="1205"/>
        <v>10 OTTOBRE 2024</v>
      </c>
      <c r="G959" s="59">
        <v>1.7</v>
      </c>
      <c r="H959" s="1338" t="s">
        <v>91</v>
      </c>
      <c r="I959" s="960"/>
      <c r="J959" s="59"/>
      <c r="K959" s="59"/>
    </row>
    <row r="960" spans="1:11" ht="16.5" customHeight="1" x14ac:dyDescent="0.25">
      <c r="A960" s="57" t="s">
        <v>108</v>
      </c>
      <c r="B960" s="57" t="s">
        <v>215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204"/>
        <v>OTTOBRE 2024</v>
      </c>
      <c r="F960" s="57" t="str">
        <f t="shared" si="1205"/>
        <v>10 OTTOBRE 2024</v>
      </c>
      <c r="G960" s="59">
        <v>15</v>
      </c>
      <c r="H960" s="1338" t="s">
        <v>93</v>
      </c>
      <c r="I960" s="960" t="s">
        <v>1027</v>
      </c>
      <c r="J960" s="57" t="s">
        <v>108</v>
      </c>
      <c r="K960" s="59" t="s">
        <v>1030</v>
      </c>
    </row>
    <row r="961" spans="1:11" ht="16.5" customHeight="1" x14ac:dyDescent="0.25">
      <c r="A961" s="57" t="s">
        <v>113</v>
      </c>
      <c r="B961" s="57" t="s">
        <v>215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204"/>
        <v>OTTOBRE 2024</v>
      </c>
      <c r="F961" s="57" t="str">
        <f t="shared" si="1205"/>
        <v>10 OTTOBRE 2024</v>
      </c>
      <c r="G961" s="59">
        <v>33</v>
      </c>
      <c r="H961" s="1338" t="s">
        <v>114</v>
      </c>
      <c r="I961" s="960"/>
      <c r="J961" s="59"/>
      <c r="K961" s="59"/>
    </row>
    <row r="962" spans="1:11" ht="16.5" customHeight="1" x14ac:dyDescent="0.25">
      <c r="A962" s="57" t="s">
        <v>83</v>
      </c>
      <c r="B962" s="57" t="s">
        <v>215</v>
      </c>
      <c r="C962" s="57">
        <v>2024</v>
      </c>
      <c r="D962" s="58">
        <f>MATCH(B962,{"GENNAIO","FEBBRAIO","MARZO","APRILE","MAGGIO","GIUGNO","LUGLIO","AGOSTO","SETTEMBRE","OTTOBRE","NOVEMBRE","DICEMBRE"},0)</f>
        <v>10</v>
      </c>
      <c r="E962" s="57" t="str">
        <f t="shared" si="1204"/>
        <v>OTTOBRE 2024</v>
      </c>
      <c r="F962" s="57" t="str">
        <f t="shared" si="1205"/>
        <v>10 OTTOBRE 2024</v>
      </c>
      <c r="G962" s="59">
        <v>14.22</v>
      </c>
      <c r="H962" s="1338" t="s">
        <v>77</v>
      </c>
      <c r="I962" s="960"/>
      <c r="J962" s="59"/>
      <c r="K962" s="59"/>
    </row>
    <row r="963" spans="1:11" x14ac:dyDescent="0.25">
      <c r="A963" s="57" t="s">
        <v>121</v>
      </c>
      <c r="B963" s="57" t="s">
        <v>215</v>
      </c>
      <c r="C963" s="57">
        <v>2024</v>
      </c>
      <c r="D963" s="58">
        <f>MATCH(B963,{"GENNAIO","FEBBRAIO","MARZO","APRILE","MAGGIO","GIUGNO","LUGLIO","AGOSTO","SETTEMBRE","OTTOBRE","NOVEMBRE","DICEMBRE"},0)</f>
        <v>10</v>
      </c>
      <c r="E963" s="57" t="str">
        <f t="shared" si="1204"/>
        <v>OTTOBRE 2024</v>
      </c>
      <c r="F963" s="57" t="str">
        <f t="shared" si="1205"/>
        <v>10 OTTOBRE 2024</v>
      </c>
      <c r="G963" s="59">
        <v>0.4</v>
      </c>
      <c r="H963" s="1338" t="s">
        <v>777</v>
      </c>
      <c r="I963" s="960"/>
      <c r="J963" s="59"/>
      <c r="K963" s="59"/>
    </row>
    <row r="964" spans="1:11" x14ac:dyDescent="0.25">
      <c r="A964" s="57" t="s">
        <v>121</v>
      </c>
      <c r="B964" s="57" t="s">
        <v>215</v>
      </c>
      <c r="C964" s="57">
        <v>2024</v>
      </c>
      <c r="D964" s="58">
        <f>MATCH(B964,{"GENNAIO","FEBBRAIO","MARZO","APRILE","MAGGIO","GIUGNO","LUGLIO","AGOSTO","SETTEMBRE","OTTOBRE","NOVEMBRE","DICEMBRE"},0)</f>
        <v>10</v>
      </c>
      <c r="E964" s="57" t="str">
        <f t="shared" si="1204"/>
        <v>OTTOBRE 2024</v>
      </c>
      <c r="F964" s="57" t="str">
        <f t="shared" si="1205"/>
        <v>10 OTTOBRE 2024</v>
      </c>
      <c r="G964" s="59">
        <v>0.4</v>
      </c>
      <c r="H964" s="1338" t="s">
        <v>777</v>
      </c>
      <c r="I964" s="960"/>
      <c r="J964" s="59"/>
      <c r="K964" s="59"/>
    </row>
    <row r="965" spans="1:11" x14ac:dyDescent="0.25">
      <c r="A965" s="57" t="s">
        <v>121</v>
      </c>
      <c r="B965" s="57" t="s">
        <v>215</v>
      </c>
      <c r="C965" s="57">
        <v>2024</v>
      </c>
      <c r="D965" s="58">
        <f>MATCH(B965,{"GENNAIO","FEBBRAIO","MARZO","APRILE","MAGGIO","GIUGNO","LUGLIO","AGOSTO","SETTEMBRE","OTTOBRE","NOVEMBRE","DICEMBRE"},0)</f>
        <v>10</v>
      </c>
      <c r="E965" s="57" t="str">
        <f t="shared" si="1204"/>
        <v>OTTOBRE 2024</v>
      </c>
      <c r="F965" s="57" t="str">
        <f t="shared" si="1205"/>
        <v>10 OTTOBRE 2024</v>
      </c>
      <c r="G965" s="59">
        <v>0.4</v>
      </c>
      <c r="H965" s="1338" t="s">
        <v>777</v>
      </c>
      <c r="I965" s="960"/>
      <c r="J965" s="59"/>
      <c r="K965" s="59"/>
    </row>
    <row r="966" spans="1:11" x14ac:dyDescent="0.25">
      <c r="A966" s="57" t="s">
        <v>999</v>
      </c>
      <c r="B966" s="57" t="s">
        <v>215</v>
      </c>
      <c r="C966" s="57">
        <v>2024</v>
      </c>
      <c r="D966" s="58">
        <f>MATCH(B966,{"GENNAIO","FEBBRAIO","MARZO","APRILE","MAGGIO","GIUGNO","LUGLIO","AGOSTO","SETTEMBRE","OTTOBRE","NOVEMBRE","DICEMBRE"},0)</f>
        <v>10</v>
      </c>
      <c r="E966" s="57" t="str">
        <f t="shared" si="1204"/>
        <v>OTTOBRE 2024</v>
      </c>
      <c r="F966" s="57" t="str">
        <f t="shared" si="1205"/>
        <v>10 OTTOBRE 2024</v>
      </c>
      <c r="G966" s="59">
        <v>36.32</v>
      </c>
      <c r="H966" s="1338" t="s">
        <v>75</v>
      </c>
      <c r="I966" s="960" t="s">
        <v>993</v>
      </c>
      <c r="J966" s="59" t="s">
        <v>768</v>
      </c>
      <c r="K966" s="59"/>
    </row>
    <row r="967" spans="1:11" x14ac:dyDescent="0.25">
      <c r="A967" s="57" t="s">
        <v>73</v>
      </c>
      <c r="B967" s="57" t="s">
        <v>215</v>
      </c>
      <c r="C967" s="57">
        <v>2024</v>
      </c>
      <c r="D967" s="58">
        <f>MATCH(B967,{"GENNAIO","FEBBRAIO","MARZO","APRILE","MAGGIO","GIUGNO","LUGLIO","AGOSTO","SETTEMBRE","OTTOBRE","NOVEMBRE","DICEMBRE"},0)</f>
        <v>10</v>
      </c>
      <c r="E967" s="57" t="str">
        <f t="shared" si="1204"/>
        <v>OTTOBRE 2024</v>
      </c>
      <c r="F967" s="57" t="str">
        <f t="shared" si="1205"/>
        <v>10 OTTOBRE 2024</v>
      </c>
      <c r="G967" s="59">
        <v>11</v>
      </c>
      <c r="H967" s="1338" t="s">
        <v>74</v>
      </c>
      <c r="I967" s="960"/>
      <c r="J967" s="59"/>
      <c r="K967" s="59"/>
    </row>
    <row r="968" spans="1:11" ht="16.5" customHeight="1" x14ac:dyDescent="0.25">
      <c r="A968" s="57" t="s">
        <v>76</v>
      </c>
      <c r="B968" s="57" t="s">
        <v>215</v>
      </c>
      <c r="C968" s="57">
        <v>2024</v>
      </c>
      <c r="D968" s="58">
        <f>MATCH(B968,{"GENNAIO","FEBBRAIO","MARZO","APRILE","MAGGIO","GIUGNO","LUGLIO","AGOSTO","SETTEMBRE","OTTOBRE","NOVEMBRE","DICEMBRE"},0)</f>
        <v>10</v>
      </c>
      <c r="E968" s="57" t="str">
        <f t="shared" si="1204"/>
        <v>OTTOBRE 2024</v>
      </c>
      <c r="F968" s="57" t="str">
        <f t="shared" si="1205"/>
        <v>10 OTTOBRE 2024</v>
      </c>
      <c r="G968" s="59">
        <v>11.93</v>
      </c>
      <c r="H968" s="1338" t="s">
        <v>77</v>
      </c>
      <c r="I968" s="960"/>
      <c r="J968" s="59"/>
      <c r="K968" s="59"/>
    </row>
    <row r="969" spans="1:11" ht="16.5" customHeight="1" x14ac:dyDescent="0.25">
      <c r="A969" s="57" t="s">
        <v>67</v>
      </c>
      <c r="B969" s="57" t="s">
        <v>215</v>
      </c>
      <c r="C969" s="57">
        <v>2024</v>
      </c>
      <c r="D969" s="58">
        <f>MATCH(B969,{"GENNAIO","FEBBRAIO","MARZO","APRILE","MAGGIO","GIUGNO","LUGLIO","AGOSTO","SETTEMBRE","OTTOBRE","NOVEMBRE","DICEMBRE"},0)</f>
        <v>10</v>
      </c>
      <c r="E969" s="57" t="str">
        <f t="shared" si="1204"/>
        <v>OTTOBRE 2024</v>
      </c>
      <c r="F969" s="57" t="str">
        <f t="shared" si="1205"/>
        <v>10 OTTOBRE 2024</v>
      </c>
      <c r="G969" s="59">
        <v>11.6</v>
      </c>
      <c r="H969" s="1338" t="s">
        <v>69</v>
      </c>
      <c r="I969" s="960"/>
      <c r="J969" s="59"/>
      <c r="K969" s="59"/>
    </row>
    <row r="970" spans="1:11" ht="18.600000000000001" customHeight="1" x14ac:dyDescent="0.25">
      <c r="A970" s="57" t="s">
        <v>67</v>
      </c>
      <c r="B970" s="57" t="s">
        <v>215</v>
      </c>
      <c r="C970" s="57">
        <v>2024</v>
      </c>
      <c r="D970" s="58">
        <f>MATCH(B970,{"GENNAIO","FEBBRAIO","MARZO","APRILE","MAGGIO","GIUGNO","LUGLIO","AGOSTO","SETTEMBRE","OTTOBRE","NOVEMBRE","DICEMBRE"},0)</f>
        <v>10</v>
      </c>
      <c r="E970" s="57" t="str">
        <f t="shared" si="1204"/>
        <v>OTTOBRE 2024</v>
      </c>
      <c r="F970" s="57" t="str">
        <f t="shared" si="1205"/>
        <v>10 OTTOBRE 2024</v>
      </c>
      <c r="G970" s="59">
        <v>6.5</v>
      </c>
      <c r="H970" s="1338" t="s">
        <v>776</v>
      </c>
      <c r="I970" s="960"/>
      <c r="J970" s="59"/>
      <c r="K970" s="59"/>
    </row>
    <row r="971" spans="1:11" ht="18.600000000000001" customHeight="1" x14ac:dyDescent="0.25">
      <c r="A971" s="57" t="s">
        <v>121</v>
      </c>
      <c r="B971" s="57" t="s">
        <v>68</v>
      </c>
      <c r="C971" s="57">
        <v>2024</v>
      </c>
      <c r="D971" s="58">
        <f>MATCH(B971,{"GENNAIO","FEBBRAIO","MARZO","APRILE","MAGGIO","GIUGNO","LUGLIO","AGOSTO","SETTEMBRE","OTTOBRE","NOVEMBRE","DICEMBRE"},0)</f>
        <v>9</v>
      </c>
      <c r="E971" s="57" t="str">
        <f t="shared" si="1204"/>
        <v>SETTEMBRE 2024</v>
      </c>
      <c r="F971" s="57" t="str">
        <f t="shared" si="1205"/>
        <v>9 SETTEMBRE 2024</v>
      </c>
      <c r="G971" s="59">
        <v>0.7</v>
      </c>
      <c r="H971" s="1338" t="s">
        <v>777</v>
      </c>
      <c r="I971" s="960"/>
      <c r="J971" s="59"/>
      <c r="K971" s="59"/>
    </row>
    <row r="972" spans="1:11" ht="18.600000000000001" customHeight="1" x14ac:dyDescent="0.25">
      <c r="A972" s="57" t="s">
        <v>121</v>
      </c>
      <c r="B972" s="57" t="s">
        <v>68</v>
      </c>
      <c r="C972" s="57">
        <v>2024</v>
      </c>
      <c r="D972" s="58">
        <f>MATCH(B972,{"GENNAIO","FEBBRAIO","MARZO","APRILE","MAGGIO","GIUGNO","LUGLIO","AGOSTO","SETTEMBRE","OTTOBRE","NOVEMBRE","DICEMBRE"},0)</f>
        <v>9</v>
      </c>
      <c r="E972" s="57" t="str">
        <f t="shared" si="1204"/>
        <v>SETTEMBRE 2024</v>
      </c>
      <c r="F972" s="57" t="str">
        <f t="shared" si="1205"/>
        <v>9 SETTEMBRE 2024</v>
      </c>
      <c r="G972" s="59">
        <v>0.7</v>
      </c>
      <c r="H972" s="1338" t="s">
        <v>777</v>
      </c>
      <c r="I972" s="960"/>
      <c r="J972" s="59"/>
      <c r="K972" s="59"/>
    </row>
    <row r="973" spans="1:11" ht="16.5" customHeight="1" x14ac:dyDescent="0.25">
      <c r="A973" s="57" t="s">
        <v>122</v>
      </c>
      <c r="B973" s="57" t="s">
        <v>68</v>
      </c>
      <c r="C973" s="57">
        <v>2024</v>
      </c>
      <c r="D973" s="58">
        <f>MATCH(B973,{"GENNAIO","FEBBRAIO","MARZO","APRILE","MAGGIO","GIUGNO","LUGLIO","AGOSTO","SETTEMBRE","OTTOBRE","NOVEMBRE","DICEMBRE"},0)</f>
        <v>9</v>
      </c>
      <c r="E973" s="57" t="str">
        <f t="shared" si="1204"/>
        <v>SETTEMBRE 2024</v>
      </c>
      <c r="F973" s="57" t="str">
        <f t="shared" si="1205"/>
        <v>9 SETTEMBRE 2024</v>
      </c>
      <c r="G973" s="59">
        <v>6.11</v>
      </c>
      <c r="H973" s="1338" t="s">
        <v>77</v>
      </c>
      <c r="I973" s="960"/>
      <c r="J973" s="59"/>
      <c r="K973" s="59"/>
    </row>
    <row r="974" spans="1:11" ht="16.5" customHeight="1" x14ac:dyDescent="0.25">
      <c r="A974" s="57" t="s">
        <v>79</v>
      </c>
      <c r="B974" s="57" t="s">
        <v>68</v>
      </c>
      <c r="C974" s="57">
        <v>2024</v>
      </c>
      <c r="D974" s="58">
        <f>MATCH(B974,{"GENNAIO","FEBBRAIO","MARZO","APRILE","MAGGIO","GIUGNO","LUGLIO","AGOSTO","SETTEMBRE","OTTOBRE","NOVEMBRE","DICEMBRE"},0)</f>
        <v>9</v>
      </c>
      <c r="E974" s="57" t="str">
        <f t="shared" si="1204"/>
        <v>SETTEMBRE 2024</v>
      </c>
      <c r="F974" s="57" t="str">
        <f t="shared" si="1205"/>
        <v>9 SETTEMBRE 2024</v>
      </c>
      <c r="G974" s="59">
        <v>8.7899999999999991</v>
      </c>
      <c r="H974" s="1338" t="s">
        <v>81</v>
      </c>
      <c r="I974" s="960"/>
      <c r="J974" s="59"/>
      <c r="K974" s="59"/>
    </row>
    <row r="975" spans="1:11" ht="16.5" customHeight="1" x14ac:dyDescent="0.25">
      <c r="A975" s="57" t="s">
        <v>744</v>
      </c>
      <c r="B975" s="57" t="s">
        <v>68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si="1204"/>
        <v>SETTEMBRE 2024</v>
      </c>
      <c r="F975" s="57" t="str">
        <f t="shared" si="1205"/>
        <v>9 SETTEMBRE 2024</v>
      </c>
      <c r="G975" s="59">
        <v>19.850000000000001</v>
      </c>
      <c r="H975" s="1338" t="s">
        <v>166</v>
      </c>
      <c r="I975" s="960"/>
      <c r="J975" s="59"/>
      <c r="K975" s="59"/>
    </row>
    <row r="976" spans="1:11" ht="18.600000000000001" customHeight="1" x14ac:dyDescent="0.25">
      <c r="A976" s="57" t="s">
        <v>121</v>
      </c>
      <c r="B976" s="57" t="s">
        <v>68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204"/>
        <v>SETTEMBRE 2024</v>
      </c>
      <c r="F976" s="57" t="str">
        <f t="shared" si="1205"/>
        <v>9 SETTEMBRE 2024</v>
      </c>
      <c r="G976" s="59">
        <v>0.4</v>
      </c>
      <c r="H976" s="1338" t="s">
        <v>777</v>
      </c>
      <c r="I976" s="960"/>
      <c r="J976" s="59"/>
      <c r="K976" s="59"/>
    </row>
    <row r="977" spans="1:11" x14ac:dyDescent="0.25">
      <c r="A977" s="57" t="s">
        <v>121</v>
      </c>
      <c r="B977" s="57" t="s">
        <v>68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si="1204"/>
        <v>SETTEMBRE 2024</v>
      </c>
      <c r="F977" s="57" t="str">
        <f t="shared" si="1205"/>
        <v>9 SETTEMBRE 2024</v>
      </c>
      <c r="G977" s="59">
        <v>0.4</v>
      </c>
      <c r="H977" s="1338" t="s">
        <v>777</v>
      </c>
      <c r="I977" s="960"/>
      <c r="J977" s="59"/>
      <c r="K977" s="59"/>
    </row>
    <row r="978" spans="1:11" x14ac:dyDescent="0.25">
      <c r="A978" s="57" t="s">
        <v>121</v>
      </c>
      <c r="B978" s="57" t="s">
        <v>68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204"/>
        <v>SETTEMBRE 2024</v>
      </c>
      <c r="F978" s="57" t="str">
        <f t="shared" si="1205"/>
        <v>9 SETTEMBRE 2024</v>
      </c>
      <c r="G978" s="59">
        <v>0.4</v>
      </c>
      <c r="H978" s="1338" t="s">
        <v>777</v>
      </c>
      <c r="I978" s="960"/>
      <c r="J978" s="59"/>
      <c r="K978" s="59"/>
    </row>
    <row r="979" spans="1:11" x14ac:dyDescent="0.25">
      <c r="A979" s="57" t="s">
        <v>78</v>
      </c>
      <c r="B979" s="57" t="s">
        <v>68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si="1204"/>
        <v>SETTEMBRE 2024</v>
      </c>
      <c r="F979" s="57" t="str">
        <f t="shared" si="1205"/>
        <v>9 SETTEMBRE 2024</v>
      </c>
      <c r="G979" s="59">
        <v>8.83</v>
      </c>
      <c r="H979" s="1338" t="s">
        <v>77</v>
      </c>
      <c r="I979" s="960"/>
      <c r="J979" s="59"/>
      <c r="K979" s="59"/>
    </row>
    <row r="980" spans="1:11" ht="18" customHeight="1" x14ac:dyDescent="0.25">
      <c r="A980" s="57" t="s">
        <v>67</v>
      </c>
      <c r="B980" s="57" t="s">
        <v>68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204"/>
        <v>SETTEMBRE 2024</v>
      </c>
      <c r="F980" s="57" t="str">
        <f t="shared" si="1205"/>
        <v>9 SETTEMBRE 2024</v>
      </c>
      <c r="G980" s="59">
        <v>6.5</v>
      </c>
      <c r="H980" s="1338" t="s">
        <v>776</v>
      </c>
      <c r="I980" s="960"/>
      <c r="J980" s="59"/>
      <c r="K980" s="59"/>
    </row>
    <row r="981" spans="1:11" x14ac:dyDescent="0.25">
      <c r="A981" s="57" t="s">
        <v>171</v>
      </c>
      <c r="B981" s="57" t="s">
        <v>68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204"/>
        <v>SETTEMBRE 2024</v>
      </c>
      <c r="F981" s="57" t="str">
        <f t="shared" si="1205"/>
        <v>9 SETTEMBRE 2024</v>
      </c>
      <c r="G981" s="59">
        <v>41.7</v>
      </c>
      <c r="H981" s="1338" t="s">
        <v>81</v>
      </c>
      <c r="I981" s="960"/>
      <c r="J981" s="59"/>
      <c r="K981" s="59"/>
    </row>
    <row r="982" spans="1:11" ht="16.5" customHeight="1" x14ac:dyDescent="0.25">
      <c r="A982" s="57" t="s">
        <v>67</v>
      </c>
      <c r="B982" s="57" t="s">
        <v>68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204"/>
        <v>SETTEMBRE 2024</v>
      </c>
      <c r="F982" s="57" t="str">
        <f t="shared" si="1205"/>
        <v>9 SETTEMBRE 2024</v>
      </c>
      <c r="G982" s="59">
        <v>6.5</v>
      </c>
      <c r="H982" s="1338" t="s">
        <v>776</v>
      </c>
      <c r="I982" s="960"/>
      <c r="J982" s="59"/>
      <c r="K982" s="59"/>
    </row>
    <row r="983" spans="1:11" ht="18.600000000000001" customHeight="1" x14ac:dyDescent="0.25">
      <c r="A983" s="57" t="s">
        <v>1009</v>
      </c>
      <c r="B983" s="57" t="s">
        <v>68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204"/>
        <v>SETTEMBRE 2024</v>
      </c>
      <c r="F983" s="57" t="str">
        <f t="shared" si="1205"/>
        <v>9 SETTEMBRE 2024</v>
      </c>
      <c r="G983" s="59">
        <v>8.49</v>
      </c>
      <c r="H983" s="1338" t="s">
        <v>174</v>
      </c>
      <c r="I983" s="960"/>
      <c r="J983" s="59" t="s">
        <v>768</v>
      </c>
      <c r="K983" s="59"/>
    </row>
    <row r="984" spans="1:11" ht="18.600000000000001" customHeight="1" x14ac:dyDescent="0.25">
      <c r="A984" s="57" t="s">
        <v>67</v>
      </c>
      <c r="B984" s="57" t="s">
        <v>68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204"/>
        <v>SETTEMBRE 2024</v>
      </c>
      <c r="F984" s="57" t="str">
        <f t="shared" si="1205"/>
        <v>9 SETTEMBRE 2024</v>
      </c>
      <c r="G984" s="59">
        <v>4.2</v>
      </c>
      <c r="H984" s="1338" t="s">
        <v>69</v>
      </c>
      <c r="I984" s="960"/>
      <c r="J984" s="59"/>
      <c r="K984" s="59"/>
    </row>
    <row r="985" spans="1:11" ht="16.5" customHeight="1" x14ac:dyDescent="0.25">
      <c r="A985" s="57" t="s">
        <v>121</v>
      </c>
      <c r="B985" s="57" t="s">
        <v>68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204"/>
        <v>SETTEMBRE 2024</v>
      </c>
      <c r="F985" s="57" t="str">
        <f t="shared" si="1205"/>
        <v>9 SETTEMBRE 2024</v>
      </c>
      <c r="G985" s="59">
        <v>0.4</v>
      </c>
      <c r="H985" s="1338" t="s">
        <v>777</v>
      </c>
      <c r="I985" s="960"/>
      <c r="J985" s="59"/>
      <c r="K985" s="59"/>
    </row>
    <row r="986" spans="1:11" ht="16.5" customHeight="1" x14ac:dyDescent="0.25">
      <c r="A986" s="57" t="s">
        <v>76</v>
      </c>
      <c r="B986" s="57" t="s">
        <v>68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ref="E986:E1049" si="1206">CONCATENATE(,B986," ",C986)</f>
        <v>SETTEMBRE 2024</v>
      </c>
      <c r="F986" s="57" t="str">
        <f t="shared" ref="F986:F1049" si="1207">CONCATENATE(D986," ",E986)</f>
        <v>9 SETTEMBRE 2024</v>
      </c>
      <c r="G986" s="59">
        <v>14.03</v>
      </c>
      <c r="H986" s="1338" t="s">
        <v>77</v>
      </c>
      <c r="I986" s="960"/>
      <c r="J986" s="59"/>
      <c r="K986" s="59"/>
    </row>
    <row r="987" spans="1:11" ht="16.5" customHeight="1" x14ac:dyDescent="0.25">
      <c r="A987" s="57" t="s">
        <v>79</v>
      </c>
      <c r="B987" s="57" t="s">
        <v>68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206"/>
        <v>SETTEMBRE 2024</v>
      </c>
      <c r="F987" s="57" t="str">
        <f t="shared" si="1207"/>
        <v>9 SETTEMBRE 2024</v>
      </c>
      <c r="G987" s="59">
        <v>4.9800000000000004</v>
      </c>
      <c r="H987" s="1338" t="s">
        <v>81</v>
      </c>
      <c r="I987" s="960"/>
      <c r="J987" s="59"/>
      <c r="K987" s="59"/>
    </row>
    <row r="988" spans="1:11" ht="18.600000000000001" customHeight="1" x14ac:dyDescent="0.25">
      <c r="A988" s="57" t="s">
        <v>121</v>
      </c>
      <c r="B988" s="57" t="s">
        <v>68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206"/>
        <v>SETTEMBRE 2024</v>
      </c>
      <c r="F988" s="57" t="str">
        <f t="shared" si="1207"/>
        <v>9 SETTEMBRE 2024</v>
      </c>
      <c r="G988" s="59">
        <v>0.4</v>
      </c>
      <c r="H988" s="1338" t="s">
        <v>777</v>
      </c>
      <c r="I988" s="960"/>
      <c r="J988" s="59"/>
      <c r="K988" s="59"/>
    </row>
    <row r="989" spans="1:11" x14ac:dyDescent="0.25">
      <c r="A989" s="57" t="s">
        <v>121</v>
      </c>
      <c r="B989" s="57" t="s">
        <v>68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206"/>
        <v>SETTEMBRE 2024</v>
      </c>
      <c r="F989" s="57" t="str">
        <f t="shared" si="1207"/>
        <v>9 SETTEMBRE 2024</v>
      </c>
      <c r="G989" s="59">
        <v>0.4</v>
      </c>
      <c r="H989" s="1338" t="s">
        <v>777</v>
      </c>
      <c r="I989" s="960"/>
      <c r="J989" s="59"/>
      <c r="K989" s="59"/>
    </row>
    <row r="990" spans="1:11" x14ac:dyDescent="0.25">
      <c r="A990" s="57" t="s">
        <v>121</v>
      </c>
      <c r="B990" s="57" t="s">
        <v>68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206"/>
        <v>SETTEMBRE 2024</v>
      </c>
      <c r="F990" s="57" t="str">
        <f t="shared" si="1207"/>
        <v>9 SETTEMBRE 2024</v>
      </c>
      <c r="G990" s="59">
        <v>0.4</v>
      </c>
      <c r="H990" s="1338" t="s">
        <v>777</v>
      </c>
      <c r="I990" s="960"/>
      <c r="J990" s="59"/>
      <c r="K990" s="59"/>
    </row>
    <row r="991" spans="1:11" x14ac:dyDescent="0.25">
      <c r="A991" s="57" t="s">
        <v>83</v>
      </c>
      <c r="B991" s="57" t="s">
        <v>68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206"/>
        <v>SETTEMBRE 2024</v>
      </c>
      <c r="F991" s="57" t="str">
        <f t="shared" si="1207"/>
        <v>9 SETTEMBRE 2024</v>
      </c>
      <c r="G991" s="59">
        <v>16.07</v>
      </c>
      <c r="H991" s="1338" t="s">
        <v>77</v>
      </c>
      <c r="I991" s="960"/>
      <c r="J991" s="59"/>
      <c r="K991" s="59"/>
    </row>
    <row r="992" spans="1:11" ht="16.5" customHeight="1" x14ac:dyDescent="0.25">
      <c r="A992" s="57" t="s">
        <v>743</v>
      </c>
      <c r="B992" s="57" t="s">
        <v>68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206"/>
        <v>SETTEMBRE 2024</v>
      </c>
      <c r="F992" s="57" t="str">
        <f t="shared" si="1207"/>
        <v>9 SETTEMBRE 2024</v>
      </c>
      <c r="G992" s="59">
        <v>32</v>
      </c>
      <c r="H992" s="1338" t="s">
        <v>69</v>
      </c>
      <c r="I992" s="960"/>
      <c r="J992" s="59"/>
      <c r="K992" s="59"/>
    </row>
    <row r="993" spans="1:11" ht="16.5" customHeight="1" x14ac:dyDescent="0.25">
      <c r="A993" s="57" t="s">
        <v>743</v>
      </c>
      <c r="B993" s="57" t="s">
        <v>68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206"/>
        <v>SETTEMBRE 2024</v>
      </c>
      <c r="F993" s="57" t="str">
        <f t="shared" si="1207"/>
        <v>9 SETTEMBRE 2024</v>
      </c>
      <c r="G993" s="59">
        <v>35</v>
      </c>
      <c r="H993" s="1338" t="s">
        <v>69</v>
      </c>
      <c r="I993" s="960"/>
      <c r="J993" s="59"/>
      <c r="K993" s="59"/>
    </row>
    <row r="994" spans="1:11" ht="18.600000000000001" customHeight="1" x14ac:dyDescent="0.25">
      <c r="A994" s="57" t="s">
        <v>743</v>
      </c>
      <c r="B994" s="57" t="s">
        <v>68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206"/>
        <v>SETTEMBRE 2024</v>
      </c>
      <c r="F994" s="57" t="str">
        <f t="shared" si="1207"/>
        <v>9 SETTEMBRE 2024</v>
      </c>
      <c r="G994" s="59">
        <v>25</v>
      </c>
      <c r="H994" s="1338" t="s">
        <v>69</v>
      </c>
      <c r="I994" s="960"/>
      <c r="J994" s="59"/>
      <c r="K994" s="59"/>
    </row>
    <row r="995" spans="1:11" x14ac:dyDescent="0.25">
      <c r="A995" s="57" t="s">
        <v>232</v>
      </c>
      <c r="B995" s="57" t="s">
        <v>68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206"/>
        <v>SETTEMBRE 2024</v>
      </c>
      <c r="F995" s="57" t="str">
        <f t="shared" si="1207"/>
        <v>9 SETTEMBRE 2024</v>
      </c>
      <c r="G995" s="59">
        <v>1.7</v>
      </c>
      <c r="H995" s="1338" t="s">
        <v>91</v>
      </c>
      <c r="I995" s="960"/>
      <c r="J995" s="59"/>
      <c r="K995" s="59"/>
    </row>
    <row r="996" spans="1:11" x14ac:dyDescent="0.25">
      <c r="A996" s="57" t="s">
        <v>108</v>
      </c>
      <c r="B996" s="57" t="s">
        <v>68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206"/>
        <v>SETTEMBRE 2024</v>
      </c>
      <c r="F996" s="57" t="str">
        <f t="shared" si="1207"/>
        <v>9 SETTEMBRE 2024</v>
      </c>
      <c r="G996" s="59">
        <v>22.9</v>
      </c>
      <c r="H996" s="1338" t="s">
        <v>75</v>
      </c>
      <c r="I996" s="960"/>
      <c r="J996" s="57" t="s">
        <v>108</v>
      </c>
      <c r="K996" s="59"/>
    </row>
    <row r="997" spans="1:11" ht="18.600000000000001" customHeight="1" x14ac:dyDescent="0.25">
      <c r="A997" s="57" t="s">
        <v>78</v>
      </c>
      <c r="B997" s="57" t="s">
        <v>68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206"/>
        <v>SETTEMBRE 2024</v>
      </c>
      <c r="F997" s="57" t="str">
        <f t="shared" si="1207"/>
        <v>9 SETTEMBRE 2024</v>
      </c>
      <c r="G997" s="59">
        <v>12.84</v>
      </c>
      <c r="H997" s="1338" t="s">
        <v>77</v>
      </c>
      <c r="I997" s="960"/>
      <c r="J997" s="59"/>
      <c r="K997" s="59"/>
    </row>
    <row r="998" spans="1:11" ht="16.5" customHeight="1" x14ac:dyDescent="0.25">
      <c r="A998" s="57" t="s">
        <v>359</v>
      </c>
      <c r="B998" s="57" t="s">
        <v>68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206"/>
        <v>SETTEMBRE 2024</v>
      </c>
      <c r="F998" s="57" t="str">
        <f t="shared" si="1207"/>
        <v>9 SETTEMBRE 2024</v>
      </c>
      <c r="G998" s="60">
        <v>10.98</v>
      </c>
      <c r="H998" s="1338" t="s">
        <v>185</v>
      </c>
      <c r="I998" s="960"/>
      <c r="J998" s="59"/>
      <c r="K998" s="59"/>
    </row>
    <row r="999" spans="1:11" ht="18.600000000000001" customHeight="1" x14ac:dyDescent="0.25">
      <c r="A999" s="57" t="s">
        <v>67</v>
      </c>
      <c r="B999" s="57" t="s">
        <v>68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206"/>
        <v>SETTEMBRE 2024</v>
      </c>
      <c r="F999" s="57" t="str">
        <f t="shared" si="1207"/>
        <v>9 SETTEMBRE 2024</v>
      </c>
      <c r="G999" s="59">
        <v>6.5</v>
      </c>
      <c r="H999" s="1338" t="s">
        <v>776</v>
      </c>
      <c r="I999" s="960"/>
      <c r="J999" s="59"/>
      <c r="K999" s="59"/>
    </row>
    <row r="1000" spans="1:11" ht="18" customHeight="1" x14ac:dyDescent="0.25">
      <c r="A1000" s="57" t="s">
        <v>83</v>
      </c>
      <c r="B1000" s="57" t="s">
        <v>68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206"/>
        <v>SETTEMBRE 2024</v>
      </c>
      <c r="F1000" s="57" t="str">
        <f t="shared" si="1207"/>
        <v>9 SETTEMBRE 2024</v>
      </c>
      <c r="G1000" s="59">
        <v>6.43</v>
      </c>
      <c r="H1000" s="1338" t="s">
        <v>77</v>
      </c>
      <c r="I1000" s="960"/>
      <c r="J1000" s="59"/>
      <c r="K1000" s="59"/>
    </row>
    <row r="1001" spans="1:11" ht="18.600000000000001" customHeight="1" x14ac:dyDescent="0.25">
      <c r="A1001" s="57" t="s">
        <v>121</v>
      </c>
      <c r="B1001" s="57" t="s">
        <v>68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206"/>
        <v>SETTEMBRE 2024</v>
      </c>
      <c r="F1001" s="57" t="str">
        <f t="shared" si="1207"/>
        <v>9 SETTEMBRE 2024</v>
      </c>
      <c r="G1001" s="59">
        <v>0.7</v>
      </c>
      <c r="H1001" s="1338" t="s">
        <v>777</v>
      </c>
      <c r="I1001" s="960"/>
      <c r="J1001" s="59"/>
      <c r="K1001" s="59"/>
    </row>
    <row r="1002" spans="1:11" ht="16.5" customHeight="1" x14ac:dyDescent="0.25">
      <c r="A1002" s="57" t="s">
        <v>79</v>
      </c>
      <c r="B1002" s="57" t="s">
        <v>68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206"/>
        <v>SETTEMBRE 2024</v>
      </c>
      <c r="F1002" s="57" t="str">
        <f t="shared" si="1207"/>
        <v>9 SETTEMBRE 2024</v>
      </c>
      <c r="G1002" s="59">
        <v>14.4</v>
      </c>
      <c r="H1002" s="1338" t="s">
        <v>81</v>
      </c>
      <c r="I1002" s="960"/>
      <c r="J1002" s="59"/>
      <c r="K1002" s="59"/>
    </row>
    <row r="1003" spans="1:11" x14ac:dyDescent="0.25">
      <c r="A1003" s="57" t="s">
        <v>1024</v>
      </c>
      <c r="B1003" s="57" t="s">
        <v>68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206"/>
        <v>SETTEMBRE 2024</v>
      </c>
      <c r="F1003" s="57" t="str">
        <f t="shared" si="1207"/>
        <v>9 SETTEMBRE 2024</v>
      </c>
      <c r="G1003" s="59">
        <v>165</v>
      </c>
      <c r="H1003" s="1338" t="s">
        <v>166</v>
      </c>
      <c r="I1003" s="963"/>
      <c r="J1003" s="59" t="s">
        <v>173</v>
      </c>
      <c r="K1003" s="59" t="s">
        <v>742</v>
      </c>
    </row>
    <row r="1004" spans="1:11" x14ac:dyDescent="0.25">
      <c r="A1004" s="57" t="s">
        <v>83</v>
      </c>
      <c r="B1004" s="57" t="s">
        <v>68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206"/>
        <v>SETTEMBRE 2024</v>
      </c>
      <c r="F1004" s="57" t="str">
        <f t="shared" si="1207"/>
        <v>9 SETTEMBRE 2024</v>
      </c>
      <c r="G1004" s="59">
        <v>8.82</v>
      </c>
      <c r="H1004" s="1338" t="s">
        <v>77</v>
      </c>
      <c r="I1004" s="960"/>
      <c r="J1004" s="59"/>
      <c r="K1004" s="59"/>
    </row>
    <row r="1005" spans="1:11" x14ac:dyDescent="0.25">
      <c r="A1005" s="57" t="s">
        <v>108</v>
      </c>
      <c r="B1005" s="57" t="s">
        <v>68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206"/>
        <v>SETTEMBRE 2024</v>
      </c>
      <c r="F1005" s="57" t="str">
        <f t="shared" si="1207"/>
        <v>9 SETTEMBRE 2024</v>
      </c>
      <c r="G1005" s="59">
        <v>26.29</v>
      </c>
      <c r="H1005" s="1338" t="s">
        <v>75</v>
      </c>
      <c r="I1005" s="960"/>
      <c r="J1005" s="57" t="s">
        <v>108</v>
      </c>
      <c r="K1005" s="59"/>
    </row>
    <row r="1006" spans="1:11" ht="14.25" customHeight="1" x14ac:dyDescent="0.25">
      <c r="A1006" s="57" t="s">
        <v>67</v>
      </c>
      <c r="B1006" s="57" t="s">
        <v>68</v>
      </c>
      <c r="C1006" s="57">
        <v>2024</v>
      </c>
      <c r="D1006" s="58">
        <f>MATCH(B1006,{"GENNAIO","FEBBRAIO","MARZO","APRILE","MAGGIO","GIUGNO","LUGLIO","AGOSTO","SETTEMBRE","OTTOBRE","NOVEMBRE","DICEMBRE"},0)</f>
        <v>9</v>
      </c>
      <c r="E1006" s="57" t="str">
        <f t="shared" si="1206"/>
        <v>SETTEMBRE 2024</v>
      </c>
      <c r="F1006" s="57" t="str">
        <f t="shared" si="1207"/>
        <v>9 SETTEMBRE 2024</v>
      </c>
      <c r="G1006" s="59">
        <v>5</v>
      </c>
      <c r="H1006" s="1338" t="s">
        <v>776</v>
      </c>
      <c r="I1006" s="960"/>
      <c r="J1006" s="59"/>
      <c r="K1006" s="59"/>
    </row>
    <row r="1007" spans="1:11" ht="16.5" customHeight="1" x14ac:dyDescent="0.25">
      <c r="A1007" s="57" t="s">
        <v>1057</v>
      </c>
      <c r="B1007" s="57" t="s">
        <v>68</v>
      </c>
      <c r="C1007" s="57">
        <v>2024</v>
      </c>
      <c r="D1007" s="58">
        <f>MATCH(B1007,{"GENNAIO","FEBBRAIO","MARZO","APRILE","MAGGIO","GIUGNO","LUGLIO","AGOSTO","SETTEMBRE","OTTOBRE","NOVEMBRE","DICEMBRE"},0)</f>
        <v>9</v>
      </c>
      <c r="E1007" s="57" t="str">
        <f t="shared" si="1206"/>
        <v>SETTEMBRE 2024</v>
      </c>
      <c r="F1007" s="57" t="str">
        <f t="shared" si="1207"/>
        <v>9 SETTEMBRE 2024</v>
      </c>
      <c r="G1007" s="59">
        <v>29.49</v>
      </c>
      <c r="H1007" s="1338" t="s">
        <v>772</v>
      </c>
      <c r="I1007" s="960"/>
      <c r="J1007" s="59"/>
      <c r="K1007" s="59" t="s">
        <v>1058</v>
      </c>
    </row>
    <row r="1008" spans="1:11" ht="16.5" customHeight="1" x14ac:dyDescent="0.25">
      <c r="A1008" s="57" t="s">
        <v>71</v>
      </c>
      <c r="B1008" s="57" t="s">
        <v>68</v>
      </c>
      <c r="C1008" s="57">
        <v>2024</v>
      </c>
      <c r="D1008" s="58">
        <f>MATCH(B1008,{"GENNAIO","FEBBRAIO","MARZO","APRILE","MAGGIO","GIUGNO","LUGLIO","AGOSTO","SETTEMBRE","OTTOBRE","NOVEMBRE","DICEMBRE"},0)</f>
        <v>9</v>
      </c>
      <c r="E1008" s="57" t="str">
        <f t="shared" si="1206"/>
        <v>SETTEMBRE 2024</v>
      </c>
      <c r="F1008" s="57" t="str">
        <f t="shared" si="1207"/>
        <v>9 SETTEMBRE 2024</v>
      </c>
      <c r="G1008" s="59">
        <v>260</v>
      </c>
      <c r="H1008" s="1338" t="s">
        <v>74</v>
      </c>
      <c r="I1008" s="960"/>
      <c r="J1008" s="59"/>
      <c r="K1008" s="59"/>
    </row>
    <row r="1009" spans="1:11" ht="16.5" customHeight="1" x14ac:dyDescent="0.25">
      <c r="A1009" s="57" t="s">
        <v>73</v>
      </c>
      <c r="B1009" s="57" t="s">
        <v>68</v>
      </c>
      <c r="C1009" s="57">
        <v>2024</v>
      </c>
      <c r="D1009" s="58">
        <f>MATCH(B1009,{"GENNAIO","FEBBRAIO","MARZO","APRILE","MAGGIO","GIUGNO","LUGLIO","AGOSTO","SETTEMBRE","OTTOBRE","NOVEMBRE","DICEMBRE"},0)</f>
        <v>9</v>
      </c>
      <c r="E1009" s="57" t="str">
        <f t="shared" si="1206"/>
        <v>SETTEMBRE 2024</v>
      </c>
      <c r="F1009" s="57" t="str">
        <f t="shared" si="1207"/>
        <v>9 SETTEMBRE 2024</v>
      </c>
      <c r="G1009" s="59">
        <v>9</v>
      </c>
      <c r="H1009" s="1338" t="s">
        <v>74</v>
      </c>
      <c r="I1009" s="960"/>
      <c r="J1009" s="59"/>
      <c r="K1009" s="59"/>
    </row>
    <row r="1010" spans="1:11" ht="18.600000000000001" customHeight="1" x14ac:dyDescent="0.25">
      <c r="A1010" s="57" t="s">
        <v>108</v>
      </c>
      <c r="B1010" s="57" t="s">
        <v>68</v>
      </c>
      <c r="C1010" s="57">
        <v>2024</v>
      </c>
      <c r="D1010" s="58">
        <f>MATCH(B1010,{"GENNAIO","FEBBRAIO","MARZO","APRILE","MAGGIO","GIUGNO","LUGLIO","AGOSTO","SETTEMBRE","OTTOBRE","NOVEMBRE","DICEMBRE"},0)</f>
        <v>9</v>
      </c>
      <c r="E1010" s="57" t="str">
        <f t="shared" si="1206"/>
        <v>SETTEMBRE 2024</v>
      </c>
      <c r="F1010" s="57" t="str">
        <f t="shared" si="1207"/>
        <v>9 SETTEMBRE 2024</v>
      </c>
      <c r="G1010" s="59">
        <v>14.82</v>
      </c>
      <c r="H1010" s="1338" t="s">
        <v>75</v>
      </c>
      <c r="I1010" s="960" t="s">
        <v>989</v>
      </c>
      <c r="J1010" s="57" t="s">
        <v>108</v>
      </c>
      <c r="K1010" s="59" t="s">
        <v>1036</v>
      </c>
    </row>
    <row r="1011" spans="1:11" ht="18.600000000000001" customHeight="1" x14ac:dyDescent="0.25">
      <c r="A1011" s="57" t="s">
        <v>108</v>
      </c>
      <c r="B1011" s="57" t="s">
        <v>68</v>
      </c>
      <c r="C1011" s="57">
        <v>2024</v>
      </c>
      <c r="D1011" s="58">
        <f>MATCH(B1011,{"GENNAIO","FEBBRAIO","MARZO","APRILE","MAGGIO","GIUGNO","LUGLIO","AGOSTO","SETTEMBRE","OTTOBRE","NOVEMBRE","DICEMBRE"},0)</f>
        <v>9</v>
      </c>
      <c r="E1011" s="57" t="str">
        <f t="shared" si="1206"/>
        <v>SETTEMBRE 2024</v>
      </c>
      <c r="F1011" s="57" t="str">
        <f t="shared" si="1207"/>
        <v>9 SETTEMBRE 2024</v>
      </c>
      <c r="G1011" s="59">
        <v>14</v>
      </c>
      <c r="H1011" s="1338" t="s">
        <v>75</v>
      </c>
      <c r="I1011" s="960" t="s">
        <v>1044</v>
      </c>
      <c r="J1011" s="57" t="s">
        <v>108</v>
      </c>
      <c r="K1011" s="59" t="s">
        <v>1033</v>
      </c>
    </row>
    <row r="1012" spans="1:11" ht="18.600000000000001" customHeight="1" x14ac:dyDescent="0.25">
      <c r="A1012" s="57" t="s">
        <v>108</v>
      </c>
      <c r="B1012" s="57" t="s">
        <v>68</v>
      </c>
      <c r="C1012" s="57">
        <v>2024</v>
      </c>
      <c r="D1012" s="58">
        <f>MATCH(B1012,{"GENNAIO","FEBBRAIO","MARZO","APRILE","MAGGIO","GIUGNO","LUGLIO","AGOSTO","SETTEMBRE","OTTOBRE","NOVEMBRE","DICEMBRE"},0)</f>
        <v>9</v>
      </c>
      <c r="E1012" s="57" t="str">
        <f t="shared" si="1206"/>
        <v>SETTEMBRE 2024</v>
      </c>
      <c r="F1012" s="57" t="str">
        <f t="shared" si="1207"/>
        <v>9 SETTEMBRE 2024</v>
      </c>
      <c r="G1012" s="59">
        <v>9.0500000000000007</v>
      </c>
      <c r="H1012" s="1338" t="s">
        <v>75</v>
      </c>
      <c r="I1012" s="960" t="s">
        <v>989</v>
      </c>
      <c r="J1012" s="57" t="s">
        <v>108</v>
      </c>
      <c r="K1012" s="59" t="s">
        <v>1037</v>
      </c>
    </row>
    <row r="1013" spans="1:11" ht="16.5" customHeight="1" x14ac:dyDescent="0.25">
      <c r="A1013" s="57" t="s">
        <v>76</v>
      </c>
      <c r="B1013" s="57" t="s">
        <v>68</v>
      </c>
      <c r="C1013" s="57">
        <v>2024</v>
      </c>
      <c r="D1013" s="58">
        <f>MATCH(B1013,{"GENNAIO","FEBBRAIO","MARZO","APRILE","MAGGIO","GIUGNO","LUGLIO","AGOSTO","SETTEMBRE","OTTOBRE","NOVEMBRE","DICEMBRE"},0)</f>
        <v>9</v>
      </c>
      <c r="E1013" s="57" t="str">
        <f t="shared" si="1206"/>
        <v>SETTEMBRE 2024</v>
      </c>
      <c r="F1013" s="57" t="str">
        <f t="shared" si="1207"/>
        <v>9 SETTEMBRE 2024</v>
      </c>
      <c r="G1013" s="59">
        <v>8.84</v>
      </c>
      <c r="H1013" s="1338" t="s">
        <v>77</v>
      </c>
      <c r="I1013" s="960"/>
      <c r="J1013" s="59"/>
      <c r="K1013" s="59"/>
    </row>
    <row r="1014" spans="1:11" ht="18.600000000000001" customHeight="1" x14ac:dyDescent="0.25">
      <c r="A1014" s="57" t="s">
        <v>78</v>
      </c>
      <c r="B1014" s="57" t="s">
        <v>68</v>
      </c>
      <c r="C1014" s="57">
        <v>2024</v>
      </c>
      <c r="D1014" s="58">
        <f>MATCH(B1014,{"GENNAIO","FEBBRAIO","MARZO","APRILE","MAGGIO","GIUGNO","LUGLIO","AGOSTO","SETTEMBRE","OTTOBRE","NOVEMBRE","DICEMBRE"},0)</f>
        <v>9</v>
      </c>
      <c r="E1014" s="57" t="str">
        <f t="shared" si="1206"/>
        <v>SETTEMBRE 2024</v>
      </c>
      <c r="F1014" s="57" t="str">
        <f t="shared" si="1207"/>
        <v>9 SETTEMBRE 2024</v>
      </c>
      <c r="G1014" s="59">
        <v>20.2</v>
      </c>
      <c r="H1014" s="1338" t="s">
        <v>77</v>
      </c>
      <c r="I1014" s="960"/>
      <c r="J1014" s="59"/>
      <c r="K1014" s="59"/>
    </row>
    <row r="1015" spans="1:11" ht="18" customHeight="1" x14ac:dyDescent="0.25">
      <c r="A1015" s="57" t="s">
        <v>79</v>
      </c>
      <c r="B1015" s="57" t="s">
        <v>80</v>
      </c>
      <c r="C1015" s="57">
        <v>2024</v>
      </c>
      <c r="D1015" s="58">
        <f>MATCH(B1015,{"GENNAIO","FEBBRAIO","MARZO","APRILE","MAGGIO","GIUGNO","LUGLIO","AGOSTO","SETTEMBRE","OTTOBRE","NOVEMBRE","DICEMBRE"},0)</f>
        <v>8</v>
      </c>
      <c r="E1015" s="57" t="str">
        <f t="shared" si="1206"/>
        <v>AGOSTO 2024</v>
      </c>
      <c r="F1015" s="57" t="str">
        <f t="shared" si="1207"/>
        <v>8 AGOSTO 2024</v>
      </c>
      <c r="G1015" s="59">
        <v>3.97</v>
      </c>
      <c r="H1015" s="1338" t="s">
        <v>81</v>
      </c>
      <c r="I1015" s="960"/>
      <c r="J1015" s="59"/>
      <c r="K1015" s="59"/>
    </row>
    <row r="1016" spans="1:11" ht="18.600000000000001" customHeight="1" x14ac:dyDescent="0.25">
      <c r="A1016" s="57" t="s">
        <v>82</v>
      </c>
      <c r="B1016" s="57" t="s">
        <v>80</v>
      </c>
      <c r="C1016" s="57">
        <v>2024</v>
      </c>
      <c r="D1016" s="58">
        <f>MATCH(B1016,{"GENNAIO","FEBBRAIO","MARZO","APRILE","MAGGIO","GIUGNO","LUGLIO","AGOSTO","SETTEMBRE","OTTOBRE","NOVEMBRE","DICEMBRE"},0)</f>
        <v>8</v>
      </c>
      <c r="E1016" s="57" t="str">
        <f t="shared" si="1206"/>
        <v>AGOSTO 2024</v>
      </c>
      <c r="F1016" s="57" t="str">
        <f t="shared" si="1207"/>
        <v>8 AGOSTO 2024</v>
      </c>
      <c r="G1016" s="59">
        <v>14</v>
      </c>
      <c r="H1016" s="1338" t="s">
        <v>69</v>
      </c>
      <c r="I1016" s="960"/>
      <c r="J1016" s="59"/>
      <c r="K1016" s="59"/>
    </row>
    <row r="1017" spans="1:11" ht="16.5" customHeight="1" x14ac:dyDescent="0.25">
      <c r="A1017" s="57" t="s">
        <v>83</v>
      </c>
      <c r="B1017" s="57" t="s">
        <v>80</v>
      </c>
      <c r="C1017" s="57">
        <v>2024</v>
      </c>
      <c r="D1017" s="58">
        <f>MATCH(B1017,{"GENNAIO","FEBBRAIO","MARZO","APRILE","MAGGIO","GIUGNO","LUGLIO","AGOSTO","SETTEMBRE","OTTOBRE","NOVEMBRE","DICEMBRE"},0)</f>
        <v>8</v>
      </c>
      <c r="E1017" s="57" t="str">
        <f t="shared" si="1206"/>
        <v>AGOSTO 2024</v>
      </c>
      <c r="F1017" s="57" t="str">
        <f t="shared" si="1207"/>
        <v>8 AGOSTO 2024</v>
      </c>
      <c r="G1017" s="59">
        <v>8.3000000000000007</v>
      </c>
      <c r="H1017" s="1338" t="s">
        <v>77</v>
      </c>
      <c r="I1017" s="960"/>
      <c r="J1017" s="59"/>
      <c r="K1017" s="59"/>
    </row>
    <row r="1018" spans="1:11" ht="18.600000000000001" customHeight="1" x14ac:dyDescent="0.25">
      <c r="A1018" s="57" t="s">
        <v>1003</v>
      </c>
      <c r="B1018" s="57" t="s">
        <v>80</v>
      </c>
      <c r="C1018" s="57">
        <v>2024</v>
      </c>
      <c r="D1018" s="58">
        <f>MATCH(B1018,{"GENNAIO","FEBBRAIO","MARZO","APRILE","MAGGIO","GIUGNO","LUGLIO","AGOSTO","SETTEMBRE","OTTOBRE","NOVEMBRE","DICEMBRE"},0)</f>
        <v>8</v>
      </c>
      <c r="E1018" s="57" t="str">
        <f t="shared" si="1206"/>
        <v>AGOSTO 2024</v>
      </c>
      <c r="F1018" s="57" t="str">
        <f t="shared" si="1207"/>
        <v>8 AGOSTO 2024</v>
      </c>
      <c r="G1018" s="59">
        <v>20</v>
      </c>
      <c r="H1018" s="1338" t="s">
        <v>93</v>
      </c>
      <c r="I1018" s="960"/>
      <c r="J1018" s="59" t="s">
        <v>768</v>
      </c>
      <c r="K1018" s="59" t="s">
        <v>1010</v>
      </c>
    </row>
    <row r="1019" spans="1:11" ht="16.5" customHeight="1" x14ac:dyDescent="0.25">
      <c r="A1019" s="57" t="s">
        <v>83</v>
      </c>
      <c r="B1019" s="57" t="s">
        <v>80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206"/>
        <v>AGOSTO 2024</v>
      </c>
      <c r="F1019" s="57" t="str">
        <f t="shared" si="1207"/>
        <v>8 AGOSTO 2024</v>
      </c>
      <c r="G1019" s="59">
        <v>26.61</v>
      </c>
      <c r="H1019" s="1338" t="s">
        <v>77</v>
      </c>
      <c r="I1019" s="960"/>
      <c r="J1019" s="59"/>
      <c r="K1019" s="59"/>
    </row>
    <row r="1020" spans="1:11" ht="16.5" customHeight="1" x14ac:dyDescent="0.25">
      <c r="A1020" s="57" t="s">
        <v>84</v>
      </c>
      <c r="B1020" s="57" t="s">
        <v>80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206"/>
        <v>AGOSTO 2024</v>
      </c>
      <c r="F1020" s="57" t="str">
        <f t="shared" si="1207"/>
        <v>8 AGOSTO 2024</v>
      </c>
      <c r="G1020" s="60">
        <v>12.9</v>
      </c>
      <c r="H1020" s="1338" t="s">
        <v>85</v>
      </c>
      <c r="I1020" s="960"/>
      <c r="J1020" s="59"/>
      <c r="K1020" s="59"/>
    </row>
    <row r="1021" spans="1:11" ht="16.5" customHeight="1" x14ac:dyDescent="0.25">
      <c r="A1021" s="57" t="s">
        <v>79</v>
      </c>
      <c r="B1021" s="57" t="s">
        <v>80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206"/>
        <v>AGOSTO 2024</v>
      </c>
      <c r="F1021" s="57" t="str">
        <f t="shared" si="1207"/>
        <v>8 AGOSTO 2024</v>
      </c>
      <c r="G1021" s="59">
        <v>21.38</v>
      </c>
      <c r="H1021" s="1338" t="s">
        <v>81</v>
      </c>
      <c r="I1021" s="960"/>
      <c r="J1021" s="59"/>
      <c r="K1021" s="59"/>
    </row>
    <row r="1022" spans="1:11" ht="16.5" customHeight="1" x14ac:dyDescent="0.25">
      <c r="A1022" s="57" t="s">
        <v>84</v>
      </c>
      <c r="B1022" s="57" t="s">
        <v>80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206"/>
        <v>AGOSTO 2024</v>
      </c>
      <c r="F1022" s="57" t="str">
        <f t="shared" si="1207"/>
        <v>8 AGOSTO 2024</v>
      </c>
      <c r="G1022" s="60">
        <v>12.8</v>
      </c>
      <c r="H1022" s="1338" t="s">
        <v>85</v>
      </c>
      <c r="I1022" s="960"/>
      <c r="J1022" s="59"/>
      <c r="K1022" s="59"/>
    </row>
    <row r="1023" spans="1:11" ht="16.5" customHeight="1" x14ac:dyDescent="0.25">
      <c r="A1023" s="57" t="s">
        <v>86</v>
      </c>
      <c r="B1023" s="57" t="s">
        <v>80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206"/>
        <v>AGOSTO 2024</v>
      </c>
      <c r="F1023" s="57" t="str">
        <f t="shared" si="1207"/>
        <v>8 AGOSTO 2024</v>
      </c>
      <c r="G1023" s="59">
        <v>20</v>
      </c>
      <c r="H1023" s="1338" t="s">
        <v>69</v>
      </c>
      <c r="I1023" s="960"/>
      <c r="J1023" s="59"/>
      <c r="K1023" s="59"/>
    </row>
    <row r="1024" spans="1:11" ht="16.5" customHeight="1" x14ac:dyDescent="0.25">
      <c r="A1024" s="57" t="s">
        <v>87</v>
      </c>
      <c r="B1024" s="57" t="s">
        <v>80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206"/>
        <v>AGOSTO 2024</v>
      </c>
      <c r="F1024" s="57" t="str">
        <f t="shared" si="1207"/>
        <v>8 AGOSTO 2024</v>
      </c>
      <c r="G1024" s="59">
        <v>36</v>
      </c>
      <c r="H1024" s="1338" t="s">
        <v>69</v>
      </c>
      <c r="I1024" s="960"/>
      <c r="J1024" s="59"/>
      <c r="K1024" s="59"/>
    </row>
    <row r="1025" spans="1:11" ht="16.5" customHeight="1" x14ac:dyDescent="0.25">
      <c r="A1025" s="57" t="s">
        <v>88</v>
      </c>
      <c r="B1025" s="57" t="s">
        <v>80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206"/>
        <v>AGOSTO 2024</v>
      </c>
      <c r="F1025" s="57" t="str">
        <f t="shared" si="1207"/>
        <v>8 AGOSTO 2024</v>
      </c>
      <c r="G1025" s="59">
        <v>2</v>
      </c>
      <c r="H1025" s="1338" t="s">
        <v>69</v>
      </c>
      <c r="I1025" s="960"/>
      <c r="J1025" s="59"/>
      <c r="K1025" s="59" t="s">
        <v>89</v>
      </c>
    </row>
    <row r="1026" spans="1:11" ht="16.5" customHeight="1" x14ac:dyDescent="0.25">
      <c r="A1026" s="57" t="s">
        <v>90</v>
      </c>
      <c r="B1026" s="57" t="s">
        <v>80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206"/>
        <v>AGOSTO 2024</v>
      </c>
      <c r="F1026" s="57" t="str">
        <f t="shared" si="1207"/>
        <v>8 AGOSTO 2024</v>
      </c>
      <c r="G1026" s="59">
        <v>31.51</v>
      </c>
      <c r="H1026" s="1338" t="s">
        <v>91</v>
      </c>
      <c r="I1026" s="960"/>
      <c r="J1026" s="59"/>
      <c r="K1026" s="59" t="s">
        <v>89</v>
      </c>
    </row>
    <row r="1027" spans="1:11" ht="16.5" customHeight="1" x14ac:dyDescent="0.25">
      <c r="A1027" s="57" t="s">
        <v>92</v>
      </c>
      <c r="B1027" s="57" t="s">
        <v>80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206"/>
        <v>AGOSTO 2024</v>
      </c>
      <c r="F1027" s="57" t="str">
        <f t="shared" si="1207"/>
        <v>8 AGOSTO 2024</v>
      </c>
      <c r="G1027" s="59">
        <v>12</v>
      </c>
      <c r="H1027" s="1338" t="s">
        <v>93</v>
      </c>
      <c r="I1027" s="960"/>
      <c r="J1027" s="59"/>
      <c r="K1027" s="59" t="s">
        <v>89</v>
      </c>
    </row>
    <row r="1028" spans="1:11" ht="16.5" customHeight="1" x14ac:dyDescent="0.25">
      <c r="A1028" s="57" t="s">
        <v>94</v>
      </c>
      <c r="B1028" s="57" t="s">
        <v>80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206"/>
        <v>AGOSTO 2024</v>
      </c>
      <c r="F1028" s="57" t="str">
        <f t="shared" si="1207"/>
        <v>8 AGOSTO 2024</v>
      </c>
      <c r="G1028" s="59">
        <v>12</v>
      </c>
      <c r="H1028" s="1338" t="s">
        <v>93</v>
      </c>
      <c r="I1028" s="960"/>
      <c r="J1028" s="59"/>
      <c r="K1028" s="59" t="s">
        <v>89</v>
      </c>
    </row>
    <row r="1029" spans="1:11" ht="16.5" customHeight="1" x14ac:dyDescent="0.25">
      <c r="A1029" s="57" t="s">
        <v>95</v>
      </c>
      <c r="B1029" s="57" t="s">
        <v>80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206"/>
        <v>AGOSTO 2024</v>
      </c>
      <c r="F1029" s="57" t="str">
        <f t="shared" si="1207"/>
        <v>8 AGOSTO 2024</v>
      </c>
      <c r="G1029" s="59">
        <v>31.2</v>
      </c>
      <c r="H1029" s="1338" t="s">
        <v>93</v>
      </c>
      <c r="I1029" s="960"/>
      <c r="J1029" s="59"/>
      <c r="K1029" s="59" t="s">
        <v>89</v>
      </c>
    </row>
    <row r="1030" spans="1:11" ht="16.5" customHeight="1" x14ac:dyDescent="0.25">
      <c r="A1030" s="57" t="s">
        <v>96</v>
      </c>
      <c r="B1030" s="57" t="s">
        <v>80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206"/>
        <v>AGOSTO 2024</v>
      </c>
      <c r="F1030" s="57" t="str">
        <f t="shared" si="1207"/>
        <v>8 AGOSTO 2024</v>
      </c>
      <c r="G1030" s="59">
        <v>12.1</v>
      </c>
      <c r="H1030" s="1338" t="s">
        <v>69</v>
      </c>
      <c r="I1030" s="960"/>
      <c r="J1030" s="59"/>
      <c r="K1030" s="59" t="s">
        <v>89</v>
      </c>
    </row>
    <row r="1031" spans="1:11" ht="16.5" customHeight="1" x14ac:dyDescent="0.25">
      <c r="A1031" s="57" t="s">
        <v>97</v>
      </c>
      <c r="B1031" s="57" t="s">
        <v>80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206"/>
        <v>AGOSTO 2024</v>
      </c>
      <c r="F1031" s="57" t="str">
        <f t="shared" si="1207"/>
        <v>8 AGOSTO 2024</v>
      </c>
      <c r="G1031" s="59">
        <v>63.04</v>
      </c>
      <c r="H1031" s="1338" t="s">
        <v>91</v>
      </c>
      <c r="I1031" s="960"/>
      <c r="J1031" s="59"/>
      <c r="K1031" s="59" t="s">
        <v>89</v>
      </c>
    </row>
    <row r="1032" spans="1:11" ht="16.5" customHeight="1" x14ac:dyDescent="0.25">
      <c r="A1032" s="57" t="s">
        <v>98</v>
      </c>
      <c r="B1032" s="57" t="s">
        <v>80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206"/>
        <v>AGOSTO 2024</v>
      </c>
      <c r="F1032" s="57" t="str">
        <f t="shared" si="1207"/>
        <v>8 AGOSTO 2024</v>
      </c>
      <c r="G1032" s="59">
        <v>4.5</v>
      </c>
      <c r="H1032" s="1338" t="s">
        <v>69</v>
      </c>
      <c r="I1032" s="960"/>
      <c r="J1032" s="59"/>
      <c r="K1032" s="59" t="s">
        <v>89</v>
      </c>
    </row>
    <row r="1033" spans="1:11" ht="16.5" customHeight="1" x14ac:dyDescent="0.25">
      <c r="A1033" s="57" t="s">
        <v>98</v>
      </c>
      <c r="B1033" s="57" t="s">
        <v>80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206"/>
        <v>AGOSTO 2024</v>
      </c>
      <c r="F1033" s="57" t="str">
        <f t="shared" si="1207"/>
        <v>8 AGOSTO 2024</v>
      </c>
      <c r="G1033" s="59">
        <v>24.5</v>
      </c>
      <c r="H1033" s="1338" t="s">
        <v>69</v>
      </c>
      <c r="I1033" s="960"/>
      <c r="J1033" s="59"/>
      <c r="K1033" s="59" t="s">
        <v>89</v>
      </c>
    </row>
    <row r="1034" spans="1:11" ht="16.5" customHeight="1" x14ac:dyDescent="0.25">
      <c r="A1034" s="57" t="s">
        <v>99</v>
      </c>
      <c r="B1034" s="57" t="s">
        <v>80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206"/>
        <v>AGOSTO 2024</v>
      </c>
      <c r="F1034" s="57" t="str">
        <f t="shared" si="1207"/>
        <v>8 AGOSTO 2024</v>
      </c>
      <c r="G1034" s="59">
        <v>10.5</v>
      </c>
      <c r="H1034" s="1338" t="s">
        <v>69</v>
      </c>
      <c r="I1034" s="960"/>
      <c r="J1034" s="59"/>
      <c r="K1034" s="59" t="s">
        <v>89</v>
      </c>
    </row>
    <row r="1035" spans="1:11" ht="16.5" customHeight="1" x14ac:dyDescent="0.25">
      <c r="A1035" s="57" t="s">
        <v>100</v>
      </c>
      <c r="B1035" s="57" t="s">
        <v>80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206"/>
        <v>AGOSTO 2024</v>
      </c>
      <c r="F1035" s="57" t="str">
        <f t="shared" si="1207"/>
        <v>8 AGOSTO 2024</v>
      </c>
      <c r="G1035" s="59">
        <v>7.5</v>
      </c>
      <c r="H1035" s="1338" t="s">
        <v>69</v>
      </c>
      <c r="I1035" s="960"/>
      <c r="J1035" s="59"/>
      <c r="K1035" s="59" t="s">
        <v>89</v>
      </c>
    </row>
    <row r="1036" spans="1:11" ht="16.5" customHeight="1" x14ac:dyDescent="0.25">
      <c r="A1036" s="57" t="s">
        <v>101</v>
      </c>
      <c r="B1036" s="57" t="s">
        <v>80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206"/>
        <v>AGOSTO 2024</v>
      </c>
      <c r="F1036" s="57" t="str">
        <f t="shared" si="1207"/>
        <v>8 AGOSTO 2024</v>
      </c>
      <c r="G1036" s="59">
        <v>7.4</v>
      </c>
      <c r="H1036" s="1338" t="s">
        <v>69</v>
      </c>
      <c r="I1036" s="960"/>
      <c r="J1036" s="59"/>
      <c r="K1036" s="59" t="s">
        <v>89</v>
      </c>
    </row>
    <row r="1037" spans="1:11" ht="16.5" customHeight="1" x14ac:dyDescent="0.25">
      <c r="A1037" s="57" t="s">
        <v>102</v>
      </c>
      <c r="B1037" s="57" t="s">
        <v>80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206"/>
        <v>AGOSTO 2024</v>
      </c>
      <c r="F1037" s="57" t="str">
        <f t="shared" si="1207"/>
        <v>8 AGOSTO 2024</v>
      </c>
      <c r="G1037" s="59">
        <v>6.5</v>
      </c>
      <c r="H1037" s="1338" t="s">
        <v>69</v>
      </c>
      <c r="I1037" s="960"/>
      <c r="J1037" s="59"/>
      <c r="K1037" s="59" t="s">
        <v>89</v>
      </c>
    </row>
    <row r="1038" spans="1:11" ht="16.5" customHeight="1" x14ac:dyDescent="0.25">
      <c r="A1038" s="57" t="s">
        <v>103</v>
      </c>
      <c r="B1038" s="57" t="s">
        <v>80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206"/>
        <v>AGOSTO 2024</v>
      </c>
      <c r="F1038" s="57" t="str">
        <f t="shared" si="1207"/>
        <v>8 AGOSTO 2024</v>
      </c>
      <c r="G1038" s="59">
        <v>6</v>
      </c>
      <c r="H1038" s="1338" t="s">
        <v>69</v>
      </c>
      <c r="I1038" s="960"/>
      <c r="J1038" s="59"/>
      <c r="K1038" s="59" t="s">
        <v>89</v>
      </c>
    </row>
    <row r="1039" spans="1:11" ht="16.5" customHeight="1" x14ac:dyDescent="0.25">
      <c r="A1039" s="57" t="s">
        <v>104</v>
      </c>
      <c r="B1039" s="57" t="s">
        <v>80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206"/>
        <v>AGOSTO 2024</v>
      </c>
      <c r="F1039" s="57" t="str">
        <f t="shared" si="1207"/>
        <v>8 AGOSTO 2024</v>
      </c>
      <c r="G1039" s="59">
        <v>6</v>
      </c>
      <c r="H1039" s="1338" t="s">
        <v>69</v>
      </c>
      <c r="I1039" s="960"/>
      <c r="J1039" s="59"/>
      <c r="K1039" s="59" t="s">
        <v>89</v>
      </c>
    </row>
    <row r="1040" spans="1:11" ht="16.5" customHeight="1" x14ac:dyDescent="0.25">
      <c r="A1040" s="57" t="s">
        <v>108</v>
      </c>
      <c r="B1040" s="57" t="s">
        <v>80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206"/>
        <v>AGOSTO 2024</v>
      </c>
      <c r="F1040" s="57" t="str">
        <f t="shared" si="1207"/>
        <v>8 AGOSTO 2024</v>
      </c>
      <c r="G1040" s="59">
        <v>9.06</v>
      </c>
      <c r="H1040" s="1338" t="s">
        <v>75</v>
      </c>
      <c r="I1040" s="960" t="s">
        <v>988</v>
      </c>
      <c r="J1040" s="57" t="s">
        <v>108</v>
      </c>
      <c r="K1040" s="59" t="s">
        <v>1039</v>
      </c>
    </row>
    <row r="1041" spans="1:11" ht="18.600000000000001" customHeight="1" x14ac:dyDescent="0.25">
      <c r="A1041" s="57" t="s">
        <v>105</v>
      </c>
      <c r="B1041" s="57" t="s">
        <v>80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si="1206"/>
        <v>AGOSTO 2024</v>
      </c>
      <c r="F1041" s="57" t="str">
        <f t="shared" si="1207"/>
        <v>8 AGOSTO 2024</v>
      </c>
      <c r="G1041" s="59">
        <v>13.7</v>
      </c>
      <c r="H1041" s="1338" t="s">
        <v>69</v>
      </c>
      <c r="I1041" s="960"/>
      <c r="J1041" s="59"/>
      <c r="K1041" s="59" t="s">
        <v>89</v>
      </c>
    </row>
    <row r="1042" spans="1:11" ht="16.5" customHeight="1" x14ac:dyDescent="0.25">
      <c r="A1042" s="57" t="s">
        <v>106</v>
      </c>
      <c r="B1042" s="57" t="s">
        <v>80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206"/>
        <v>AGOSTO 2024</v>
      </c>
      <c r="F1042" s="57" t="str">
        <f t="shared" si="1207"/>
        <v>8 AGOSTO 2024</v>
      </c>
      <c r="G1042" s="59">
        <v>5.0999999999999996</v>
      </c>
      <c r="H1042" s="1338" t="s">
        <v>69</v>
      </c>
      <c r="I1042" s="960"/>
      <c r="J1042" s="59"/>
      <c r="K1042" s="59" t="s">
        <v>89</v>
      </c>
    </row>
    <row r="1043" spans="1:11" ht="16.5" customHeight="1" x14ac:dyDescent="0.25">
      <c r="A1043" s="57" t="s">
        <v>107</v>
      </c>
      <c r="B1043" s="57" t="s">
        <v>80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206"/>
        <v>AGOSTO 2024</v>
      </c>
      <c r="F1043" s="57" t="str">
        <f t="shared" si="1207"/>
        <v>8 AGOSTO 2024</v>
      </c>
      <c r="G1043" s="59">
        <v>6.9</v>
      </c>
      <c r="H1043" s="1338" t="s">
        <v>69</v>
      </c>
      <c r="I1043" s="960"/>
      <c r="J1043" s="59"/>
      <c r="K1043" s="59" t="s">
        <v>89</v>
      </c>
    </row>
    <row r="1044" spans="1:11" ht="16.5" customHeight="1" x14ac:dyDescent="0.25">
      <c r="A1044" s="57" t="s">
        <v>79</v>
      </c>
      <c r="B1044" s="57" t="s">
        <v>80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206"/>
        <v>AGOSTO 2024</v>
      </c>
      <c r="F1044" s="57" t="str">
        <f t="shared" si="1207"/>
        <v>8 AGOSTO 2024</v>
      </c>
      <c r="G1044" s="59">
        <v>14.89</v>
      </c>
      <c r="H1044" s="1338" t="s">
        <v>81</v>
      </c>
      <c r="I1044" s="960"/>
      <c r="J1044" s="59"/>
      <c r="K1044" s="59"/>
    </row>
    <row r="1045" spans="1:11" ht="16.5" customHeight="1" x14ac:dyDescent="0.25">
      <c r="A1045" s="57" t="s">
        <v>108</v>
      </c>
      <c r="B1045" s="57" t="s">
        <v>80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206"/>
        <v>AGOSTO 2024</v>
      </c>
      <c r="F1045" s="57" t="str">
        <f t="shared" si="1207"/>
        <v>8 AGOSTO 2024</v>
      </c>
      <c r="G1045" s="59">
        <v>19.899999999999999</v>
      </c>
      <c r="H1045" s="1338" t="s">
        <v>75</v>
      </c>
      <c r="I1045" s="960"/>
      <c r="J1045" s="57" t="s">
        <v>108</v>
      </c>
      <c r="K1045" s="59"/>
    </row>
    <row r="1046" spans="1:11" ht="16.5" customHeight="1" x14ac:dyDescent="0.25">
      <c r="A1046" s="57" t="s">
        <v>109</v>
      </c>
      <c r="B1046" s="57" t="s">
        <v>80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206"/>
        <v>AGOSTO 2024</v>
      </c>
      <c r="F1046" s="57" t="str">
        <f t="shared" si="1207"/>
        <v>8 AGOSTO 2024</v>
      </c>
      <c r="G1046" s="59">
        <v>29</v>
      </c>
      <c r="H1046" s="1338" t="s">
        <v>69</v>
      </c>
      <c r="I1046" s="960"/>
      <c r="J1046" s="59"/>
      <c r="K1046" s="59"/>
    </row>
    <row r="1047" spans="1:11" ht="16.5" customHeight="1" x14ac:dyDescent="0.25">
      <c r="A1047" s="57" t="s">
        <v>110</v>
      </c>
      <c r="B1047" s="57" t="s">
        <v>80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206"/>
        <v>AGOSTO 2024</v>
      </c>
      <c r="F1047" s="57" t="str">
        <f t="shared" si="1207"/>
        <v>8 AGOSTO 2024</v>
      </c>
      <c r="G1047" s="59">
        <v>149.56</v>
      </c>
      <c r="H1047" s="1338" t="s">
        <v>772</v>
      </c>
      <c r="I1047" s="960"/>
      <c r="J1047" s="59"/>
      <c r="K1047" s="59" t="s">
        <v>112</v>
      </c>
    </row>
    <row r="1048" spans="1:11" ht="16.5" customHeight="1" x14ac:dyDescent="0.25">
      <c r="A1048" s="57" t="s">
        <v>108</v>
      </c>
      <c r="B1048" s="57" t="s">
        <v>80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206"/>
        <v>AGOSTO 2024</v>
      </c>
      <c r="F1048" s="57" t="str">
        <f t="shared" si="1207"/>
        <v>8 AGOSTO 2024</v>
      </c>
      <c r="G1048" s="59">
        <v>30.9</v>
      </c>
      <c r="H1048" s="1338" t="s">
        <v>75</v>
      </c>
      <c r="I1048" s="960"/>
      <c r="J1048" s="57" t="s">
        <v>108</v>
      </c>
      <c r="K1048" s="59"/>
    </row>
    <row r="1049" spans="1:11" ht="16.5" customHeight="1" x14ac:dyDescent="0.25">
      <c r="A1049" s="57" t="s">
        <v>110</v>
      </c>
      <c r="B1049" s="57" t="s">
        <v>80</v>
      </c>
      <c r="C1049" s="57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206"/>
        <v>AGOSTO 2024</v>
      </c>
      <c r="F1049" s="57" t="str">
        <f t="shared" si="1207"/>
        <v>8 AGOSTO 2024</v>
      </c>
      <c r="G1049" s="59">
        <v>307.2</v>
      </c>
      <c r="H1049" s="1338" t="s">
        <v>772</v>
      </c>
      <c r="I1049" s="960"/>
      <c r="J1049" s="59"/>
      <c r="K1049" s="59" t="s">
        <v>112</v>
      </c>
    </row>
    <row r="1050" spans="1:11" ht="16.5" customHeight="1" x14ac:dyDescent="0.25">
      <c r="A1050" s="57" t="s">
        <v>110</v>
      </c>
      <c r="B1050" s="57" t="s">
        <v>80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ref="E1050:E1113" si="1208">CONCATENATE(,B1050," ",C1050)</f>
        <v>AGOSTO 2024</v>
      </c>
      <c r="F1050" s="57" t="str">
        <f t="shared" ref="F1050:F1113" si="1209">CONCATENATE(D1050," ",E1050)</f>
        <v>8 AGOSTO 2024</v>
      </c>
      <c r="G1050" s="59">
        <v>270</v>
      </c>
      <c r="H1050" s="1338" t="s">
        <v>772</v>
      </c>
      <c r="I1050" s="960"/>
      <c r="J1050" s="59"/>
      <c r="K1050" s="59" t="s">
        <v>112</v>
      </c>
    </row>
    <row r="1051" spans="1:11" x14ac:dyDescent="0.25">
      <c r="A1051" s="57" t="s">
        <v>108</v>
      </c>
      <c r="B1051" s="57" t="s">
        <v>80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208"/>
        <v>AGOSTO 2024</v>
      </c>
      <c r="F1051" s="57" t="str">
        <f t="shared" si="1209"/>
        <v>8 AGOSTO 2024</v>
      </c>
      <c r="G1051" s="59">
        <v>11.95</v>
      </c>
      <c r="H1051" s="1338" t="s">
        <v>75</v>
      </c>
      <c r="I1051" s="960"/>
      <c r="J1051" s="57" t="s">
        <v>108</v>
      </c>
      <c r="K1051" s="59"/>
    </row>
    <row r="1052" spans="1:11" ht="16.5" customHeight="1" x14ac:dyDescent="0.25">
      <c r="A1052" s="57" t="s">
        <v>108</v>
      </c>
      <c r="B1052" s="57" t="s">
        <v>80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208"/>
        <v>AGOSTO 2024</v>
      </c>
      <c r="F1052" s="57" t="str">
        <f t="shared" si="1209"/>
        <v>8 AGOSTO 2024</v>
      </c>
      <c r="G1052" s="59">
        <v>21.66</v>
      </c>
      <c r="H1052" s="1338" t="s">
        <v>75</v>
      </c>
      <c r="I1052" s="960"/>
      <c r="J1052" s="57" t="s">
        <v>108</v>
      </c>
      <c r="K1052" s="59"/>
    </row>
    <row r="1053" spans="1:11" ht="16.5" customHeight="1" x14ac:dyDescent="0.25">
      <c r="A1053" s="57" t="s">
        <v>110</v>
      </c>
      <c r="B1053" s="57" t="s">
        <v>80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208"/>
        <v>AGOSTO 2024</v>
      </c>
      <c r="F1053" s="57" t="str">
        <f t="shared" si="1209"/>
        <v>8 AGOSTO 2024</v>
      </c>
      <c r="G1053" s="59">
        <v>318</v>
      </c>
      <c r="H1053" s="1338" t="s">
        <v>772</v>
      </c>
      <c r="I1053" s="960"/>
      <c r="J1053" s="59"/>
      <c r="K1053" s="59" t="s">
        <v>112</v>
      </c>
    </row>
    <row r="1054" spans="1:11" ht="16.5" customHeight="1" x14ac:dyDescent="0.25">
      <c r="A1054" s="57" t="s">
        <v>113</v>
      </c>
      <c r="B1054" s="57" t="s">
        <v>80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208"/>
        <v>AGOSTO 2024</v>
      </c>
      <c r="F1054" s="57" t="str">
        <f t="shared" si="1209"/>
        <v>8 AGOSTO 2024</v>
      </c>
      <c r="G1054" s="59">
        <v>33</v>
      </c>
      <c r="H1054" s="1338" t="s">
        <v>114</v>
      </c>
      <c r="I1054" s="960"/>
      <c r="J1054" s="59"/>
      <c r="K1054" s="59"/>
    </row>
    <row r="1055" spans="1:11" ht="16.5" customHeight="1" x14ac:dyDescent="0.25">
      <c r="A1055" s="57" t="s">
        <v>115</v>
      </c>
      <c r="B1055" s="57" t="s">
        <v>80</v>
      </c>
      <c r="C1055" s="57">
        <v>2024</v>
      </c>
      <c r="D1055" s="58">
        <f>MATCH(B1055,{"GENNAIO","FEBBRAIO","MARZO","APRILE","MAGGIO","GIUGNO","LUGLIO","AGOSTO","SETTEMBRE","OTTOBRE","NOVEMBRE","DICEMBRE"},0)</f>
        <v>8</v>
      </c>
      <c r="E1055" s="57" t="str">
        <f t="shared" si="1208"/>
        <v>AGOSTO 2024</v>
      </c>
      <c r="F1055" s="57" t="str">
        <f t="shared" si="1209"/>
        <v>8 AGOSTO 2024</v>
      </c>
      <c r="G1055" s="59">
        <v>0.52</v>
      </c>
      <c r="H1055" s="1338" t="s">
        <v>69</v>
      </c>
      <c r="I1055" s="960"/>
      <c r="J1055" s="59"/>
      <c r="K1055" s="59"/>
    </row>
    <row r="1056" spans="1:11" ht="16.5" customHeight="1" x14ac:dyDescent="0.25">
      <c r="A1056" s="57" t="s">
        <v>116</v>
      </c>
      <c r="B1056" s="57" t="s">
        <v>80</v>
      </c>
      <c r="C1056" s="57">
        <v>2024</v>
      </c>
      <c r="D1056" s="58">
        <f>MATCH(B1056,{"GENNAIO","FEBBRAIO","MARZO","APRILE","MAGGIO","GIUGNO","LUGLIO","AGOSTO","SETTEMBRE","OTTOBRE","NOVEMBRE","DICEMBRE"},0)</f>
        <v>8</v>
      </c>
      <c r="E1056" s="57" t="str">
        <f t="shared" si="1208"/>
        <v>AGOSTO 2024</v>
      </c>
      <c r="F1056" s="57" t="str">
        <f t="shared" si="1209"/>
        <v>8 AGOSTO 2024</v>
      </c>
      <c r="G1056" s="59">
        <v>5.33</v>
      </c>
      <c r="H1056" s="1338" t="s">
        <v>69</v>
      </c>
      <c r="I1056" s="960"/>
      <c r="J1056" s="59"/>
      <c r="K1056" s="59"/>
    </row>
    <row r="1057" spans="1:11" ht="16.5" customHeight="1" x14ac:dyDescent="0.25">
      <c r="A1057" s="57" t="s">
        <v>115</v>
      </c>
      <c r="B1057" s="57" t="s">
        <v>80</v>
      </c>
      <c r="C1057" s="57">
        <v>2024</v>
      </c>
      <c r="D1057" s="58">
        <f>MATCH(B1057,{"GENNAIO","FEBBRAIO","MARZO","APRILE","MAGGIO","GIUGNO","LUGLIO","AGOSTO","SETTEMBRE","OTTOBRE","NOVEMBRE","DICEMBRE"},0)</f>
        <v>8</v>
      </c>
      <c r="E1057" s="57" t="str">
        <f t="shared" si="1208"/>
        <v>AGOSTO 2024</v>
      </c>
      <c r="F1057" s="57" t="str">
        <f t="shared" si="1209"/>
        <v>8 AGOSTO 2024</v>
      </c>
      <c r="G1057" s="59">
        <v>3.95</v>
      </c>
      <c r="H1057" s="1338" t="s">
        <v>69</v>
      </c>
      <c r="I1057" s="960"/>
      <c r="J1057" s="59"/>
      <c r="K1057" s="59"/>
    </row>
    <row r="1058" spans="1:11" ht="18.600000000000001" customHeight="1" x14ac:dyDescent="0.25">
      <c r="A1058" s="57" t="s">
        <v>117</v>
      </c>
      <c r="B1058" s="61" t="s">
        <v>80</v>
      </c>
      <c r="C1058" s="61">
        <v>2024</v>
      </c>
      <c r="D1058" s="58">
        <f>MATCH(B1058,{"GENNAIO","FEBBRAIO","MARZO","APRILE","MAGGIO","GIUGNO","LUGLIO","AGOSTO","SETTEMBRE","OTTOBRE","NOVEMBRE","DICEMBRE"},0)</f>
        <v>8</v>
      </c>
      <c r="E1058" s="57" t="str">
        <f t="shared" si="1208"/>
        <v>AGOSTO 2024</v>
      </c>
      <c r="F1058" s="57" t="str">
        <f t="shared" si="1209"/>
        <v>8 AGOSTO 2024</v>
      </c>
      <c r="G1058" s="60">
        <v>12.85</v>
      </c>
      <c r="H1058" s="1338" t="s">
        <v>85</v>
      </c>
      <c r="I1058" s="960"/>
      <c r="J1058" s="59"/>
      <c r="K1058" s="59"/>
    </row>
    <row r="1059" spans="1:11" ht="16.5" customHeight="1" x14ac:dyDescent="0.25">
      <c r="A1059" s="57" t="s">
        <v>118</v>
      </c>
      <c r="B1059" s="57" t="s">
        <v>80</v>
      </c>
      <c r="C1059" s="57">
        <v>2024</v>
      </c>
      <c r="D1059" s="58">
        <f>MATCH(B1059,{"GENNAIO","FEBBRAIO","MARZO","APRILE","MAGGIO","GIUGNO","LUGLIO","AGOSTO","SETTEMBRE","OTTOBRE","NOVEMBRE","DICEMBRE"},0)</f>
        <v>8</v>
      </c>
      <c r="E1059" s="57" t="str">
        <f t="shared" si="1208"/>
        <v>AGOSTO 2024</v>
      </c>
      <c r="F1059" s="57" t="str">
        <f t="shared" si="1209"/>
        <v>8 AGOSTO 2024</v>
      </c>
      <c r="G1059" s="59">
        <v>27.5</v>
      </c>
      <c r="H1059" s="1338" t="s">
        <v>69</v>
      </c>
      <c r="I1059" s="960"/>
      <c r="J1059" s="59"/>
      <c r="K1059" s="59"/>
    </row>
    <row r="1060" spans="1:11" ht="16.5" customHeight="1" x14ac:dyDescent="0.25">
      <c r="A1060" s="57" t="s">
        <v>118</v>
      </c>
      <c r="B1060" s="57" t="s">
        <v>80</v>
      </c>
      <c r="C1060" s="57">
        <v>2024</v>
      </c>
      <c r="D1060" s="58">
        <f>MATCH(B1060,{"GENNAIO","FEBBRAIO","MARZO","APRILE","MAGGIO","GIUGNO","LUGLIO","AGOSTO","SETTEMBRE","OTTOBRE","NOVEMBRE","DICEMBRE"},0)</f>
        <v>8</v>
      </c>
      <c r="E1060" s="57" t="str">
        <f t="shared" si="1208"/>
        <v>AGOSTO 2024</v>
      </c>
      <c r="F1060" s="57" t="str">
        <f t="shared" si="1209"/>
        <v>8 AGOSTO 2024</v>
      </c>
      <c r="G1060" s="59">
        <v>16.5</v>
      </c>
      <c r="H1060" s="1338" t="s">
        <v>69</v>
      </c>
      <c r="I1060" s="960"/>
      <c r="J1060" s="59"/>
      <c r="K1060" s="59"/>
    </row>
    <row r="1061" spans="1:11" ht="18.600000000000001" customHeight="1" x14ac:dyDescent="0.25">
      <c r="A1061" s="57" t="s">
        <v>76</v>
      </c>
      <c r="B1061" s="57" t="s">
        <v>80</v>
      </c>
      <c r="C1061" s="57">
        <v>2024</v>
      </c>
      <c r="D1061" s="58">
        <f>MATCH(B1061,{"GENNAIO","FEBBRAIO","MARZO","APRILE","MAGGIO","GIUGNO","LUGLIO","AGOSTO","SETTEMBRE","OTTOBRE","NOVEMBRE","DICEMBRE"},0)</f>
        <v>8</v>
      </c>
      <c r="E1061" s="57" t="str">
        <f t="shared" si="1208"/>
        <v>AGOSTO 2024</v>
      </c>
      <c r="F1061" s="57" t="str">
        <f t="shared" si="1209"/>
        <v>8 AGOSTO 2024</v>
      </c>
      <c r="G1061" s="59">
        <v>20.16</v>
      </c>
      <c r="H1061" s="1338" t="s">
        <v>77</v>
      </c>
      <c r="I1061" s="960"/>
      <c r="J1061" s="59"/>
      <c r="K1061" s="59"/>
    </row>
    <row r="1062" spans="1:11" ht="18.600000000000001" customHeight="1" x14ac:dyDescent="0.25">
      <c r="A1062" s="57" t="s">
        <v>108</v>
      </c>
      <c r="B1062" s="57" t="s">
        <v>80</v>
      </c>
      <c r="C1062" s="57">
        <v>2024</v>
      </c>
      <c r="D1062" s="58">
        <f>MATCH(B1062,{"GENNAIO","FEBBRAIO","MARZO","APRILE","MAGGIO","GIUGNO","LUGLIO","AGOSTO","SETTEMBRE","OTTOBRE","NOVEMBRE","DICEMBRE"},0)</f>
        <v>8</v>
      </c>
      <c r="E1062" s="57" t="str">
        <f t="shared" si="1208"/>
        <v>AGOSTO 2024</v>
      </c>
      <c r="F1062" s="57" t="str">
        <f t="shared" si="1209"/>
        <v>8 AGOSTO 2024</v>
      </c>
      <c r="G1062" s="59">
        <v>14.82</v>
      </c>
      <c r="H1062" s="1338" t="s">
        <v>75</v>
      </c>
      <c r="I1062" s="960" t="s">
        <v>988</v>
      </c>
      <c r="J1062" s="57" t="s">
        <v>108</v>
      </c>
      <c r="K1062" s="59" t="s">
        <v>1036</v>
      </c>
    </row>
    <row r="1063" spans="1:11" ht="16.5" customHeight="1" x14ac:dyDescent="0.25">
      <c r="A1063" s="57" t="s">
        <v>108</v>
      </c>
      <c r="B1063" s="57" t="s">
        <v>80</v>
      </c>
      <c r="C1063" s="57">
        <v>2024</v>
      </c>
      <c r="D1063" s="58">
        <f>MATCH(B1063,{"GENNAIO","FEBBRAIO","MARZO","APRILE","MAGGIO","GIUGNO","LUGLIO","AGOSTO","SETTEMBRE","OTTOBRE","NOVEMBRE","DICEMBRE"},0)</f>
        <v>8</v>
      </c>
      <c r="E1063" s="57" t="str">
        <f t="shared" si="1208"/>
        <v>AGOSTO 2024</v>
      </c>
      <c r="F1063" s="57" t="str">
        <f t="shared" si="1209"/>
        <v>8 AGOSTO 2024</v>
      </c>
      <c r="G1063" s="59">
        <v>14</v>
      </c>
      <c r="H1063" s="1338" t="s">
        <v>75</v>
      </c>
      <c r="I1063" s="960" t="s">
        <v>1046</v>
      </c>
      <c r="J1063" s="57" t="s">
        <v>108</v>
      </c>
      <c r="K1063" s="59" t="s">
        <v>1033</v>
      </c>
    </row>
    <row r="1064" spans="1:11" ht="18.600000000000001" customHeight="1" x14ac:dyDescent="0.25">
      <c r="A1064" s="57" t="s">
        <v>79</v>
      </c>
      <c r="B1064" s="57" t="s">
        <v>119</v>
      </c>
      <c r="C1064" s="57">
        <v>2024</v>
      </c>
      <c r="D1064" s="58">
        <f>MATCH(B1064,{"GENNAIO","FEBBRAIO","MARZO","APRILE","MAGGIO","GIUGNO","LUGLIO","AGOSTO","SETTEMBRE","OTTOBRE","NOVEMBRE","DICEMBRE"},0)</f>
        <v>7</v>
      </c>
      <c r="E1064" s="57" t="str">
        <f t="shared" si="1208"/>
        <v>LUGLIO 2024</v>
      </c>
      <c r="F1064" s="57" t="str">
        <f t="shared" si="1209"/>
        <v>7 LUGLIO 2024</v>
      </c>
      <c r="G1064" s="59">
        <v>14.27</v>
      </c>
      <c r="H1064" s="1338" t="s">
        <v>81</v>
      </c>
      <c r="I1064" s="960"/>
      <c r="J1064" s="59"/>
      <c r="K1064" s="59"/>
    </row>
    <row r="1065" spans="1:11" ht="18.600000000000001" customHeight="1" x14ac:dyDescent="0.25">
      <c r="A1065" s="57" t="s">
        <v>120</v>
      </c>
      <c r="B1065" s="57" t="s">
        <v>119</v>
      </c>
      <c r="C1065" s="57">
        <v>2024</v>
      </c>
      <c r="D1065" s="58">
        <f>MATCH(B1065,{"GENNAIO","FEBBRAIO","MARZO","APRILE","MAGGIO","GIUGNO","LUGLIO","AGOSTO","SETTEMBRE","OTTOBRE","NOVEMBRE","DICEMBRE"},0)</f>
        <v>7</v>
      </c>
      <c r="E1065" s="57" t="str">
        <f t="shared" si="1208"/>
        <v>LUGLIO 2024</v>
      </c>
      <c r="F1065" s="57" t="str">
        <f t="shared" si="1209"/>
        <v>7 LUGLIO 2024</v>
      </c>
      <c r="G1065" s="59">
        <v>55.99</v>
      </c>
      <c r="H1065" s="1338" t="s">
        <v>77</v>
      </c>
      <c r="I1065" s="960"/>
      <c r="J1065" s="59"/>
      <c r="K1065" s="59"/>
    </row>
    <row r="1066" spans="1:11" ht="16.5" customHeight="1" x14ac:dyDescent="0.25">
      <c r="A1066" s="57" t="s">
        <v>121</v>
      </c>
      <c r="B1066" s="57" t="s">
        <v>119</v>
      </c>
      <c r="C1066" s="57">
        <v>2024</v>
      </c>
      <c r="D1066" s="58">
        <f>MATCH(B1066,{"GENNAIO","FEBBRAIO","MARZO","APRILE","MAGGIO","GIUGNO","LUGLIO","AGOSTO","SETTEMBRE","OTTOBRE","NOVEMBRE","DICEMBRE"},0)</f>
        <v>7</v>
      </c>
      <c r="E1066" s="57" t="str">
        <f t="shared" si="1208"/>
        <v>LUGLIO 2024</v>
      </c>
      <c r="F1066" s="57" t="str">
        <f t="shared" si="1209"/>
        <v>7 LUGLIO 2024</v>
      </c>
      <c r="G1066" s="59">
        <v>0.7</v>
      </c>
      <c r="H1066" s="1338" t="s">
        <v>777</v>
      </c>
      <c r="I1066" s="960"/>
      <c r="J1066" s="59"/>
      <c r="K1066" s="59"/>
    </row>
    <row r="1067" spans="1:11" ht="16.5" customHeight="1" x14ac:dyDescent="0.25">
      <c r="A1067" s="57" t="s">
        <v>78</v>
      </c>
      <c r="B1067" s="57" t="s">
        <v>119</v>
      </c>
      <c r="C1067" s="57">
        <v>2024</v>
      </c>
      <c r="D1067" s="58">
        <f>MATCH(B1067,{"GENNAIO","FEBBRAIO","MARZO","APRILE","MAGGIO","GIUGNO","LUGLIO","AGOSTO","SETTEMBRE","OTTOBRE","NOVEMBRE","DICEMBRE"},0)</f>
        <v>7</v>
      </c>
      <c r="E1067" s="57" t="str">
        <f t="shared" si="1208"/>
        <v>LUGLIO 2024</v>
      </c>
      <c r="F1067" s="57" t="str">
        <f t="shared" si="1209"/>
        <v>7 LUGLIO 2024</v>
      </c>
      <c r="G1067" s="59">
        <v>7.49</v>
      </c>
      <c r="H1067" s="1338" t="s">
        <v>77</v>
      </c>
      <c r="I1067" s="960"/>
      <c r="J1067" s="59"/>
      <c r="K1067" s="59"/>
    </row>
    <row r="1068" spans="1:11" ht="16.5" customHeight="1" x14ac:dyDescent="0.25">
      <c r="A1068" s="57" t="s">
        <v>122</v>
      </c>
      <c r="B1068" s="57" t="s">
        <v>119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208"/>
        <v>LUGLIO 2024</v>
      </c>
      <c r="F1068" s="57" t="str">
        <f t="shared" si="1209"/>
        <v>7 LUGLIO 2024</v>
      </c>
      <c r="G1068" s="59">
        <v>5.88</v>
      </c>
      <c r="H1068" s="1338" t="s">
        <v>77</v>
      </c>
      <c r="I1068" s="960"/>
      <c r="J1068" s="59"/>
      <c r="K1068" s="59"/>
    </row>
    <row r="1069" spans="1:11" ht="16.5" customHeight="1" x14ac:dyDescent="0.25">
      <c r="A1069" s="57" t="s">
        <v>108</v>
      </c>
      <c r="B1069" s="57" t="s">
        <v>119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208"/>
        <v>LUGLIO 2024</v>
      </c>
      <c r="F1069" s="57" t="str">
        <f t="shared" si="1209"/>
        <v>7 LUGLIO 2024</v>
      </c>
      <c r="G1069" s="59">
        <v>14</v>
      </c>
      <c r="H1069" s="1338" t="s">
        <v>75</v>
      </c>
      <c r="I1069" s="960" t="s">
        <v>1027</v>
      </c>
      <c r="J1069" s="57" t="s">
        <v>108</v>
      </c>
      <c r="K1069" s="59" t="s">
        <v>1033</v>
      </c>
    </row>
    <row r="1070" spans="1:11" ht="16.5" customHeight="1" x14ac:dyDescent="0.25">
      <c r="A1070" s="57" t="s">
        <v>121</v>
      </c>
      <c r="B1070" s="57" t="s">
        <v>119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208"/>
        <v>LUGLIO 2024</v>
      </c>
      <c r="F1070" s="57" t="str">
        <f t="shared" si="1209"/>
        <v>7 LUGLIO 2024</v>
      </c>
      <c r="G1070" s="59">
        <v>0.7</v>
      </c>
      <c r="H1070" s="1338" t="s">
        <v>777</v>
      </c>
      <c r="I1070" s="960"/>
      <c r="J1070" s="59"/>
      <c r="K1070" s="59"/>
    </row>
    <row r="1071" spans="1:11" ht="16.5" customHeight="1" x14ac:dyDescent="0.25">
      <c r="A1071" s="57" t="s">
        <v>121</v>
      </c>
      <c r="B1071" s="57" t="s">
        <v>119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208"/>
        <v>LUGLIO 2024</v>
      </c>
      <c r="F1071" s="57" t="str">
        <f t="shared" si="1209"/>
        <v>7 LUGLIO 2024</v>
      </c>
      <c r="G1071" s="59">
        <v>0.4</v>
      </c>
      <c r="H1071" s="1338" t="s">
        <v>777</v>
      </c>
      <c r="I1071" s="960"/>
      <c r="J1071" s="59"/>
      <c r="K1071" s="59"/>
    </row>
    <row r="1072" spans="1:11" x14ac:dyDescent="0.25">
      <c r="A1072" s="57" t="s">
        <v>121</v>
      </c>
      <c r="B1072" s="57" t="s">
        <v>119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208"/>
        <v>LUGLIO 2024</v>
      </c>
      <c r="F1072" s="57" t="str">
        <f t="shared" si="1209"/>
        <v>7 LUGLIO 2024</v>
      </c>
      <c r="G1072" s="59">
        <v>0.4</v>
      </c>
      <c r="H1072" s="1338" t="s">
        <v>777</v>
      </c>
      <c r="I1072" s="960"/>
      <c r="J1072" s="59"/>
      <c r="K1072" s="59"/>
    </row>
    <row r="1073" spans="1:11" ht="16.5" customHeight="1" x14ac:dyDescent="0.25">
      <c r="A1073" s="57" t="s">
        <v>121</v>
      </c>
      <c r="B1073" s="57" t="s">
        <v>119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208"/>
        <v>LUGLIO 2024</v>
      </c>
      <c r="F1073" s="57" t="str">
        <f t="shared" si="1209"/>
        <v>7 LUGLIO 2024</v>
      </c>
      <c r="G1073" s="59">
        <v>0.4</v>
      </c>
      <c r="H1073" s="1338" t="s">
        <v>777</v>
      </c>
      <c r="I1073" s="960"/>
      <c r="J1073" s="59"/>
      <c r="K1073" s="59"/>
    </row>
    <row r="1074" spans="1:11" ht="16.5" customHeight="1" x14ac:dyDescent="0.25">
      <c r="A1074" s="57" t="s">
        <v>121</v>
      </c>
      <c r="B1074" s="57" t="s">
        <v>119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208"/>
        <v>LUGLIO 2024</v>
      </c>
      <c r="F1074" s="57" t="str">
        <f t="shared" si="1209"/>
        <v>7 LUGLIO 2024</v>
      </c>
      <c r="G1074" s="59">
        <v>0.4</v>
      </c>
      <c r="H1074" s="1338" t="s">
        <v>777</v>
      </c>
      <c r="I1074" s="960"/>
      <c r="J1074" s="59"/>
      <c r="K1074" s="59"/>
    </row>
    <row r="1075" spans="1:11" ht="16.5" customHeight="1" x14ac:dyDescent="0.25">
      <c r="A1075" s="57" t="s">
        <v>67</v>
      </c>
      <c r="B1075" s="57" t="s">
        <v>119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208"/>
        <v>LUGLIO 2024</v>
      </c>
      <c r="F1075" s="57" t="str">
        <f t="shared" si="1209"/>
        <v>7 LUGLIO 2024</v>
      </c>
      <c r="G1075" s="59">
        <v>5</v>
      </c>
      <c r="H1075" s="1338" t="s">
        <v>776</v>
      </c>
      <c r="I1075" s="960"/>
      <c r="J1075" s="59"/>
      <c r="K1075" s="59"/>
    </row>
    <row r="1076" spans="1:11" x14ac:dyDescent="0.25">
      <c r="A1076" s="57" t="s">
        <v>121</v>
      </c>
      <c r="B1076" s="57" t="s">
        <v>119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208"/>
        <v>LUGLIO 2024</v>
      </c>
      <c r="F1076" s="57" t="str">
        <f t="shared" si="1209"/>
        <v>7 LUGLIO 2024</v>
      </c>
      <c r="G1076" s="59">
        <v>0.4</v>
      </c>
      <c r="H1076" s="1338" t="s">
        <v>777</v>
      </c>
      <c r="I1076" s="960"/>
      <c r="J1076" s="59"/>
      <c r="K1076" s="59"/>
    </row>
    <row r="1077" spans="1:11" ht="18.600000000000001" customHeight="1" x14ac:dyDescent="0.25">
      <c r="A1077" s="57" t="s">
        <v>121</v>
      </c>
      <c r="B1077" s="57" t="s">
        <v>119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208"/>
        <v>LUGLIO 2024</v>
      </c>
      <c r="F1077" s="57" t="str">
        <f t="shared" si="1209"/>
        <v>7 LUGLIO 2024</v>
      </c>
      <c r="G1077" s="59">
        <v>0.4</v>
      </c>
      <c r="H1077" s="1338" t="s">
        <v>777</v>
      </c>
      <c r="I1077" s="960"/>
      <c r="J1077" s="59"/>
      <c r="K1077" s="59"/>
    </row>
    <row r="1078" spans="1:11" ht="16.5" customHeight="1" x14ac:dyDescent="0.25">
      <c r="A1078" s="57" t="s">
        <v>121</v>
      </c>
      <c r="B1078" s="57" t="s">
        <v>119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208"/>
        <v>LUGLIO 2024</v>
      </c>
      <c r="F1078" s="57" t="str">
        <f t="shared" si="1209"/>
        <v>7 LUGLIO 2024</v>
      </c>
      <c r="G1078" s="59">
        <v>0.4</v>
      </c>
      <c r="H1078" s="1338" t="s">
        <v>777</v>
      </c>
      <c r="I1078" s="960"/>
      <c r="J1078" s="59"/>
      <c r="K1078" s="59"/>
    </row>
    <row r="1079" spans="1:11" ht="18.600000000000001" customHeight="1" x14ac:dyDescent="0.25">
      <c r="A1079" s="57" t="s">
        <v>67</v>
      </c>
      <c r="B1079" s="57" t="s">
        <v>119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208"/>
        <v>LUGLIO 2024</v>
      </c>
      <c r="F1079" s="57" t="str">
        <f t="shared" si="1209"/>
        <v>7 LUGLIO 2024</v>
      </c>
      <c r="G1079" s="59">
        <v>5</v>
      </c>
      <c r="H1079" s="1338" t="s">
        <v>776</v>
      </c>
      <c r="I1079" s="960"/>
      <c r="J1079" s="59"/>
      <c r="K1079" s="59"/>
    </row>
    <row r="1080" spans="1:11" ht="16.5" customHeight="1" x14ac:dyDescent="0.25">
      <c r="A1080" s="57" t="s">
        <v>123</v>
      </c>
      <c r="B1080" s="57" t="s">
        <v>119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208"/>
        <v>LUGLIO 2024</v>
      </c>
      <c r="F1080" s="57" t="str">
        <f t="shared" si="1209"/>
        <v>7 LUGLIO 2024</v>
      </c>
      <c r="G1080" s="59">
        <v>28.7</v>
      </c>
      <c r="H1080" s="1338" t="s">
        <v>69</v>
      </c>
      <c r="I1080" s="960"/>
      <c r="J1080" s="59"/>
      <c r="K1080" s="59"/>
    </row>
    <row r="1081" spans="1:11" ht="18.600000000000001" customHeight="1" x14ac:dyDescent="0.25">
      <c r="A1081" s="57" t="s">
        <v>108</v>
      </c>
      <c r="B1081" s="57" t="s">
        <v>119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208"/>
        <v>LUGLIO 2024</v>
      </c>
      <c r="F1081" s="57" t="str">
        <f t="shared" si="1209"/>
        <v>7 LUGLIO 2024</v>
      </c>
      <c r="G1081" s="59">
        <v>14.82</v>
      </c>
      <c r="H1081" s="1338" t="s">
        <v>75</v>
      </c>
      <c r="I1081" s="960" t="s">
        <v>993</v>
      </c>
      <c r="J1081" s="57" t="s">
        <v>108</v>
      </c>
      <c r="K1081" s="59" t="s">
        <v>1036</v>
      </c>
    </row>
    <row r="1082" spans="1:11" ht="14.25" customHeight="1" x14ac:dyDescent="0.25">
      <c r="A1082" s="57" t="s">
        <v>83</v>
      </c>
      <c r="B1082" s="57" t="s">
        <v>119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208"/>
        <v>LUGLIO 2024</v>
      </c>
      <c r="F1082" s="57" t="str">
        <f t="shared" si="1209"/>
        <v>7 LUGLIO 2024</v>
      </c>
      <c r="G1082" s="59">
        <v>14.65</v>
      </c>
      <c r="H1082" s="1338" t="s">
        <v>77</v>
      </c>
      <c r="I1082" s="960"/>
      <c r="J1082" s="59"/>
      <c r="K1082" s="59"/>
    </row>
    <row r="1083" spans="1:11" ht="16.5" customHeight="1" x14ac:dyDescent="0.25">
      <c r="A1083" s="57" t="s">
        <v>124</v>
      </c>
      <c r="B1083" s="57" t="s">
        <v>119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208"/>
        <v>LUGLIO 2024</v>
      </c>
      <c r="F1083" s="57" t="str">
        <f t="shared" si="1209"/>
        <v>7 LUGLIO 2024</v>
      </c>
      <c r="G1083" s="59">
        <v>12</v>
      </c>
      <c r="H1083" s="1338" t="s">
        <v>69</v>
      </c>
      <c r="I1083" s="960"/>
      <c r="J1083" s="59"/>
      <c r="K1083" s="59"/>
    </row>
    <row r="1084" spans="1:11" ht="14.25" customHeight="1" x14ac:dyDescent="0.25">
      <c r="A1084" s="57" t="s">
        <v>76</v>
      </c>
      <c r="B1084" s="57" t="s">
        <v>119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208"/>
        <v>LUGLIO 2024</v>
      </c>
      <c r="F1084" s="57" t="str">
        <f t="shared" si="1209"/>
        <v>7 LUGLIO 2024</v>
      </c>
      <c r="G1084" s="59">
        <v>13.23</v>
      </c>
      <c r="H1084" s="1338" t="s">
        <v>77</v>
      </c>
      <c r="I1084" s="960"/>
      <c r="J1084" s="59"/>
      <c r="K1084" s="59"/>
    </row>
    <row r="1085" spans="1:11" ht="16.5" customHeight="1" x14ac:dyDescent="0.25">
      <c r="A1085" s="57" t="s">
        <v>73</v>
      </c>
      <c r="B1085" s="57" t="s">
        <v>119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208"/>
        <v>LUGLIO 2024</v>
      </c>
      <c r="F1085" s="57" t="str">
        <f t="shared" si="1209"/>
        <v>7 LUGLIO 2024</v>
      </c>
      <c r="G1085" s="59">
        <v>9</v>
      </c>
      <c r="H1085" s="1338" t="s">
        <v>74</v>
      </c>
      <c r="I1085" s="960"/>
      <c r="J1085" s="59"/>
      <c r="K1085" s="59"/>
    </row>
    <row r="1086" spans="1:11" x14ac:dyDescent="0.25">
      <c r="A1086" s="57" t="s">
        <v>121</v>
      </c>
      <c r="B1086" s="57" t="s">
        <v>119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208"/>
        <v>LUGLIO 2024</v>
      </c>
      <c r="F1086" s="57" t="str">
        <f t="shared" si="1209"/>
        <v>7 LUGLIO 2024</v>
      </c>
      <c r="G1086" s="59">
        <v>0.4</v>
      </c>
      <c r="H1086" s="1338" t="s">
        <v>777</v>
      </c>
      <c r="I1086" s="960"/>
      <c r="J1086" s="59"/>
      <c r="K1086" s="59"/>
    </row>
    <row r="1087" spans="1:11" ht="18.600000000000001" customHeight="1" x14ac:dyDescent="0.25">
      <c r="A1087" s="57" t="s">
        <v>125</v>
      </c>
      <c r="B1087" s="57" t="s">
        <v>119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208"/>
        <v>LUGLIO 2024</v>
      </c>
      <c r="F1087" s="57" t="str">
        <f t="shared" si="1209"/>
        <v>7 LUGLIO 2024</v>
      </c>
      <c r="G1087" s="59">
        <v>20</v>
      </c>
      <c r="H1087" s="1338" t="s">
        <v>81</v>
      </c>
      <c r="I1087" s="960"/>
      <c r="J1087" s="59"/>
      <c r="K1087" s="59"/>
    </row>
    <row r="1088" spans="1:11" ht="18.600000000000001" customHeight="1" x14ac:dyDescent="0.25">
      <c r="A1088" s="57" t="s">
        <v>108</v>
      </c>
      <c r="B1088" s="57" t="s">
        <v>119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208"/>
        <v>LUGLIO 2024</v>
      </c>
      <c r="F1088" s="57" t="str">
        <f t="shared" si="1209"/>
        <v>7 LUGLIO 2024</v>
      </c>
      <c r="G1088" s="59">
        <v>9.06</v>
      </c>
      <c r="H1088" s="1338" t="s">
        <v>75</v>
      </c>
      <c r="I1088" s="960"/>
      <c r="J1088" s="57" t="s">
        <v>108</v>
      </c>
      <c r="K1088" s="59"/>
    </row>
    <row r="1089" spans="1:11" ht="16.5" customHeight="1" x14ac:dyDescent="0.25">
      <c r="A1089" s="57" t="s">
        <v>67</v>
      </c>
      <c r="B1089" s="57" t="s">
        <v>119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208"/>
        <v>LUGLIO 2024</v>
      </c>
      <c r="F1089" s="57" t="str">
        <f t="shared" si="1209"/>
        <v>7 LUGLIO 2024</v>
      </c>
      <c r="G1089" s="59">
        <v>5</v>
      </c>
      <c r="H1089" s="1338" t="s">
        <v>776</v>
      </c>
      <c r="I1089" s="960"/>
      <c r="J1089" s="59"/>
      <c r="K1089" s="59"/>
    </row>
    <row r="1090" spans="1:11" x14ac:dyDescent="0.25">
      <c r="A1090" s="57" t="s">
        <v>78</v>
      </c>
      <c r="B1090" s="57" t="s">
        <v>119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208"/>
        <v>LUGLIO 2024</v>
      </c>
      <c r="F1090" s="57" t="str">
        <f t="shared" si="1209"/>
        <v>7 LUGLIO 2024</v>
      </c>
      <c r="G1090" s="59">
        <v>10.86</v>
      </c>
      <c r="H1090" s="1338" t="s">
        <v>77</v>
      </c>
      <c r="I1090" s="960"/>
      <c r="J1090" s="59"/>
      <c r="K1090" s="59"/>
    </row>
    <row r="1091" spans="1:11" ht="16.5" customHeight="1" x14ac:dyDescent="0.25">
      <c r="A1091" s="57" t="s">
        <v>79</v>
      </c>
      <c r="B1091" s="57" t="s">
        <v>119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208"/>
        <v>LUGLIO 2024</v>
      </c>
      <c r="F1091" s="57" t="str">
        <f t="shared" si="1209"/>
        <v>7 LUGLIO 2024</v>
      </c>
      <c r="G1091" s="59">
        <v>9.59</v>
      </c>
      <c r="H1091" s="1338" t="s">
        <v>81</v>
      </c>
      <c r="I1091" s="960"/>
      <c r="J1091" s="59"/>
      <c r="K1091" s="59"/>
    </row>
    <row r="1092" spans="1:11" ht="16.5" customHeight="1" x14ac:dyDescent="0.25">
      <c r="A1092" s="57" t="s">
        <v>121</v>
      </c>
      <c r="B1092" s="57" t="s">
        <v>119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208"/>
        <v>LUGLIO 2024</v>
      </c>
      <c r="F1092" s="57" t="str">
        <f t="shared" si="1209"/>
        <v>7 LUGLIO 2024</v>
      </c>
      <c r="G1092" s="59">
        <v>0.4</v>
      </c>
      <c r="H1092" s="1338" t="s">
        <v>777</v>
      </c>
      <c r="I1092" s="960"/>
      <c r="J1092" s="59"/>
      <c r="K1092" s="59"/>
    </row>
    <row r="1093" spans="1:11" ht="16.5" customHeight="1" x14ac:dyDescent="0.25">
      <c r="A1093" s="57" t="s">
        <v>126</v>
      </c>
      <c r="B1093" s="57" t="s">
        <v>119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208"/>
        <v>LUGLIO 2024</v>
      </c>
      <c r="F1093" s="57" t="str">
        <f t="shared" si="1209"/>
        <v>7 LUGLIO 2024</v>
      </c>
      <c r="G1093" s="59">
        <v>20</v>
      </c>
      <c r="H1093" s="1338" t="s">
        <v>91</v>
      </c>
      <c r="I1093" s="960"/>
      <c r="J1093" s="59"/>
      <c r="K1093" s="59" t="s">
        <v>127</v>
      </c>
    </row>
    <row r="1094" spans="1:11" ht="16.5" customHeight="1" x14ac:dyDescent="0.25">
      <c r="A1094" s="57" t="s">
        <v>128</v>
      </c>
      <c r="B1094" s="57" t="s">
        <v>119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208"/>
        <v>LUGLIO 2024</v>
      </c>
      <c r="F1094" s="57" t="str">
        <f t="shared" si="1209"/>
        <v>7 LUGLIO 2024</v>
      </c>
      <c r="G1094" s="59">
        <v>8</v>
      </c>
      <c r="H1094" s="1338" t="s">
        <v>69</v>
      </c>
      <c r="I1094" s="960"/>
      <c r="J1094" s="59"/>
      <c r="K1094" s="59" t="s">
        <v>127</v>
      </c>
    </row>
    <row r="1095" spans="1:11" ht="16.5" customHeight="1" x14ac:dyDescent="0.25">
      <c r="A1095" s="57" t="s">
        <v>115</v>
      </c>
      <c r="B1095" s="57" t="s">
        <v>119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208"/>
        <v>LUGLIO 2024</v>
      </c>
      <c r="F1095" s="57" t="str">
        <f t="shared" si="1209"/>
        <v>7 LUGLIO 2024</v>
      </c>
      <c r="G1095" s="59">
        <v>2.39</v>
      </c>
      <c r="H1095" s="1338" t="s">
        <v>69</v>
      </c>
      <c r="I1095" s="960"/>
      <c r="J1095" s="59"/>
      <c r="K1095" s="59" t="s">
        <v>127</v>
      </c>
    </row>
    <row r="1096" spans="1:11" ht="16.5" customHeight="1" x14ac:dyDescent="0.25">
      <c r="A1096" s="57" t="s">
        <v>115</v>
      </c>
      <c r="B1096" s="57" t="s">
        <v>119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208"/>
        <v>LUGLIO 2024</v>
      </c>
      <c r="F1096" s="57" t="str">
        <f t="shared" si="1209"/>
        <v>7 LUGLIO 2024</v>
      </c>
      <c r="G1096" s="59">
        <v>7.1</v>
      </c>
      <c r="H1096" s="1338" t="s">
        <v>69</v>
      </c>
      <c r="I1096" s="960"/>
      <c r="J1096" s="59"/>
      <c r="K1096" s="59" t="s">
        <v>127</v>
      </c>
    </row>
    <row r="1097" spans="1:11" ht="16.5" customHeight="1" x14ac:dyDescent="0.25">
      <c r="A1097" s="57" t="s">
        <v>128</v>
      </c>
      <c r="B1097" s="57" t="s">
        <v>119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208"/>
        <v>LUGLIO 2024</v>
      </c>
      <c r="F1097" s="57" t="str">
        <f t="shared" si="1209"/>
        <v>7 LUGLIO 2024</v>
      </c>
      <c r="G1097" s="59">
        <v>10</v>
      </c>
      <c r="H1097" s="1338" t="s">
        <v>69</v>
      </c>
      <c r="I1097" s="960"/>
      <c r="J1097" s="59"/>
      <c r="K1097" s="59" t="s">
        <v>127</v>
      </c>
    </row>
    <row r="1098" spans="1:11" ht="18.600000000000001" customHeight="1" x14ac:dyDescent="0.25">
      <c r="A1098" s="57" t="s">
        <v>128</v>
      </c>
      <c r="B1098" s="57" t="s">
        <v>119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208"/>
        <v>LUGLIO 2024</v>
      </c>
      <c r="F1098" s="57" t="str">
        <f t="shared" si="1209"/>
        <v>7 LUGLIO 2024</v>
      </c>
      <c r="G1098" s="59">
        <v>20</v>
      </c>
      <c r="H1098" s="1338" t="s">
        <v>69</v>
      </c>
      <c r="I1098" s="960"/>
      <c r="J1098" s="59"/>
      <c r="K1098" s="59" t="s">
        <v>127</v>
      </c>
    </row>
    <row r="1099" spans="1:11" ht="16.5" customHeight="1" x14ac:dyDescent="0.25">
      <c r="A1099" s="57" t="s">
        <v>109</v>
      </c>
      <c r="B1099" s="57" t="s">
        <v>119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208"/>
        <v>LUGLIO 2024</v>
      </c>
      <c r="F1099" s="57" t="str">
        <f t="shared" si="1209"/>
        <v>7 LUGLIO 2024</v>
      </c>
      <c r="G1099" s="59">
        <v>20</v>
      </c>
      <c r="H1099" s="1338" t="s">
        <v>69</v>
      </c>
      <c r="I1099" s="960"/>
      <c r="J1099" s="59"/>
      <c r="K1099" s="59"/>
    </row>
    <row r="1100" spans="1:11" ht="16.5" customHeight="1" x14ac:dyDescent="0.25">
      <c r="A1100" s="57" t="s">
        <v>1057</v>
      </c>
      <c r="B1100" s="57" t="s">
        <v>119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208"/>
        <v>LUGLIO 2024</v>
      </c>
      <c r="F1100" s="57" t="str">
        <f t="shared" si="1209"/>
        <v>7 LUGLIO 2024</v>
      </c>
      <c r="G1100" s="59">
        <v>37.99</v>
      </c>
      <c r="H1100" s="1338" t="s">
        <v>772</v>
      </c>
      <c r="I1100" s="960"/>
      <c r="J1100" s="59"/>
      <c r="K1100" s="59" t="s">
        <v>1058</v>
      </c>
    </row>
    <row r="1101" spans="1:11" ht="16.5" customHeight="1" x14ac:dyDescent="0.25">
      <c r="A1101" s="57" t="s">
        <v>76</v>
      </c>
      <c r="B1101" s="57" t="s">
        <v>119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208"/>
        <v>LUGLIO 2024</v>
      </c>
      <c r="F1101" s="57" t="str">
        <f t="shared" si="1209"/>
        <v>7 LUGLIO 2024</v>
      </c>
      <c r="G1101" s="59">
        <v>1.99</v>
      </c>
      <c r="H1101" s="1338" t="s">
        <v>77</v>
      </c>
      <c r="I1101" s="960"/>
      <c r="J1101" s="59"/>
      <c r="K1101" s="59"/>
    </row>
    <row r="1102" spans="1:11" ht="16.5" customHeight="1" x14ac:dyDescent="0.25">
      <c r="A1102" s="57" t="s">
        <v>121</v>
      </c>
      <c r="B1102" s="57" t="s">
        <v>119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208"/>
        <v>LUGLIO 2024</v>
      </c>
      <c r="F1102" s="57" t="str">
        <f t="shared" si="1209"/>
        <v>7 LUGLIO 2024</v>
      </c>
      <c r="G1102" s="59">
        <v>0.4</v>
      </c>
      <c r="H1102" s="1338" t="s">
        <v>777</v>
      </c>
      <c r="I1102" s="960"/>
      <c r="J1102" s="59"/>
      <c r="K1102" s="59"/>
    </row>
    <row r="1103" spans="1:11" ht="16.5" customHeight="1" x14ac:dyDescent="0.25">
      <c r="A1103" s="57" t="s">
        <v>121</v>
      </c>
      <c r="B1103" s="57" t="s">
        <v>119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208"/>
        <v>LUGLIO 2024</v>
      </c>
      <c r="F1103" s="57" t="str">
        <f t="shared" si="1209"/>
        <v>7 LUGLIO 2024</v>
      </c>
      <c r="G1103" s="59">
        <v>0.4</v>
      </c>
      <c r="H1103" s="1338" t="s">
        <v>777</v>
      </c>
      <c r="I1103" s="960"/>
      <c r="J1103" s="59"/>
      <c r="K1103" s="59"/>
    </row>
    <row r="1104" spans="1:11" ht="16.5" customHeight="1" x14ac:dyDescent="0.25">
      <c r="A1104" s="57" t="s">
        <v>121</v>
      </c>
      <c r="B1104" s="57" t="s">
        <v>119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208"/>
        <v>LUGLIO 2024</v>
      </c>
      <c r="F1104" s="57" t="str">
        <f t="shared" si="1209"/>
        <v>7 LUGLIO 2024</v>
      </c>
      <c r="G1104" s="59">
        <v>0.4</v>
      </c>
      <c r="H1104" s="1338" t="s">
        <v>777</v>
      </c>
      <c r="I1104" s="960"/>
      <c r="J1104" s="59"/>
      <c r="K1104" s="59"/>
    </row>
    <row r="1105" spans="1:11" ht="16.5" customHeight="1" x14ac:dyDescent="0.25">
      <c r="A1105" s="57" t="s">
        <v>121</v>
      </c>
      <c r="B1105" s="57" t="s">
        <v>119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si="1208"/>
        <v>LUGLIO 2024</v>
      </c>
      <c r="F1105" s="57" t="str">
        <f t="shared" si="1209"/>
        <v>7 LUGLIO 2024</v>
      </c>
      <c r="G1105" s="59">
        <v>0.4</v>
      </c>
      <c r="H1105" s="1338" t="s">
        <v>777</v>
      </c>
      <c r="I1105" s="960"/>
      <c r="J1105" s="59"/>
      <c r="K1105" s="59"/>
    </row>
    <row r="1106" spans="1:11" x14ac:dyDescent="0.25">
      <c r="A1106" s="57" t="s">
        <v>121</v>
      </c>
      <c r="B1106" s="57" t="s">
        <v>119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208"/>
        <v>LUGLIO 2024</v>
      </c>
      <c r="F1106" s="57" t="str">
        <f t="shared" si="1209"/>
        <v>7 LUGLIO 2024</v>
      </c>
      <c r="G1106" s="59">
        <v>0.7</v>
      </c>
      <c r="H1106" s="1338" t="s">
        <v>777</v>
      </c>
      <c r="I1106" s="960"/>
      <c r="J1106" s="59"/>
      <c r="K1106" s="59"/>
    </row>
    <row r="1107" spans="1:11" ht="14.25" customHeight="1" x14ac:dyDescent="0.25">
      <c r="A1107" s="57" t="s">
        <v>121</v>
      </c>
      <c r="B1107" s="57" t="s">
        <v>119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208"/>
        <v>LUGLIO 2024</v>
      </c>
      <c r="F1107" s="57" t="str">
        <f t="shared" si="1209"/>
        <v>7 LUGLIO 2024</v>
      </c>
      <c r="G1107" s="59">
        <v>0.4</v>
      </c>
      <c r="H1107" s="1338" t="s">
        <v>777</v>
      </c>
      <c r="I1107" s="960"/>
      <c r="J1107" s="59"/>
      <c r="K1107" s="59"/>
    </row>
    <row r="1108" spans="1:11" ht="18.600000000000001" customHeight="1" x14ac:dyDescent="0.25">
      <c r="A1108" s="57" t="s">
        <v>121</v>
      </c>
      <c r="B1108" s="57" t="s">
        <v>119</v>
      </c>
      <c r="C1108" s="57">
        <v>2024</v>
      </c>
      <c r="D1108" s="58">
        <f>MATCH(B1108,{"GENNAIO","FEBBRAIO","MARZO","APRILE","MAGGIO","GIUGNO","LUGLIO","AGOSTO","SETTEMBRE","OTTOBRE","NOVEMBRE","DICEMBRE"},0)</f>
        <v>7</v>
      </c>
      <c r="E1108" s="57" t="str">
        <f t="shared" si="1208"/>
        <v>LUGLIO 2024</v>
      </c>
      <c r="F1108" s="57" t="str">
        <f t="shared" si="1209"/>
        <v>7 LUGLIO 2024</v>
      </c>
      <c r="G1108" s="59">
        <v>0.4</v>
      </c>
      <c r="H1108" s="1338" t="s">
        <v>777</v>
      </c>
      <c r="I1108" s="960"/>
      <c r="J1108" s="59"/>
      <c r="K1108" s="59"/>
    </row>
    <row r="1109" spans="1:11" ht="18.600000000000001" customHeight="1" x14ac:dyDescent="0.25">
      <c r="A1109" s="57" t="s">
        <v>129</v>
      </c>
      <c r="B1109" s="57" t="s">
        <v>119</v>
      </c>
      <c r="C1109" s="57">
        <v>2024</v>
      </c>
      <c r="D1109" s="58">
        <f>MATCH(B1109,{"GENNAIO","FEBBRAIO","MARZO","APRILE","MAGGIO","GIUGNO","LUGLIO","AGOSTO","SETTEMBRE","OTTOBRE","NOVEMBRE","DICEMBRE"},0)</f>
        <v>7</v>
      </c>
      <c r="E1109" s="57" t="str">
        <f t="shared" si="1208"/>
        <v>LUGLIO 2024</v>
      </c>
      <c r="F1109" s="57" t="str">
        <f t="shared" si="1209"/>
        <v>7 LUGLIO 2024</v>
      </c>
      <c r="G1109" s="60">
        <v>470.43</v>
      </c>
      <c r="H1109" s="1338" t="s">
        <v>91</v>
      </c>
      <c r="I1109" s="960"/>
      <c r="J1109" s="59"/>
      <c r="K1109" s="59" t="s">
        <v>130</v>
      </c>
    </row>
    <row r="1110" spans="1:11" ht="18.600000000000001" customHeight="1" x14ac:dyDescent="0.25">
      <c r="A1110" s="57" t="s">
        <v>73</v>
      </c>
      <c r="B1110" s="57" t="s">
        <v>119</v>
      </c>
      <c r="C1110" s="57">
        <v>2024</v>
      </c>
      <c r="D1110" s="58">
        <f>MATCH(B1110,{"GENNAIO","FEBBRAIO","MARZO","APRILE","MAGGIO","GIUGNO","LUGLIO","AGOSTO","SETTEMBRE","OTTOBRE","NOVEMBRE","DICEMBRE"},0)</f>
        <v>7</v>
      </c>
      <c r="E1110" s="57" t="str">
        <f t="shared" si="1208"/>
        <v>LUGLIO 2024</v>
      </c>
      <c r="F1110" s="57" t="str">
        <f t="shared" si="1209"/>
        <v>7 LUGLIO 2024</v>
      </c>
      <c r="G1110" s="59">
        <v>9</v>
      </c>
      <c r="H1110" s="1338" t="s">
        <v>74</v>
      </c>
      <c r="I1110" s="960"/>
      <c r="J1110" s="59"/>
      <c r="K1110" s="59"/>
    </row>
    <row r="1111" spans="1:11" ht="16.5" customHeight="1" x14ac:dyDescent="0.25">
      <c r="A1111" s="57" t="s">
        <v>79</v>
      </c>
      <c r="B1111" s="57" t="s">
        <v>119</v>
      </c>
      <c r="C1111" s="57">
        <v>2024</v>
      </c>
      <c r="D1111" s="58">
        <f>MATCH(B1111,{"GENNAIO","FEBBRAIO","MARZO","APRILE","MAGGIO","GIUGNO","LUGLIO","AGOSTO","SETTEMBRE","OTTOBRE","NOVEMBRE","DICEMBRE"},0)</f>
        <v>7</v>
      </c>
      <c r="E1111" s="57" t="str">
        <f t="shared" si="1208"/>
        <v>LUGLIO 2024</v>
      </c>
      <c r="F1111" s="57" t="str">
        <f t="shared" si="1209"/>
        <v>7 LUGLIO 2024</v>
      </c>
      <c r="G1111" s="59">
        <v>12.59</v>
      </c>
      <c r="H1111" s="1338" t="s">
        <v>81</v>
      </c>
      <c r="I1111" s="960"/>
      <c r="J1111" s="59"/>
      <c r="K1111" s="59"/>
    </row>
    <row r="1112" spans="1:11" x14ac:dyDescent="0.25">
      <c r="A1112" s="57" t="s">
        <v>122</v>
      </c>
      <c r="B1112" s="57" t="s">
        <v>119</v>
      </c>
      <c r="C1112" s="57">
        <v>2024</v>
      </c>
      <c r="D1112" s="58">
        <f>MATCH(B1112,{"GENNAIO","FEBBRAIO","MARZO","APRILE","MAGGIO","GIUGNO","LUGLIO","AGOSTO","SETTEMBRE","OTTOBRE","NOVEMBRE","DICEMBRE"},0)</f>
        <v>7</v>
      </c>
      <c r="E1112" s="57" t="str">
        <f t="shared" si="1208"/>
        <v>LUGLIO 2024</v>
      </c>
      <c r="F1112" s="57" t="str">
        <f t="shared" si="1209"/>
        <v>7 LUGLIO 2024</v>
      </c>
      <c r="G1112" s="59">
        <v>8.16</v>
      </c>
      <c r="H1112" s="1338" t="s">
        <v>77</v>
      </c>
      <c r="I1112" s="960"/>
      <c r="J1112" s="59"/>
      <c r="K1112" s="59"/>
    </row>
    <row r="1113" spans="1:11" ht="16.5" customHeight="1" x14ac:dyDescent="0.25">
      <c r="A1113" s="57" t="s">
        <v>76</v>
      </c>
      <c r="B1113" s="57" t="s">
        <v>119</v>
      </c>
      <c r="C1113" s="57">
        <v>2024</v>
      </c>
      <c r="D1113" s="58">
        <f>MATCH(B1113,{"GENNAIO","FEBBRAIO","MARZO","APRILE","MAGGIO","GIUGNO","LUGLIO","AGOSTO","SETTEMBRE","OTTOBRE","NOVEMBRE","DICEMBRE"},0)</f>
        <v>7</v>
      </c>
      <c r="E1113" s="57" t="str">
        <f t="shared" si="1208"/>
        <v>LUGLIO 2024</v>
      </c>
      <c r="F1113" s="57" t="str">
        <f t="shared" si="1209"/>
        <v>7 LUGLIO 2024</v>
      </c>
      <c r="G1113" s="59">
        <v>14.18</v>
      </c>
      <c r="H1113" s="1338" t="s">
        <v>77</v>
      </c>
      <c r="I1113" s="960"/>
      <c r="J1113" s="59"/>
      <c r="K1113" s="59"/>
    </row>
    <row r="1114" spans="1:11" ht="16.5" customHeight="1" x14ac:dyDescent="0.25">
      <c r="A1114" s="57" t="s">
        <v>121</v>
      </c>
      <c r="B1114" s="57" t="s">
        <v>119</v>
      </c>
      <c r="C1114" s="57">
        <v>2024</v>
      </c>
      <c r="D1114" s="58">
        <f>MATCH(B1114,{"GENNAIO","FEBBRAIO","MARZO","APRILE","MAGGIO","GIUGNO","LUGLIO","AGOSTO","SETTEMBRE","OTTOBRE","NOVEMBRE","DICEMBRE"},0)</f>
        <v>7</v>
      </c>
      <c r="E1114" s="57" t="str">
        <f t="shared" ref="E1114:E1177" si="1210">CONCATENATE(,B1114," ",C1114)</f>
        <v>LUGLIO 2024</v>
      </c>
      <c r="F1114" s="57" t="str">
        <f t="shared" ref="F1114:F1177" si="1211">CONCATENATE(D1114," ",E1114)</f>
        <v>7 LUGLIO 2024</v>
      </c>
      <c r="G1114" s="59">
        <v>0.7</v>
      </c>
      <c r="H1114" s="1338" t="s">
        <v>777</v>
      </c>
      <c r="I1114" s="960"/>
      <c r="J1114" s="59"/>
      <c r="K1114" s="59"/>
    </row>
    <row r="1115" spans="1:11" ht="16.5" customHeight="1" x14ac:dyDescent="0.25">
      <c r="A1115" s="57" t="s">
        <v>67</v>
      </c>
      <c r="B1115" s="57" t="s">
        <v>119</v>
      </c>
      <c r="C1115" s="57">
        <v>2024</v>
      </c>
      <c r="D1115" s="58">
        <f>MATCH(B1115,{"GENNAIO","FEBBRAIO","MARZO","APRILE","MAGGIO","GIUGNO","LUGLIO","AGOSTO","SETTEMBRE","OTTOBRE","NOVEMBRE","DICEMBRE"},0)</f>
        <v>7</v>
      </c>
      <c r="E1115" s="57" t="str">
        <f t="shared" si="1210"/>
        <v>LUGLIO 2024</v>
      </c>
      <c r="F1115" s="57" t="str">
        <f t="shared" si="1211"/>
        <v>7 LUGLIO 2024</v>
      </c>
      <c r="G1115" s="59">
        <v>7</v>
      </c>
      <c r="H1115" s="1338" t="s">
        <v>776</v>
      </c>
      <c r="I1115" s="960"/>
      <c r="J1115" s="59"/>
      <c r="K1115" s="59"/>
    </row>
    <row r="1116" spans="1:11" ht="16.5" customHeight="1" x14ac:dyDescent="0.25">
      <c r="A1116" s="57" t="s">
        <v>108</v>
      </c>
      <c r="B1116" s="57" t="s">
        <v>119</v>
      </c>
      <c r="C1116" s="57">
        <v>2024</v>
      </c>
      <c r="D1116" s="58">
        <f>MATCH(B1116,{"GENNAIO","FEBBRAIO","MARZO","APRILE","MAGGIO","GIUGNO","LUGLIO","AGOSTO","SETTEMBRE","OTTOBRE","NOVEMBRE","DICEMBRE"},0)</f>
        <v>7</v>
      </c>
      <c r="E1116" s="57" t="str">
        <f t="shared" si="1210"/>
        <v>LUGLIO 2024</v>
      </c>
      <c r="F1116" s="57" t="str">
        <f t="shared" si="1211"/>
        <v>7 LUGLIO 2024</v>
      </c>
      <c r="G1116" s="59">
        <v>40.01</v>
      </c>
      <c r="H1116" s="1338" t="s">
        <v>75</v>
      </c>
      <c r="I1116" s="960"/>
      <c r="J1116" s="57" t="s">
        <v>108</v>
      </c>
      <c r="K1116" s="59"/>
    </row>
    <row r="1117" spans="1:11" ht="16.5" customHeight="1" x14ac:dyDescent="0.25">
      <c r="A1117" s="57" t="s">
        <v>121</v>
      </c>
      <c r="B1117" s="57" t="s">
        <v>131</v>
      </c>
      <c r="C1117" s="57">
        <v>2024</v>
      </c>
      <c r="D1117" s="58">
        <f>MATCH(B1117,{"GENNAIO","FEBBRAIO","MARZO","APRILE","MAGGIO","GIUGNO","LUGLIO","AGOSTO","SETTEMBRE","OTTOBRE","NOVEMBRE","DICEMBRE"},0)</f>
        <v>6</v>
      </c>
      <c r="E1117" s="57" t="str">
        <f t="shared" si="1210"/>
        <v>GIUGNO 2024</v>
      </c>
      <c r="F1117" s="57" t="str">
        <f t="shared" si="1211"/>
        <v>6 GIUGNO 2024</v>
      </c>
      <c r="G1117" s="59">
        <v>0.4</v>
      </c>
      <c r="H1117" s="1338" t="s">
        <v>777</v>
      </c>
      <c r="I1117" s="960"/>
      <c r="J1117" s="59"/>
      <c r="K1117" s="59"/>
    </row>
    <row r="1118" spans="1:11" ht="16.5" customHeight="1" x14ac:dyDescent="0.25">
      <c r="A1118" s="57" t="s">
        <v>121</v>
      </c>
      <c r="B1118" s="57" t="s">
        <v>131</v>
      </c>
      <c r="C1118" s="57">
        <v>2024</v>
      </c>
      <c r="D1118" s="58">
        <f>MATCH(B1118,{"GENNAIO","FEBBRAIO","MARZO","APRILE","MAGGIO","GIUGNO","LUGLIO","AGOSTO","SETTEMBRE","OTTOBRE","NOVEMBRE","DICEMBRE"},0)</f>
        <v>6</v>
      </c>
      <c r="E1118" s="57" t="str">
        <f t="shared" si="1210"/>
        <v>GIUGNO 2024</v>
      </c>
      <c r="F1118" s="57" t="str">
        <f t="shared" si="1211"/>
        <v>6 GIUGNO 2024</v>
      </c>
      <c r="G1118" s="59">
        <v>0.4</v>
      </c>
      <c r="H1118" s="1338" t="s">
        <v>777</v>
      </c>
      <c r="I1118" s="960"/>
      <c r="J1118" s="59"/>
      <c r="K1118" s="59"/>
    </row>
    <row r="1119" spans="1:11" ht="16.5" customHeight="1" x14ac:dyDescent="0.25">
      <c r="A1119" s="57" t="s">
        <v>121</v>
      </c>
      <c r="B1119" s="57" t="s">
        <v>131</v>
      </c>
      <c r="C1119" s="57">
        <v>2024</v>
      </c>
      <c r="D1119" s="58">
        <f>MATCH(B1119,{"GENNAIO","FEBBRAIO","MARZO","APRILE","MAGGIO","GIUGNO","LUGLIO","AGOSTO","SETTEMBRE","OTTOBRE","NOVEMBRE","DICEMBRE"},0)</f>
        <v>6</v>
      </c>
      <c r="E1119" s="57" t="str">
        <f t="shared" si="1210"/>
        <v>GIUGNO 2024</v>
      </c>
      <c r="F1119" s="57" t="str">
        <f t="shared" si="1211"/>
        <v>6 GIUGNO 2024</v>
      </c>
      <c r="G1119" s="59">
        <v>0.4</v>
      </c>
      <c r="H1119" s="1338" t="s">
        <v>777</v>
      </c>
      <c r="I1119" s="960"/>
      <c r="J1119" s="59"/>
      <c r="K1119" s="59"/>
    </row>
    <row r="1120" spans="1:11" ht="16.5" customHeight="1" x14ac:dyDescent="0.25">
      <c r="A1120" s="57" t="s">
        <v>121</v>
      </c>
      <c r="B1120" s="57" t="s">
        <v>131</v>
      </c>
      <c r="C1120" s="57">
        <v>2024</v>
      </c>
      <c r="D1120" s="58">
        <f>MATCH(B1120,{"GENNAIO","FEBBRAIO","MARZO","APRILE","MAGGIO","GIUGNO","LUGLIO","AGOSTO","SETTEMBRE","OTTOBRE","NOVEMBRE","DICEMBRE"},0)</f>
        <v>6</v>
      </c>
      <c r="E1120" s="57" t="str">
        <f t="shared" si="1210"/>
        <v>GIUGNO 2024</v>
      </c>
      <c r="F1120" s="57" t="str">
        <f t="shared" si="1211"/>
        <v>6 GIUGNO 2024</v>
      </c>
      <c r="G1120" s="59">
        <v>1.2</v>
      </c>
      <c r="H1120" s="1338" t="s">
        <v>777</v>
      </c>
      <c r="I1120" s="960"/>
      <c r="J1120" s="59"/>
      <c r="K1120" s="59"/>
    </row>
    <row r="1121" spans="1:11" ht="18.600000000000001" customHeight="1" x14ac:dyDescent="0.25">
      <c r="A1121" s="57" t="s">
        <v>121</v>
      </c>
      <c r="B1121" s="57" t="s">
        <v>131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210"/>
        <v>GIUGNO 2024</v>
      </c>
      <c r="F1121" s="57" t="str">
        <f t="shared" si="1211"/>
        <v>6 GIUGNO 2024</v>
      </c>
      <c r="G1121" s="59">
        <v>0.4</v>
      </c>
      <c r="H1121" s="1338" t="s">
        <v>777</v>
      </c>
      <c r="I1121" s="960"/>
      <c r="J1121" s="59"/>
      <c r="K1121" s="59"/>
    </row>
    <row r="1122" spans="1:11" ht="16.5" customHeight="1" x14ac:dyDescent="0.25">
      <c r="A1122" s="57" t="s">
        <v>121</v>
      </c>
      <c r="B1122" s="57" t="s">
        <v>131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210"/>
        <v>GIUGNO 2024</v>
      </c>
      <c r="F1122" s="57" t="str">
        <f t="shared" si="1211"/>
        <v>6 GIUGNO 2024</v>
      </c>
      <c r="G1122" s="59">
        <v>0.4</v>
      </c>
      <c r="H1122" s="1338" t="s">
        <v>777</v>
      </c>
      <c r="I1122" s="960"/>
      <c r="J1122" s="59"/>
      <c r="K1122" s="59"/>
    </row>
    <row r="1123" spans="1:11" ht="16.5" customHeight="1" x14ac:dyDescent="0.25">
      <c r="A1123" s="57" t="s">
        <v>121</v>
      </c>
      <c r="B1123" s="57" t="s">
        <v>131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210"/>
        <v>GIUGNO 2024</v>
      </c>
      <c r="F1123" s="57" t="str">
        <f t="shared" si="1211"/>
        <v>6 GIUGNO 2024</v>
      </c>
      <c r="G1123" s="59">
        <v>0.4</v>
      </c>
      <c r="H1123" s="1338" t="s">
        <v>777</v>
      </c>
      <c r="I1123" s="960"/>
      <c r="J1123" s="59"/>
      <c r="K1123" s="59"/>
    </row>
    <row r="1124" spans="1:11" ht="16.5" customHeight="1" x14ac:dyDescent="0.25">
      <c r="A1124" s="57" t="s">
        <v>83</v>
      </c>
      <c r="B1124" s="57" t="s">
        <v>131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210"/>
        <v>GIUGNO 2024</v>
      </c>
      <c r="F1124" s="57" t="str">
        <f t="shared" si="1211"/>
        <v>6 GIUGNO 2024</v>
      </c>
      <c r="G1124" s="59">
        <v>12.66</v>
      </c>
      <c r="H1124" s="1338" t="s">
        <v>77</v>
      </c>
      <c r="I1124" s="960"/>
      <c r="J1124" s="59"/>
      <c r="K1124" s="59"/>
    </row>
    <row r="1125" spans="1:11" ht="16.5" customHeight="1" x14ac:dyDescent="0.25">
      <c r="A1125" s="57" t="s">
        <v>132</v>
      </c>
      <c r="B1125" s="57" t="s">
        <v>131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210"/>
        <v>GIUGNO 2024</v>
      </c>
      <c r="F1125" s="57" t="str">
        <f t="shared" si="1211"/>
        <v>6 GIUGNO 2024</v>
      </c>
      <c r="G1125" s="59">
        <v>37.5</v>
      </c>
      <c r="H1125" s="1338" t="s">
        <v>69</v>
      </c>
      <c r="I1125" s="960"/>
      <c r="J1125" s="59"/>
      <c r="K1125" s="59"/>
    </row>
    <row r="1126" spans="1:11" ht="16.5" customHeight="1" x14ac:dyDescent="0.25">
      <c r="A1126" s="57" t="s">
        <v>133</v>
      </c>
      <c r="B1126" s="57" t="s">
        <v>131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210"/>
        <v>GIUGNO 2024</v>
      </c>
      <c r="F1126" s="57" t="str">
        <f t="shared" si="1211"/>
        <v>6 GIUGNO 2024</v>
      </c>
      <c r="G1126" s="59">
        <v>25.5</v>
      </c>
      <c r="H1126" s="1338" t="s">
        <v>69</v>
      </c>
      <c r="I1126" s="960"/>
      <c r="J1126" s="59"/>
      <c r="K1126" s="59"/>
    </row>
    <row r="1127" spans="1:11" ht="16.5" customHeight="1" x14ac:dyDescent="0.25">
      <c r="A1127" s="57" t="s">
        <v>134</v>
      </c>
      <c r="B1127" s="57" t="s">
        <v>131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210"/>
        <v>GIUGNO 2024</v>
      </c>
      <c r="F1127" s="57" t="str">
        <f t="shared" si="1211"/>
        <v>6 GIUGNO 2024</v>
      </c>
      <c r="G1127" s="59">
        <v>70</v>
      </c>
      <c r="H1127" s="1338" t="s">
        <v>772</v>
      </c>
      <c r="I1127" s="960"/>
      <c r="J1127" s="59"/>
      <c r="K1127" s="59" t="s">
        <v>135</v>
      </c>
    </row>
    <row r="1128" spans="1:11" x14ac:dyDescent="0.25">
      <c r="A1128" s="57" t="s">
        <v>136</v>
      </c>
      <c r="B1128" s="57" t="s">
        <v>131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210"/>
        <v>GIUGNO 2024</v>
      </c>
      <c r="F1128" s="57" t="str">
        <f t="shared" si="1211"/>
        <v>6 GIUGNO 2024</v>
      </c>
      <c r="G1128" s="59">
        <v>59.95</v>
      </c>
      <c r="H1128" s="1338" t="s">
        <v>137</v>
      </c>
      <c r="I1128" s="960"/>
      <c r="J1128" s="59"/>
      <c r="K1128" s="59"/>
    </row>
    <row r="1129" spans="1:11" ht="16.5" customHeight="1" x14ac:dyDescent="0.25">
      <c r="A1129" s="57" t="s">
        <v>121</v>
      </c>
      <c r="B1129" s="57" t="s">
        <v>131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210"/>
        <v>GIUGNO 2024</v>
      </c>
      <c r="F1129" s="57" t="str">
        <f t="shared" si="1211"/>
        <v>6 GIUGNO 2024</v>
      </c>
      <c r="G1129" s="59">
        <v>0.4</v>
      </c>
      <c r="H1129" s="1338" t="s">
        <v>777</v>
      </c>
      <c r="I1129" s="960"/>
      <c r="J1129" s="59"/>
      <c r="K1129" s="59"/>
    </row>
    <row r="1130" spans="1:11" ht="16.5" customHeight="1" x14ac:dyDescent="0.25">
      <c r="A1130" s="57" t="s">
        <v>121</v>
      </c>
      <c r="B1130" s="57" t="s">
        <v>131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210"/>
        <v>GIUGNO 2024</v>
      </c>
      <c r="F1130" s="57" t="str">
        <f t="shared" si="1211"/>
        <v>6 GIUGNO 2024</v>
      </c>
      <c r="G1130" s="59">
        <v>0.4</v>
      </c>
      <c r="H1130" s="1338" t="s">
        <v>777</v>
      </c>
      <c r="I1130" s="960"/>
      <c r="J1130" s="59"/>
      <c r="K1130" s="59"/>
    </row>
    <row r="1131" spans="1:11" ht="16.5" customHeight="1" x14ac:dyDescent="0.25">
      <c r="A1131" s="57" t="s">
        <v>67</v>
      </c>
      <c r="B1131" s="57" t="s">
        <v>131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210"/>
        <v>GIUGNO 2024</v>
      </c>
      <c r="F1131" s="57" t="str">
        <f t="shared" si="1211"/>
        <v>6 GIUGNO 2024</v>
      </c>
      <c r="G1131" s="59">
        <v>5</v>
      </c>
      <c r="H1131" s="1338" t="s">
        <v>776</v>
      </c>
      <c r="I1131" s="960"/>
      <c r="J1131" s="59"/>
      <c r="K1131" s="59"/>
    </row>
    <row r="1132" spans="1:11" ht="16.5" customHeight="1" x14ac:dyDescent="0.25">
      <c r="A1132" s="57" t="s">
        <v>121</v>
      </c>
      <c r="B1132" s="57" t="s">
        <v>131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210"/>
        <v>GIUGNO 2024</v>
      </c>
      <c r="F1132" s="57" t="str">
        <f t="shared" si="1211"/>
        <v>6 GIUGNO 2024</v>
      </c>
      <c r="G1132" s="59">
        <v>0.4</v>
      </c>
      <c r="H1132" s="1338" t="s">
        <v>777</v>
      </c>
      <c r="I1132" s="960"/>
      <c r="J1132" s="59"/>
      <c r="K1132" s="59"/>
    </row>
    <row r="1133" spans="1:11" ht="16.5" customHeight="1" x14ac:dyDescent="0.25">
      <c r="A1133" s="57" t="s">
        <v>121</v>
      </c>
      <c r="B1133" s="57" t="s">
        <v>131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210"/>
        <v>GIUGNO 2024</v>
      </c>
      <c r="F1133" s="57" t="str">
        <f t="shared" si="1211"/>
        <v>6 GIUGNO 2024</v>
      </c>
      <c r="G1133" s="59">
        <v>0.4</v>
      </c>
      <c r="H1133" s="1338" t="s">
        <v>777</v>
      </c>
      <c r="I1133" s="960"/>
      <c r="J1133" s="59"/>
      <c r="K1133" s="59"/>
    </row>
    <row r="1134" spans="1:11" ht="18.600000000000001" customHeight="1" x14ac:dyDescent="0.25">
      <c r="A1134" s="57" t="s">
        <v>121</v>
      </c>
      <c r="B1134" s="57" t="s">
        <v>131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210"/>
        <v>GIUGNO 2024</v>
      </c>
      <c r="F1134" s="57" t="str">
        <f t="shared" si="1211"/>
        <v>6 GIUGNO 2024</v>
      </c>
      <c r="G1134" s="59">
        <v>0.4</v>
      </c>
      <c r="H1134" s="1338" t="s">
        <v>777</v>
      </c>
      <c r="I1134" s="960"/>
      <c r="J1134" s="59"/>
      <c r="K1134" s="59"/>
    </row>
    <row r="1135" spans="1:11" ht="18.600000000000001" customHeight="1" x14ac:dyDescent="0.25">
      <c r="A1135" s="57" t="s">
        <v>108</v>
      </c>
      <c r="B1135" s="57" t="s">
        <v>131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210"/>
        <v>GIUGNO 2024</v>
      </c>
      <c r="F1135" s="57" t="str">
        <f t="shared" si="1211"/>
        <v>6 GIUGNO 2024</v>
      </c>
      <c r="G1135" s="59">
        <v>14.99</v>
      </c>
      <c r="H1135" s="1338" t="s">
        <v>75</v>
      </c>
      <c r="I1135" s="960"/>
      <c r="J1135" s="57" t="s">
        <v>108</v>
      </c>
      <c r="K1135" s="59"/>
    </row>
    <row r="1136" spans="1:11" ht="16.5" customHeight="1" x14ac:dyDescent="0.25">
      <c r="A1136" s="57" t="s">
        <v>136</v>
      </c>
      <c r="B1136" s="57" t="s">
        <v>131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210"/>
        <v>GIUGNO 2024</v>
      </c>
      <c r="F1136" s="57" t="str">
        <f t="shared" si="1211"/>
        <v>6 GIUGNO 2024</v>
      </c>
      <c r="G1136" s="59">
        <v>89.8</v>
      </c>
      <c r="H1136" s="1338" t="s">
        <v>137</v>
      </c>
      <c r="I1136" s="960"/>
      <c r="J1136" s="59"/>
      <c r="K1136" s="59"/>
    </row>
    <row r="1137" spans="1:11" ht="14.25" customHeight="1" x14ac:dyDescent="0.25">
      <c r="A1137" s="57" t="s">
        <v>83</v>
      </c>
      <c r="B1137" s="57" t="s">
        <v>131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210"/>
        <v>GIUGNO 2024</v>
      </c>
      <c r="F1137" s="57" t="str">
        <f t="shared" si="1211"/>
        <v>6 GIUGNO 2024</v>
      </c>
      <c r="G1137" s="59">
        <v>5.18</v>
      </c>
      <c r="H1137" s="1338" t="s">
        <v>77</v>
      </c>
      <c r="I1137" s="960"/>
      <c r="J1137" s="59"/>
      <c r="K1137" s="59"/>
    </row>
    <row r="1138" spans="1:11" x14ac:dyDescent="0.25">
      <c r="A1138" s="57" t="s">
        <v>76</v>
      </c>
      <c r="B1138" s="57" t="s">
        <v>131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210"/>
        <v>GIUGNO 2024</v>
      </c>
      <c r="F1138" s="57" t="str">
        <f t="shared" si="1211"/>
        <v>6 GIUGNO 2024</v>
      </c>
      <c r="G1138" s="59">
        <v>1.19</v>
      </c>
      <c r="H1138" s="1338" t="s">
        <v>77</v>
      </c>
      <c r="I1138" s="960"/>
      <c r="J1138" s="59"/>
      <c r="K1138" s="59"/>
    </row>
    <row r="1139" spans="1:11" ht="16.5" customHeight="1" x14ac:dyDescent="0.25">
      <c r="A1139" s="57" t="s">
        <v>86</v>
      </c>
      <c r="B1139" s="57" t="s">
        <v>131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210"/>
        <v>GIUGNO 2024</v>
      </c>
      <c r="F1139" s="57" t="str">
        <f t="shared" si="1211"/>
        <v>6 GIUGNO 2024</v>
      </c>
      <c r="G1139" s="59">
        <v>28</v>
      </c>
      <c r="H1139" s="1338" t="s">
        <v>69</v>
      </c>
      <c r="I1139" s="960"/>
      <c r="J1139" s="59"/>
      <c r="K1139" s="59"/>
    </row>
    <row r="1140" spans="1:11" x14ac:dyDescent="0.25">
      <c r="A1140" s="57" t="s">
        <v>73</v>
      </c>
      <c r="B1140" s="57" t="s">
        <v>131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210"/>
        <v>GIUGNO 2024</v>
      </c>
      <c r="F1140" s="57" t="str">
        <f t="shared" si="1211"/>
        <v>6 GIUGNO 2024</v>
      </c>
      <c r="G1140" s="59">
        <v>9</v>
      </c>
      <c r="H1140" s="1338" t="s">
        <v>74</v>
      </c>
      <c r="I1140" s="960"/>
      <c r="J1140" s="59"/>
      <c r="K1140" s="59"/>
    </row>
    <row r="1141" spans="1:11" ht="18.600000000000001" customHeight="1" x14ac:dyDescent="0.25">
      <c r="A1141" s="57" t="s">
        <v>113</v>
      </c>
      <c r="B1141" s="57" t="s">
        <v>131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210"/>
        <v>GIUGNO 2024</v>
      </c>
      <c r="F1141" s="57" t="str">
        <f t="shared" si="1211"/>
        <v>6 GIUGNO 2024</v>
      </c>
      <c r="G1141" s="59">
        <v>33</v>
      </c>
      <c r="H1141" s="1338" t="s">
        <v>114</v>
      </c>
      <c r="I1141" s="960"/>
      <c r="J1141" s="59"/>
      <c r="K1141" s="59"/>
    </row>
    <row r="1142" spans="1:11" ht="16.5" customHeight="1" x14ac:dyDescent="0.25">
      <c r="A1142" s="57" t="s">
        <v>121</v>
      </c>
      <c r="B1142" s="57" t="s">
        <v>131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210"/>
        <v>GIUGNO 2024</v>
      </c>
      <c r="F1142" s="57" t="str">
        <f t="shared" si="1211"/>
        <v>6 GIUGNO 2024</v>
      </c>
      <c r="G1142" s="59">
        <v>0.4</v>
      </c>
      <c r="H1142" s="1338" t="s">
        <v>777</v>
      </c>
      <c r="I1142" s="960"/>
      <c r="J1142" s="59"/>
      <c r="K1142" s="59"/>
    </row>
    <row r="1143" spans="1:11" ht="16.5" customHeight="1" x14ac:dyDescent="0.25">
      <c r="A1143" s="57" t="s">
        <v>67</v>
      </c>
      <c r="B1143" s="57" t="s">
        <v>131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210"/>
        <v>GIUGNO 2024</v>
      </c>
      <c r="F1143" s="57" t="str">
        <f t="shared" si="1211"/>
        <v>6 GIUGNO 2024</v>
      </c>
      <c r="G1143" s="59">
        <v>5</v>
      </c>
      <c r="H1143" s="1338" t="s">
        <v>776</v>
      </c>
      <c r="I1143" s="960"/>
      <c r="J1143" s="59"/>
      <c r="K1143" s="59"/>
    </row>
    <row r="1144" spans="1:11" ht="18.600000000000001" customHeight="1" x14ac:dyDescent="0.25">
      <c r="A1144" s="57" t="s">
        <v>78</v>
      </c>
      <c r="B1144" s="57" t="s">
        <v>131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210"/>
        <v>GIUGNO 2024</v>
      </c>
      <c r="F1144" s="57" t="str">
        <f t="shared" si="1211"/>
        <v>6 GIUGNO 2024</v>
      </c>
      <c r="G1144" s="59">
        <v>8.3000000000000007</v>
      </c>
      <c r="H1144" s="1338" t="s">
        <v>77</v>
      </c>
      <c r="I1144" s="960"/>
      <c r="J1144" s="59"/>
      <c r="K1144" s="59"/>
    </row>
    <row r="1145" spans="1:11" ht="16.5" customHeight="1" x14ac:dyDescent="0.25">
      <c r="A1145" s="57" t="s">
        <v>121</v>
      </c>
      <c r="B1145" s="57" t="s">
        <v>131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210"/>
        <v>GIUGNO 2024</v>
      </c>
      <c r="F1145" s="57" t="str">
        <f t="shared" si="1211"/>
        <v>6 GIUGNO 2024</v>
      </c>
      <c r="G1145" s="59">
        <v>0.4</v>
      </c>
      <c r="H1145" s="1338" t="s">
        <v>777</v>
      </c>
      <c r="I1145" s="960"/>
      <c r="J1145" s="59"/>
      <c r="K1145" s="59"/>
    </row>
    <row r="1146" spans="1:11" ht="18.600000000000001" customHeight="1" x14ac:dyDescent="0.25">
      <c r="A1146" s="57" t="s">
        <v>121</v>
      </c>
      <c r="B1146" s="57" t="s">
        <v>131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210"/>
        <v>GIUGNO 2024</v>
      </c>
      <c r="F1146" s="57" t="str">
        <f t="shared" si="1211"/>
        <v>6 GIUGNO 2024</v>
      </c>
      <c r="G1146" s="59">
        <v>0.7</v>
      </c>
      <c r="H1146" s="1338" t="s">
        <v>777</v>
      </c>
      <c r="I1146" s="960"/>
      <c r="J1146" s="59"/>
      <c r="K1146" s="59"/>
    </row>
    <row r="1147" spans="1:11" ht="18.600000000000001" customHeight="1" x14ac:dyDescent="0.25">
      <c r="A1147" s="57" t="s">
        <v>83</v>
      </c>
      <c r="B1147" s="57" t="s">
        <v>131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210"/>
        <v>GIUGNO 2024</v>
      </c>
      <c r="F1147" s="57" t="str">
        <f t="shared" si="1211"/>
        <v>6 GIUGNO 2024</v>
      </c>
      <c r="G1147" s="59">
        <v>14.83</v>
      </c>
      <c r="H1147" s="1338" t="s">
        <v>77</v>
      </c>
      <c r="I1147" s="960"/>
      <c r="J1147" s="59"/>
      <c r="K1147" s="59"/>
    </row>
    <row r="1148" spans="1:11" ht="16.5" customHeight="1" x14ac:dyDescent="0.25">
      <c r="A1148" s="57" t="s">
        <v>138</v>
      </c>
      <c r="B1148" s="57" t="s">
        <v>131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210"/>
        <v>GIUGNO 2024</v>
      </c>
      <c r="F1148" s="57" t="str">
        <f t="shared" si="1211"/>
        <v>6 GIUGNO 2024</v>
      </c>
      <c r="G1148" s="59">
        <v>35.5</v>
      </c>
      <c r="H1148" s="1338" t="s">
        <v>69</v>
      </c>
      <c r="I1148" s="960"/>
      <c r="J1148" s="59"/>
      <c r="K1148" s="59"/>
    </row>
    <row r="1149" spans="1:11" x14ac:dyDescent="0.25">
      <c r="A1149" s="57" t="s">
        <v>76</v>
      </c>
      <c r="B1149" s="57" t="s">
        <v>131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210"/>
        <v>GIUGNO 2024</v>
      </c>
      <c r="F1149" s="57" t="str">
        <f t="shared" si="1211"/>
        <v>6 GIUGNO 2024</v>
      </c>
      <c r="G1149" s="59">
        <v>9.0299999999999994</v>
      </c>
      <c r="H1149" s="1338" t="s">
        <v>77</v>
      </c>
      <c r="I1149" s="960"/>
      <c r="J1149" s="59"/>
      <c r="K1149" s="59"/>
    </row>
    <row r="1150" spans="1:11" ht="16.5" customHeight="1" x14ac:dyDescent="0.25">
      <c r="A1150" s="57" t="s">
        <v>79</v>
      </c>
      <c r="B1150" s="57" t="s">
        <v>131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210"/>
        <v>GIUGNO 2024</v>
      </c>
      <c r="F1150" s="57" t="str">
        <f t="shared" si="1211"/>
        <v>6 GIUGNO 2024</v>
      </c>
      <c r="G1150" s="59">
        <v>18.09</v>
      </c>
      <c r="H1150" s="1338" t="s">
        <v>81</v>
      </c>
      <c r="I1150" s="960"/>
      <c r="J1150" s="59"/>
      <c r="K1150" s="59"/>
    </row>
    <row r="1151" spans="1:11" x14ac:dyDescent="0.25">
      <c r="A1151" s="57" t="s">
        <v>124</v>
      </c>
      <c r="B1151" s="57" t="s">
        <v>131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210"/>
        <v>GIUGNO 2024</v>
      </c>
      <c r="F1151" s="57" t="str">
        <f t="shared" si="1211"/>
        <v>6 GIUGNO 2024</v>
      </c>
      <c r="G1151" s="59">
        <v>30</v>
      </c>
      <c r="H1151" s="1338" t="s">
        <v>69</v>
      </c>
      <c r="I1151" s="960"/>
      <c r="J1151" s="59"/>
      <c r="K1151" s="59"/>
    </row>
    <row r="1152" spans="1:11" ht="14.25" customHeight="1" x14ac:dyDescent="0.25">
      <c r="A1152" s="57" t="s">
        <v>67</v>
      </c>
      <c r="B1152" s="57" t="s">
        <v>131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210"/>
        <v>GIUGNO 2024</v>
      </c>
      <c r="F1152" s="57" t="str">
        <f t="shared" si="1211"/>
        <v>6 GIUGNO 2024</v>
      </c>
      <c r="G1152" s="59">
        <v>5</v>
      </c>
      <c r="H1152" s="1338" t="s">
        <v>776</v>
      </c>
      <c r="I1152" s="960"/>
      <c r="J1152" s="59"/>
      <c r="K1152" s="59"/>
    </row>
    <row r="1153" spans="1:11" ht="18.600000000000001" customHeight="1" x14ac:dyDescent="0.25">
      <c r="A1153" s="57" t="s">
        <v>121</v>
      </c>
      <c r="B1153" s="57" t="s">
        <v>131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210"/>
        <v>GIUGNO 2024</v>
      </c>
      <c r="F1153" s="57" t="str">
        <f t="shared" si="1211"/>
        <v>6 GIUGNO 2024</v>
      </c>
      <c r="G1153" s="59">
        <v>0.4</v>
      </c>
      <c r="H1153" s="1338" t="s">
        <v>777</v>
      </c>
      <c r="I1153" s="960"/>
      <c r="J1153" s="59"/>
      <c r="K1153" s="59"/>
    </row>
    <row r="1154" spans="1:11" ht="18.600000000000001" customHeight="1" x14ac:dyDescent="0.25">
      <c r="A1154" s="57" t="s">
        <v>67</v>
      </c>
      <c r="B1154" s="57" t="s">
        <v>131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210"/>
        <v>GIUGNO 2024</v>
      </c>
      <c r="F1154" s="57" t="str">
        <f t="shared" si="1211"/>
        <v>6 GIUGNO 2024</v>
      </c>
      <c r="G1154" s="59">
        <v>5</v>
      </c>
      <c r="H1154" s="1338" t="s">
        <v>776</v>
      </c>
      <c r="I1154" s="960"/>
      <c r="J1154" s="59"/>
      <c r="K1154" s="59"/>
    </row>
    <row r="1155" spans="1:11" ht="16.5" customHeight="1" x14ac:dyDescent="0.25">
      <c r="A1155" s="57" t="s">
        <v>73</v>
      </c>
      <c r="B1155" s="57" t="s">
        <v>131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210"/>
        <v>GIUGNO 2024</v>
      </c>
      <c r="F1155" s="57" t="str">
        <f t="shared" si="1211"/>
        <v>6 GIUGNO 2024</v>
      </c>
      <c r="G1155" s="59">
        <v>7</v>
      </c>
      <c r="H1155" s="1338" t="s">
        <v>74</v>
      </c>
      <c r="I1155" s="960"/>
      <c r="J1155" s="59"/>
      <c r="K1155" s="59"/>
    </row>
    <row r="1156" spans="1:11" ht="16.5" customHeight="1" x14ac:dyDescent="0.25">
      <c r="A1156" s="57" t="s">
        <v>83</v>
      </c>
      <c r="B1156" s="57" t="s">
        <v>131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210"/>
        <v>GIUGNO 2024</v>
      </c>
      <c r="F1156" s="57" t="str">
        <f t="shared" si="1211"/>
        <v>6 GIUGNO 2024</v>
      </c>
      <c r="G1156" s="59">
        <v>13.98</v>
      </c>
      <c r="H1156" s="1338" t="s">
        <v>77</v>
      </c>
      <c r="I1156" s="960"/>
      <c r="J1156" s="59"/>
      <c r="K1156" s="59"/>
    </row>
    <row r="1157" spans="1:11" x14ac:dyDescent="0.25">
      <c r="A1157" s="57" t="s">
        <v>120</v>
      </c>
      <c r="B1157" s="57" t="s">
        <v>131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210"/>
        <v>GIUGNO 2024</v>
      </c>
      <c r="F1157" s="57" t="str">
        <f t="shared" si="1211"/>
        <v>6 GIUGNO 2024</v>
      </c>
      <c r="G1157" s="59">
        <v>25</v>
      </c>
      <c r="H1157" s="1338" t="s">
        <v>77</v>
      </c>
      <c r="I1157" s="960"/>
      <c r="J1157" s="59"/>
      <c r="K1157" s="59"/>
    </row>
    <row r="1158" spans="1:11" ht="16.5" customHeight="1" x14ac:dyDescent="0.25">
      <c r="A1158" s="57" t="s">
        <v>139</v>
      </c>
      <c r="B1158" s="57" t="s">
        <v>131</v>
      </c>
      <c r="C1158" s="57">
        <v>2024</v>
      </c>
      <c r="D1158" s="58">
        <f>MATCH(B1158,{"GENNAIO","FEBBRAIO","MARZO","APRILE","MAGGIO","GIUGNO","LUGLIO","AGOSTO","SETTEMBRE","OTTOBRE","NOVEMBRE","DICEMBRE"},0)</f>
        <v>6</v>
      </c>
      <c r="E1158" s="57" t="str">
        <f t="shared" si="1210"/>
        <v>GIUGNO 2024</v>
      </c>
      <c r="F1158" s="57" t="str">
        <f t="shared" si="1211"/>
        <v>6 GIUGNO 2024</v>
      </c>
      <c r="G1158" s="59">
        <v>71</v>
      </c>
      <c r="H1158" s="1338" t="s">
        <v>69</v>
      </c>
      <c r="I1158" s="960"/>
      <c r="J1158" s="59"/>
      <c r="K1158" s="59"/>
    </row>
    <row r="1159" spans="1:11" ht="18.600000000000001" customHeight="1" x14ac:dyDescent="0.25">
      <c r="A1159" s="57" t="s">
        <v>121</v>
      </c>
      <c r="B1159" s="57" t="s">
        <v>131</v>
      </c>
      <c r="C1159" s="57">
        <v>2024</v>
      </c>
      <c r="D1159" s="58">
        <f>MATCH(B1159,{"GENNAIO","FEBBRAIO","MARZO","APRILE","MAGGIO","GIUGNO","LUGLIO","AGOSTO","SETTEMBRE","OTTOBRE","NOVEMBRE","DICEMBRE"},0)</f>
        <v>6</v>
      </c>
      <c r="E1159" s="57" t="str">
        <f t="shared" si="1210"/>
        <v>GIUGNO 2024</v>
      </c>
      <c r="F1159" s="57" t="str">
        <f t="shared" si="1211"/>
        <v>6 GIUGNO 2024</v>
      </c>
      <c r="G1159" s="59">
        <v>0.4</v>
      </c>
      <c r="H1159" s="1338" t="s">
        <v>777</v>
      </c>
      <c r="I1159" s="960"/>
      <c r="J1159" s="59"/>
      <c r="K1159" s="59"/>
    </row>
    <row r="1160" spans="1:11" ht="18" customHeight="1" x14ac:dyDescent="0.25">
      <c r="A1160" s="57" t="s">
        <v>67</v>
      </c>
      <c r="B1160" s="57" t="s">
        <v>131</v>
      </c>
      <c r="C1160" s="57">
        <v>2024</v>
      </c>
      <c r="D1160" s="58">
        <f>MATCH(B1160,{"GENNAIO","FEBBRAIO","MARZO","APRILE","MAGGIO","GIUGNO","LUGLIO","AGOSTO","SETTEMBRE","OTTOBRE","NOVEMBRE","DICEMBRE"},0)</f>
        <v>6</v>
      </c>
      <c r="E1160" s="57" t="str">
        <f t="shared" si="1210"/>
        <v>GIUGNO 2024</v>
      </c>
      <c r="F1160" s="57" t="str">
        <f t="shared" si="1211"/>
        <v>6 GIUGNO 2024</v>
      </c>
      <c r="G1160" s="59">
        <v>5</v>
      </c>
      <c r="H1160" s="1338" t="s">
        <v>776</v>
      </c>
      <c r="I1160" s="960"/>
      <c r="J1160" s="59"/>
      <c r="K1160" s="59"/>
    </row>
    <row r="1161" spans="1:11" ht="18.600000000000001" customHeight="1" x14ac:dyDescent="0.25">
      <c r="A1161" s="57" t="s">
        <v>140</v>
      </c>
      <c r="B1161" s="57" t="s">
        <v>131</v>
      </c>
      <c r="C1161" s="57">
        <v>2024</v>
      </c>
      <c r="D1161" s="58">
        <f>MATCH(B1161,{"GENNAIO","FEBBRAIO","MARZO","APRILE","MAGGIO","GIUGNO","LUGLIO","AGOSTO","SETTEMBRE","OTTOBRE","NOVEMBRE","DICEMBRE"},0)</f>
        <v>6</v>
      </c>
      <c r="E1161" s="57" t="str">
        <f t="shared" si="1210"/>
        <v>GIUGNO 2024</v>
      </c>
      <c r="F1161" s="57" t="str">
        <f t="shared" si="1211"/>
        <v>6 GIUGNO 2024</v>
      </c>
      <c r="G1161" s="59">
        <v>61.9</v>
      </c>
      <c r="H1161" s="1338" t="s">
        <v>69</v>
      </c>
      <c r="I1161" s="960"/>
      <c r="J1161" s="59"/>
      <c r="K1161" s="59"/>
    </row>
    <row r="1162" spans="1:11" ht="16.5" customHeight="1" x14ac:dyDescent="0.25">
      <c r="A1162" s="57" t="s">
        <v>123</v>
      </c>
      <c r="B1162" s="57" t="s">
        <v>131</v>
      </c>
      <c r="C1162" s="57">
        <v>2024</v>
      </c>
      <c r="D1162" s="58">
        <f>MATCH(B1162,{"GENNAIO","FEBBRAIO","MARZO","APRILE","MAGGIO","GIUGNO","LUGLIO","AGOSTO","SETTEMBRE","OTTOBRE","NOVEMBRE","DICEMBRE"},0)</f>
        <v>6</v>
      </c>
      <c r="E1162" s="57" t="str">
        <f t="shared" si="1210"/>
        <v>GIUGNO 2024</v>
      </c>
      <c r="F1162" s="57" t="str">
        <f t="shared" si="1211"/>
        <v>6 GIUGNO 2024</v>
      </c>
      <c r="G1162" s="59">
        <v>24.7</v>
      </c>
      <c r="H1162" s="1338" t="s">
        <v>69</v>
      </c>
      <c r="I1162" s="960"/>
      <c r="J1162" s="59"/>
      <c r="K1162" s="59"/>
    </row>
    <row r="1163" spans="1:11" x14ac:dyDescent="0.25">
      <c r="A1163" s="57" t="s">
        <v>996</v>
      </c>
      <c r="B1163" s="57" t="s">
        <v>131</v>
      </c>
      <c r="C1163" s="57">
        <v>2024</v>
      </c>
      <c r="D1163" s="58">
        <f>MATCH(B1163,{"GENNAIO","FEBBRAIO","MARZO","APRILE","MAGGIO","GIUGNO","LUGLIO","AGOSTO","SETTEMBRE","OTTOBRE","NOVEMBRE","DICEMBRE"},0)</f>
        <v>6</v>
      </c>
      <c r="E1163" s="57" t="str">
        <f t="shared" si="1210"/>
        <v>GIUGNO 2024</v>
      </c>
      <c r="F1163" s="57" t="str">
        <f t="shared" si="1211"/>
        <v>6 GIUGNO 2024</v>
      </c>
      <c r="G1163" s="59">
        <v>18.23</v>
      </c>
      <c r="H1163" s="1338" t="s">
        <v>75</v>
      </c>
      <c r="I1163" s="960"/>
      <c r="J1163" s="59" t="s">
        <v>768</v>
      </c>
      <c r="K1163" s="59"/>
    </row>
    <row r="1164" spans="1:11" ht="18.600000000000001" customHeight="1" x14ac:dyDescent="0.25">
      <c r="A1164" s="57" t="s">
        <v>76</v>
      </c>
      <c r="B1164" s="57" t="s">
        <v>131</v>
      </c>
      <c r="C1164" s="57">
        <v>2024</v>
      </c>
      <c r="D1164" s="58">
        <f>MATCH(B1164,{"GENNAIO","FEBBRAIO","MARZO","APRILE","MAGGIO","GIUGNO","LUGLIO","AGOSTO","SETTEMBRE","OTTOBRE","NOVEMBRE","DICEMBRE"},0)</f>
        <v>6</v>
      </c>
      <c r="E1164" s="57" t="str">
        <f t="shared" si="1210"/>
        <v>GIUGNO 2024</v>
      </c>
      <c r="F1164" s="57" t="str">
        <f t="shared" si="1211"/>
        <v>6 GIUGNO 2024</v>
      </c>
      <c r="G1164" s="59">
        <v>28.26</v>
      </c>
      <c r="H1164" s="1338" t="s">
        <v>77</v>
      </c>
      <c r="I1164" s="960"/>
      <c r="J1164" s="59"/>
      <c r="K1164" s="59"/>
    </row>
    <row r="1165" spans="1:11" x14ac:dyDescent="0.25">
      <c r="A1165" s="57" t="s">
        <v>121</v>
      </c>
      <c r="B1165" s="57" t="s">
        <v>131</v>
      </c>
      <c r="C1165" s="57">
        <v>2024</v>
      </c>
      <c r="D1165" s="58">
        <f>MATCH(B1165,{"GENNAIO","FEBBRAIO","MARZO","APRILE","MAGGIO","GIUGNO","LUGLIO","AGOSTO","SETTEMBRE","OTTOBRE","NOVEMBRE","DICEMBRE"},0)</f>
        <v>6</v>
      </c>
      <c r="E1165" s="57" t="str">
        <f t="shared" si="1210"/>
        <v>GIUGNO 2024</v>
      </c>
      <c r="F1165" s="57" t="str">
        <f t="shared" si="1211"/>
        <v>6 GIUGNO 2024</v>
      </c>
      <c r="G1165" s="59">
        <v>0.4</v>
      </c>
      <c r="H1165" s="1338" t="s">
        <v>777</v>
      </c>
      <c r="I1165" s="960"/>
      <c r="J1165" s="59"/>
      <c r="K1165" s="59"/>
    </row>
    <row r="1166" spans="1:11" ht="18.600000000000001" customHeight="1" x14ac:dyDescent="0.25">
      <c r="A1166" s="57" t="s">
        <v>67</v>
      </c>
      <c r="B1166" s="57" t="s">
        <v>131</v>
      </c>
      <c r="C1166" s="57">
        <v>2024</v>
      </c>
      <c r="D1166" s="58">
        <f>MATCH(B1166,{"GENNAIO","FEBBRAIO","MARZO","APRILE","MAGGIO","GIUGNO","LUGLIO","AGOSTO","SETTEMBRE","OTTOBRE","NOVEMBRE","DICEMBRE"},0)</f>
        <v>6</v>
      </c>
      <c r="E1166" s="57" t="str">
        <f t="shared" si="1210"/>
        <v>GIUGNO 2024</v>
      </c>
      <c r="F1166" s="57" t="str">
        <f t="shared" si="1211"/>
        <v>6 GIUGNO 2024</v>
      </c>
      <c r="G1166" s="59">
        <v>5</v>
      </c>
      <c r="H1166" s="1338" t="s">
        <v>776</v>
      </c>
      <c r="I1166" s="960"/>
      <c r="J1166" s="59"/>
      <c r="K1166" s="59"/>
    </row>
    <row r="1167" spans="1:11" x14ac:dyDescent="0.25">
      <c r="A1167" s="57" t="s">
        <v>142</v>
      </c>
      <c r="B1167" s="57" t="s">
        <v>143</v>
      </c>
      <c r="C1167" s="57">
        <v>2024</v>
      </c>
      <c r="D1167" s="58">
        <f>MATCH(B1167,{"GENNAIO","FEBBRAIO","MARZO","APRILE","MAGGIO","GIUGNO","LUGLIO","AGOSTO","SETTEMBRE","OTTOBRE","NOVEMBRE","DICEMBRE"},0)</f>
        <v>5</v>
      </c>
      <c r="E1167" s="57" t="str">
        <f t="shared" si="1210"/>
        <v>MAGGIO 2024</v>
      </c>
      <c r="F1167" s="57" t="str">
        <f t="shared" si="1211"/>
        <v>5 MAGGIO 2024</v>
      </c>
      <c r="G1167" s="59">
        <v>10</v>
      </c>
      <c r="H1167" s="1338" t="s">
        <v>93</v>
      </c>
      <c r="I1167" s="960"/>
      <c r="J1167" s="59"/>
      <c r="K1167" s="59" t="s">
        <v>144</v>
      </c>
    </row>
    <row r="1168" spans="1:11" ht="16.5" customHeight="1" x14ac:dyDescent="0.25">
      <c r="A1168" s="57" t="s">
        <v>145</v>
      </c>
      <c r="B1168" s="57" t="s">
        <v>143</v>
      </c>
      <c r="C1168" s="57">
        <v>2024</v>
      </c>
      <c r="D1168" s="58">
        <f>MATCH(B1168,{"GENNAIO","FEBBRAIO","MARZO","APRILE","MAGGIO","GIUGNO","LUGLIO","AGOSTO","SETTEMBRE","OTTOBRE","NOVEMBRE","DICEMBRE"},0)</f>
        <v>5</v>
      </c>
      <c r="E1168" s="57" t="str">
        <f t="shared" si="1210"/>
        <v>MAGGIO 2024</v>
      </c>
      <c r="F1168" s="57" t="str">
        <f t="shared" si="1211"/>
        <v>5 MAGGIO 2024</v>
      </c>
      <c r="G1168" s="59">
        <v>27.8</v>
      </c>
      <c r="H1168" s="1338" t="s">
        <v>69</v>
      </c>
      <c r="I1168" s="960"/>
      <c r="J1168" s="59"/>
      <c r="K1168" s="59"/>
    </row>
    <row r="1169" spans="1:11" ht="16.5" customHeight="1" x14ac:dyDescent="0.25">
      <c r="A1169" s="57" t="s">
        <v>79</v>
      </c>
      <c r="B1169" s="57" t="s">
        <v>143</v>
      </c>
      <c r="C1169" s="57">
        <v>2024</v>
      </c>
      <c r="D1169" s="58">
        <f>MATCH(B1169,{"GENNAIO","FEBBRAIO","MARZO","APRILE","MAGGIO","GIUGNO","LUGLIO","AGOSTO","SETTEMBRE","OTTOBRE","NOVEMBRE","DICEMBRE"},0)</f>
        <v>5</v>
      </c>
      <c r="E1169" s="57" t="str">
        <f t="shared" si="1210"/>
        <v>MAGGIO 2024</v>
      </c>
      <c r="F1169" s="57" t="str">
        <f t="shared" si="1211"/>
        <v>5 MAGGIO 2024</v>
      </c>
      <c r="G1169" s="59">
        <v>15.8</v>
      </c>
      <c r="H1169" s="1338" t="s">
        <v>81</v>
      </c>
      <c r="I1169" s="960"/>
      <c r="J1169" s="59"/>
      <c r="K1169" s="59"/>
    </row>
    <row r="1170" spans="1:11" ht="18.600000000000001" customHeight="1" x14ac:dyDescent="0.25">
      <c r="A1170" s="57" t="s">
        <v>67</v>
      </c>
      <c r="B1170" s="57" t="s">
        <v>143</v>
      </c>
      <c r="C1170" s="57">
        <v>2024</v>
      </c>
      <c r="D1170" s="58">
        <f>MATCH(B1170,{"GENNAIO","FEBBRAIO","MARZO","APRILE","MAGGIO","GIUGNO","LUGLIO","AGOSTO","SETTEMBRE","OTTOBRE","NOVEMBRE","DICEMBRE"},0)</f>
        <v>5</v>
      </c>
      <c r="E1170" s="57" t="str">
        <f t="shared" si="1210"/>
        <v>MAGGIO 2024</v>
      </c>
      <c r="F1170" s="57" t="str">
        <f t="shared" si="1211"/>
        <v>5 MAGGIO 2024</v>
      </c>
      <c r="G1170" s="59">
        <v>2.6</v>
      </c>
      <c r="H1170" s="1338" t="s">
        <v>69</v>
      </c>
      <c r="I1170" s="960"/>
      <c r="J1170" s="59"/>
      <c r="K1170" s="59"/>
    </row>
    <row r="1171" spans="1:11" ht="16.5" customHeight="1" x14ac:dyDescent="0.25">
      <c r="A1171" s="57" t="s">
        <v>121</v>
      </c>
      <c r="B1171" s="57" t="s">
        <v>143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si="1210"/>
        <v>MAGGIO 2024</v>
      </c>
      <c r="F1171" s="57" t="str">
        <f t="shared" si="1211"/>
        <v>5 MAGGIO 2024</v>
      </c>
      <c r="G1171" s="59">
        <v>0.4</v>
      </c>
      <c r="H1171" s="1338" t="s">
        <v>777</v>
      </c>
      <c r="I1171" s="960"/>
      <c r="J1171" s="59"/>
      <c r="K1171" s="59"/>
    </row>
    <row r="1172" spans="1:11" ht="18.600000000000001" customHeight="1" x14ac:dyDescent="0.25">
      <c r="A1172" s="57" t="s">
        <v>121</v>
      </c>
      <c r="B1172" s="57" t="s">
        <v>143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210"/>
        <v>MAGGIO 2024</v>
      </c>
      <c r="F1172" s="57" t="str">
        <f t="shared" si="1211"/>
        <v>5 MAGGIO 2024</v>
      </c>
      <c r="G1172" s="59">
        <v>0.4</v>
      </c>
      <c r="H1172" s="1338" t="s">
        <v>777</v>
      </c>
      <c r="I1172" s="960"/>
      <c r="J1172" s="59"/>
      <c r="K1172" s="59"/>
    </row>
    <row r="1173" spans="1:11" ht="16.5" customHeight="1" x14ac:dyDescent="0.25">
      <c r="A1173" s="57" t="s">
        <v>146</v>
      </c>
      <c r="B1173" s="57" t="s">
        <v>143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210"/>
        <v>MAGGIO 2024</v>
      </c>
      <c r="F1173" s="57" t="str">
        <f t="shared" si="1211"/>
        <v>5 MAGGIO 2024</v>
      </c>
      <c r="G1173" s="59">
        <v>8.6300000000000008</v>
      </c>
      <c r="H1173" s="1338" t="s">
        <v>93</v>
      </c>
      <c r="I1173" s="960"/>
      <c r="J1173" s="59"/>
      <c r="K1173" s="59" t="s">
        <v>147</v>
      </c>
    </row>
    <row r="1174" spans="1:11" x14ac:dyDescent="0.25">
      <c r="A1174" s="57" t="s">
        <v>121</v>
      </c>
      <c r="B1174" s="57" t="s">
        <v>143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210"/>
        <v>MAGGIO 2024</v>
      </c>
      <c r="F1174" s="57" t="str">
        <f t="shared" si="1211"/>
        <v>5 MAGGIO 2024</v>
      </c>
      <c r="G1174" s="59">
        <v>0.4</v>
      </c>
      <c r="H1174" s="1338" t="s">
        <v>777</v>
      </c>
      <c r="I1174" s="960"/>
      <c r="J1174" s="59"/>
      <c r="K1174" s="59"/>
    </row>
    <row r="1175" spans="1:11" ht="16.5" customHeight="1" x14ac:dyDescent="0.25">
      <c r="A1175" s="57" t="s">
        <v>148</v>
      </c>
      <c r="B1175" s="57" t="s">
        <v>143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210"/>
        <v>MAGGIO 2024</v>
      </c>
      <c r="F1175" s="57" t="str">
        <f t="shared" si="1211"/>
        <v>5 MAGGIO 2024</v>
      </c>
      <c r="G1175" s="59">
        <v>6.4</v>
      </c>
      <c r="H1175" s="1338" t="s">
        <v>69</v>
      </c>
      <c r="I1175" s="960"/>
      <c r="J1175" s="59"/>
      <c r="K1175" s="59"/>
    </row>
    <row r="1176" spans="1:11" ht="16.5" customHeight="1" x14ac:dyDescent="0.25">
      <c r="A1176" s="57" t="s">
        <v>108</v>
      </c>
      <c r="B1176" s="57" t="s">
        <v>143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210"/>
        <v>MAGGIO 2024</v>
      </c>
      <c r="F1176" s="57" t="str">
        <f t="shared" si="1211"/>
        <v>5 MAGGIO 2024</v>
      </c>
      <c r="G1176" s="59">
        <v>14.99</v>
      </c>
      <c r="H1176" s="1338" t="s">
        <v>75</v>
      </c>
      <c r="I1176" s="960" t="s">
        <v>989</v>
      </c>
      <c r="J1176" s="57" t="s">
        <v>108</v>
      </c>
      <c r="K1176" s="59" t="s">
        <v>1038</v>
      </c>
    </row>
    <row r="1177" spans="1:11" ht="16.5" customHeight="1" x14ac:dyDescent="0.25">
      <c r="A1177" s="57" t="s">
        <v>67</v>
      </c>
      <c r="B1177" s="57" t="s">
        <v>143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210"/>
        <v>MAGGIO 2024</v>
      </c>
      <c r="F1177" s="57" t="str">
        <f t="shared" si="1211"/>
        <v>5 MAGGIO 2024</v>
      </c>
      <c r="G1177" s="59">
        <v>5</v>
      </c>
      <c r="H1177" s="1338" t="s">
        <v>776</v>
      </c>
      <c r="I1177" s="960"/>
      <c r="J1177" s="59"/>
      <c r="K1177" s="59"/>
    </row>
    <row r="1178" spans="1:11" x14ac:dyDescent="0.25">
      <c r="A1178" s="57" t="s">
        <v>121</v>
      </c>
      <c r="B1178" s="57" t="s">
        <v>143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ref="E1178:E1241" si="1212">CONCATENATE(,B1178," ",C1178)</f>
        <v>MAGGIO 2024</v>
      </c>
      <c r="F1178" s="57" t="str">
        <f t="shared" ref="F1178:F1241" si="1213">CONCATENATE(D1178," ",E1178)</f>
        <v>5 MAGGIO 2024</v>
      </c>
      <c r="G1178" s="59">
        <v>0.4</v>
      </c>
      <c r="H1178" s="1338" t="s">
        <v>777</v>
      </c>
      <c r="I1178" s="960"/>
      <c r="J1178" s="59"/>
      <c r="K1178" s="59"/>
    </row>
    <row r="1179" spans="1:11" ht="18.600000000000001" customHeight="1" x14ac:dyDescent="0.25">
      <c r="A1179" s="57" t="s">
        <v>121</v>
      </c>
      <c r="B1179" s="57" t="s">
        <v>143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212"/>
        <v>MAGGIO 2024</v>
      </c>
      <c r="F1179" s="57" t="str">
        <f t="shared" si="1213"/>
        <v>5 MAGGIO 2024</v>
      </c>
      <c r="G1179" s="59">
        <v>0.4</v>
      </c>
      <c r="H1179" s="1338" t="s">
        <v>777</v>
      </c>
      <c r="I1179" s="960"/>
      <c r="J1179" s="59"/>
      <c r="K1179" s="59"/>
    </row>
    <row r="1180" spans="1:11" ht="18.600000000000001" customHeight="1" x14ac:dyDescent="0.25">
      <c r="A1180" s="57" t="s">
        <v>121</v>
      </c>
      <c r="B1180" s="57" t="s">
        <v>143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si="1212"/>
        <v>MAGGIO 2024</v>
      </c>
      <c r="F1180" s="57" t="str">
        <f t="shared" si="1213"/>
        <v>5 MAGGIO 2024</v>
      </c>
      <c r="G1180" s="59">
        <v>0.4</v>
      </c>
      <c r="H1180" s="1338" t="s">
        <v>777</v>
      </c>
      <c r="I1180" s="960"/>
      <c r="J1180" s="59"/>
      <c r="K1180" s="59"/>
    </row>
    <row r="1181" spans="1:11" x14ac:dyDescent="0.25">
      <c r="A1181" s="57" t="s">
        <v>149</v>
      </c>
      <c r="B1181" s="57" t="s">
        <v>143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212"/>
        <v>MAGGIO 2024</v>
      </c>
      <c r="F1181" s="57" t="str">
        <f t="shared" si="1213"/>
        <v>5 MAGGIO 2024</v>
      </c>
      <c r="G1181" s="59">
        <v>3.89</v>
      </c>
      <c r="H1181" s="1338" t="s">
        <v>69</v>
      </c>
      <c r="I1181" s="960"/>
      <c r="J1181" s="59"/>
      <c r="K1181" s="59"/>
    </row>
    <row r="1182" spans="1:11" ht="18.600000000000001" customHeight="1" x14ac:dyDescent="0.25">
      <c r="A1182" s="57" t="s">
        <v>122</v>
      </c>
      <c r="B1182" s="57" t="s">
        <v>143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212"/>
        <v>MAGGIO 2024</v>
      </c>
      <c r="F1182" s="57" t="str">
        <f t="shared" si="1213"/>
        <v>5 MAGGIO 2024</v>
      </c>
      <c r="G1182" s="59">
        <v>3.4</v>
      </c>
      <c r="H1182" s="1338" t="s">
        <v>77</v>
      </c>
      <c r="I1182" s="960"/>
      <c r="J1182" s="59"/>
      <c r="K1182" s="59"/>
    </row>
    <row r="1183" spans="1:11" x14ac:dyDescent="0.25">
      <c r="A1183" s="57" t="s">
        <v>76</v>
      </c>
      <c r="B1183" s="57" t="s">
        <v>143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212"/>
        <v>MAGGIO 2024</v>
      </c>
      <c r="F1183" s="57" t="str">
        <f t="shared" si="1213"/>
        <v>5 MAGGIO 2024</v>
      </c>
      <c r="G1183" s="59">
        <v>14.74</v>
      </c>
      <c r="H1183" s="1338" t="s">
        <v>77</v>
      </c>
      <c r="I1183" s="960"/>
      <c r="J1183" s="59"/>
      <c r="K1183" s="59"/>
    </row>
    <row r="1184" spans="1:11" ht="18.600000000000001" customHeight="1" x14ac:dyDescent="0.25">
      <c r="A1184" s="57" t="s">
        <v>150</v>
      </c>
      <c r="B1184" s="57" t="s">
        <v>143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212"/>
        <v>MAGGIO 2024</v>
      </c>
      <c r="F1184" s="57" t="str">
        <f t="shared" si="1213"/>
        <v>5 MAGGIO 2024</v>
      </c>
      <c r="G1184" s="59">
        <v>16.7</v>
      </c>
      <c r="H1184" s="1338" t="s">
        <v>69</v>
      </c>
      <c r="I1184" s="960"/>
      <c r="J1184" s="59"/>
      <c r="K1184" s="59"/>
    </row>
    <row r="1185" spans="1:11" ht="16.5" customHeight="1" x14ac:dyDescent="0.25">
      <c r="A1185" s="57" t="s">
        <v>78</v>
      </c>
      <c r="B1185" s="57" t="s">
        <v>143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212"/>
        <v>MAGGIO 2024</v>
      </c>
      <c r="F1185" s="57" t="str">
        <f t="shared" si="1213"/>
        <v>5 MAGGIO 2024</v>
      </c>
      <c r="G1185" s="59">
        <v>15.18</v>
      </c>
      <c r="H1185" s="1338" t="s">
        <v>77</v>
      </c>
      <c r="I1185" s="960"/>
      <c r="J1185" s="59"/>
      <c r="K1185" s="59"/>
    </row>
    <row r="1186" spans="1:11" ht="16.5" customHeight="1" x14ac:dyDescent="0.25">
      <c r="A1186" s="57" t="s">
        <v>67</v>
      </c>
      <c r="B1186" s="57" t="s">
        <v>143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212"/>
        <v>MAGGIO 2024</v>
      </c>
      <c r="F1186" s="57" t="str">
        <f t="shared" si="1213"/>
        <v>5 MAGGIO 2024</v>
      </c>
      <c r="G1186" s="59">
        <v>5</v>
      </c>
      <c r="H1186" s="1338" t="s">
        <v>776</v>
      </c>
      <c r="I1186" s="960"/>
      <c r="J1186" s="59"/>
      <c r="K1186" s="59"/>
    </row>
    <row r="1187" spans="1:11" ht="16.5" customHeight="1" x14ac:dyDescent="0.25">
      <c r="A1187" s="57" t="s">
        <v>151</v>
      </c>
      <c r="B1187" s="57" t="s">
        <v>143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212"/>
        <v>MAGGIO 2024</v>
      </c>
      <c r="F1187" s="57" t="str">
        <f t="shared" si="1213"/>
        <v>5 MAGGIO 2024</v>
      </c>
      <c r="G1187" s="59">
        <v>9.99</v>
      </c>
      <c r="H1187" s="1338" t="s">
        <v>93</v>
      </c>
      <c r="I1187" s="960"/>
      <c r="J1187" s="59"/>
      <c r="K1187" s="59" t="s">
        <v>152</v>
      </c>
    </row>
    <row r="1188" spans="1:11" ht="16.5" customHeight="1" x14ac:dyDescent="0.25">
      <c r="A1188" s="57" t="s">
        <v>115</v>
      </c>
      <c r="B1188" s="57" t="s">
        <v>143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212"/>
        <v>MAGGIO 2024</v>
      </c>
      <c r="F1188" s="57" t="str">
        <f t="shared" si="1213"/>
        <v>5 MAGGIO 2024</v>
      </c>
      <c r="G1188" s="59">
        <v>0.62</v>
      </c>
      <c r="H1188" s="1338" t="s">
        <v>166</v>
      </c>
      <c r="I1188" s="960"/>
      <c r="J1188" s="59"/>
      <c r="K1188" s="59" t="s">
        <v>1055</v>
      </c>
    </row>
    <row r="1189" spans="1:11" ht="16.5" customHeight="1" x14ac:dyDescent="0.25">
      <c r="A1189" s="57" t="s">
        <v>115</v>
      </c>
      <c r="B1189" s="57" t="s">
        <v>143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212"/>
        <v>MAGGIO 2024</v>
      </c>
      <c r="F1189" s="57" t="str">
        <f t="shared" si="1213"/>
        <v>5 MAGGIO 2024</v>
      </c>
      <c r="G1189" s="59">
        <v>0.62</v>
      </c>
      <c r="H1189" s="1338" t="s">
        <v>166</v>
      </c>
      <c r="I1189" s="960"/>
      <c r="J1189" s="59"/>
      <c r="K1189" s="59" t="s">
        <v>1053</v>
      </c>
    </row>
    <row r="1190" spans="1:11" ht="18.600000000000001" customHeight="1" x14ac:dyDescent="0.25">
      <c r="A1190" s="57" t="s">
        <v>115</v>
      </c>
      <c r="B1190" s="57" t="s">
        <v>143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212"/>
        <v>MAGGIO 2024</v>
      </c>
      <c r="F1190" s="57" t="str">
        <f t="shared" si="1213"/>
        <v>5 MAGGIO 2024</v>
      </c>
      <c r="G1190" s="59">
        <v>11.5</v>
      </c>
      <c r="H1190" s="1338" t="s">
        <v>91</v>
      </c>
      <c r="I1190" s="960"/>
      <c r="J1190" s="59"/>
      <c r="K1190" s="59" t="s">
        <v>1052</v>
      </c>
    </row>
    <row r="1191" spans="1:11" x14ac:dyDescent="0.25">
      <c r="A1191" s="57" t="s">
        <v>115</v>
      </c>
      <c r="B1191" s="57" t="s">
        <v>143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212"/>
        <v>MAGGIO 2024</v>
      </c>
      <c r="F1191" s="57" t="str">
        <f t="shared" si="1213"/>
        <v>5 MAGGIO 2024</v>
      </c>
      <c r="G1191" s="59">
        <v>7.29</v>
      </c>
      <c r="H1191" s="1338" t="s">
        <v>69</v>
      </c>
      <c r="I1191" s="960"/>
      <c r="J1191" s="59"/>
      <c r="K1191" s="59"/>
    </row>
    <row r="1192" spans="1:11" ht="16.5" customHeight="1" x14ac:dyDescent="0.25">
      <c r="A1192" s="57" t="s">
        <v>121</v>
      </c>
      <c r="B1192" s="57" t="s">
        <v>143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212"/>
        <v>MAGGIO 2024</v>
      </c>
      <c r="F1192" s="57" t="str">
        <f t="shared" si="1213"/>
        <v>5 MAGGIO 2024</v>
      </c>
      <c r="G1192" s="59">
        <v>0.4</v>
      </c>
      <c r="H1192" s="1338" t="s">
        <v>777</v>
      </c>
      <c r="I1192" s="960"/>
      <c r="J1192" s="59"/>
      <c r="K1192" s="59"/>
    </row>
    <row r="1193" spans="1:11" x14ac:dyDescent="0.25">
      <c r="A1193" s="57" t="s">
        <v>79</v>
      </c>
      <c r="B1193" s="57" t="s">
        <v>143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212"/>
        <v>MAGGIO 2024</v>
      </c>
      <c r="F1193" s="57" t="str">
        <f t="shared" si="1213"/>
        <v>5 MAGGIO 2024</v>
      </c>
      <c r="G1193" s="59">
        <v>15.44</v>
      </c>
      <c r="H1193" s="1338" t="s">
        <v>81</v>
      </c>
      <c r="I1193" s="960"/>
      <c r="J1193" s="59"/>
      <c r="K1193" s="59"/>
    </row>
    <row r="1194" spans="1:11" x14ac:dyDescent="0.25">
      <c r="A1194" s="57" t="s">
        <v>67</v>
      </c>
      <c r="B1194" s="57" t="s">
        <v>143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212"/>
        <v>MAGGIO 2024</v>
      </c>
      <c r="F1194" s="57" t="str">
        <f t="shared" si="1213"/>
        <v>5 MAGGIO 2024</v>
      </c>
      <c r="G1194" s="59">
        <v>3.9</v>
      </c>
      <c r="H1194" s="1338" t="s">
        <v>69</v>
      </c>
      <c r="I1194" s="960"/>
      <c r="J1194" s="59"/>
      <c r="K1194" s="59"/>
    </row>
    <row r="1195" spans="1:11" ht="18.600000000000001" customHeight="1" x14ac:dyDescent="0.25">
      <c r="A1195" s="57" t="s">
        <v>153</v>
      </c>
      <c r="B1195" s="57" t="s">
        <v>143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212"/>
        <v>MAGGIO 2024</v>
      </c>
      <c r="F1195" s="57" t="str">
        <f t="shared" si="1213"/>
        <v>5 MAGGIO 2024</v>
      </c>
      <c r="G1195" s="59">
        <v>46</v>
      </c>
      <c r="H1195" s="1338" t="s">
        <v>69</v>
      </c>
      <c r="I1195" s="960"/>
      <c r="J1195" s="59"/>
      <c r="K1195" s="59"/>
    </row>
    <row r="1196" spans="1:11" ht="16.5" customHeight="1" x14ac:dyDescent="0.25">
      <c r="A1196" s="57" t="s">
        <v>67</v>
      </c>
      <c r="B1196" s="57" t="s">
        <v>143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212"/>
        <v>MAGGIO 2024</v>
      </c>
      <c r="F1196" s="57" t="str">
        <f t="shared" si="1213"/>
        <v>5 MAGGIO 2024</v>
      </c>
      <c r="G1196" s="59">
        <v>5</v>
      </c>
      <c r="H1196" s="1338" t="s">
        <v>776</v>
      </c>
      <c r="I1196" s="960"/>
      <c r="J1196" s="59"/>
      <c r="K1196" s="59"/>
    </row>
    <row r="1197" spans="1:11" ht="18.600000000000001" customHeight="1" x14ac:dyDescent="0.25">
      <c r="A1197" s="57" t="s">
        <v>154</v>
      </c>
      <c r="B1197" s="57" t="s">
        <v>143</v>
      </c>
      <c r="C1197" s="57">
        <v>2024</v>
      </c>
      <c r="D1197" s="58">
        <f>MATCH(B1197,{"GENNAIO","FEBBRAIO","MARZO","APRILE","MAGGIO","GIUGNO","LUGLIO","AGOSTO","SETTEMBRE","OTTOBRE","NOVEMBRE","DICEMBRE"},0)</f>
        <v>5</v>
      </c>
      <c r="E1197" s="57" t="str">
        <f t="shared" si="1212"/>
        <v>MAGGIO 2024</v>
      </c>
      <c r="F1197" s="57" t="str">
        <f t="shared" si="1213"/>
        <v>5 MAGGIO 2024</v>
      </c>
      <c r="G1197" s="59">
        <v>20</v>
      </c>
      <c r="H1197" s="1338" t="s">
        <v>93</v>
      </c>
      <c r="I1197" s="960"/>
      <c r="J1197" s="59"/>
      <c r="K1197" s="59" t="s">
        <v>156</v>
      </c>
    </row>
    <row r="1198" spans="1:11" x14ac:dyDescent="0.25">
      <c r="A1198" s="57" t="s">
        <v>79</v>
      </c>
      <c r="B1198" s="57" t="s">
        <v>143</v>
      </c>
      <c r="C1198" s="57">
        <v>2024</v>
      </c>
      <c r="D1198" s="58">
        <f>MATCH(B1198,{"GENNAIO","FEBBRAIO","MARZO","APRILE","MAGGIO","GIUGNO","LUGLIO","AGOSTO","SETTEMBRE","OTTOBRE","NOVEMBRE","DICEMBRE"},0)</f>
        <v>5</v>
      </c>
      <c r="E1198" s="57" t="str">
        <f t="shared" si="1212"/>
        <v>MAGGIO 2024</v>
      </c>
      <c r="F1198" s="57" t="str">
        <f t="shared" si="1213"/>
        <v>5 MAGGIO 2024</v>
      </c>
      <c r="G1198" s="59">
        <v>22.02</v>
      </c>
      <c r="H1198" s="1338" t="s">
        <v>81</v>
      </c>
      <c r="I1198" s="960"/>
      <c r="J1198" s="59"/>
      <c r="K1198" s="59"/>
    </row>
    <row r="1199" spans="1:11" x14ac:dyDescent="0.25">
      <c r="A1199" s="57" t="s">
        <v>121</v>
      </c>
      <c r="B1199" s="57" t="s">
        <v>143</v>
      </c>
      <c r="C1199" s="57">
        <v>2024</v>
      </c>
      <c r="D1199" s="58">
        <f>MATCH(B1199,{"GENNAIO","FEBBRAIO","MARZO","APRILE","MAGGIO","GIUGNO","LUGLIO","AGOSTO","SETTEMBRE","OTTOBRE","NOVEMBRE","DICEMBRE"},0)</f>
        <v>5</v>
      </c>
      <c r="E1199" s="57" t="str">
        <f t="shared" si="1212"/>
        <v>MAGGIO 2024</v>
      </c>
      <c r="F1199" s="57" t="str">
        <f t="shared" si="1213"/>
        <v>5 MAGGIO 2024</v>
      </c>
      <c r="G1199" s="59">
        <v>0.4</v>
      </c>
      <c r="H1199" s="1338" t="s">
        <v>777</v>
      </c>
      <c r="I1199" s="960"/>
      <c r="J1199" s="59"/>
      <c r="K1199" s="59"/>
    </row>
    <row r="1200" spans="1:11" ht="16.5" customHeight="1" x14ac:dyDescent="0.25">
      <c r="A1200" s="57" t="s">
        <v>122</v>
      </c>
      <c r="B1200" s="57" t="s">
        <v>143</v>
      </c>
      <c r="C1200" s="57">
        <v>2024</v>
      </c>
      <c r="D1200" s="58">
        <f>MATCH(B1200,{"GENNAIO","FEBBRAIO","MARZO","APRILE","MAGGIO","GIUGNO","LUGLIO","AGOSTO","SETTEMBRE","OTTOBRE","NOVEMBRE","DICEMBRE"},0)</f>
        <v>5</v>
      </c>
      <c r="E1200" s="57" t="str">
        <f t="shared" si="1212"/>
        <v>MAGGIO 2024</v>
      </c>
      <c r="F1200" s="57" t="str">
        <f t="shared" si="1213"/>
        <v>5 MAGGIO 2024</v>
      </c>
      <c r="G1200" s="59">
        <v>5.19</v>
      </c>
      <c r="H1200" s="1338" t="s">
        <v>77</v>
      </c>
      <c r="I1200" s="960"/>
      <c r="J1200" s="59"/>
      <c r="K1200" s="59"/>
    </row>
    <row r="1201" spans="1:11" ht="16.5" customHeight="1" x14ac:dyDescent="0.25">
      <c r="A1201" s="57" t="s">
        <v>67</v>
      </c>
      <c r="B1201" s="57" t="s">
        <v>143</v>
      </c>
      <c r="C1201" s="57">
        <v>2024</v>
      </c>
      <c r="D1201" s="58">
        <f>MATCH(B1201,{"GENNAIO","FEBBRAIO","MARZO","APRILE","MAGGIO","GIUGNO","LUGLIO","AGOSTO","SETTEMBRE","OTTOBRE","NOVEMBRE","DICEMBRE"},0)</f>
        <v>5</v>
      </c>
      <c r="E1201" s="57" t="str">
        <f t="shared" si="1212"/>
        <v>MAGGIO 2024</v>
      </c>
      <c r="F1201" s="57" t="str">
        <f t="shared" si="1213"/>
        <v>5 MAGGIO 2024</v>
      </c>
      <c r="G1201" s="59">
        <v>2.6</v>
      </c>
      <c r="H1201" s="1338" t="s">
        <v>69</v>
      </c>
      <c r="I1201" s="960"/>
      <c r="J1201" s="59"/>
      <c r="K1201" s="59"/>
    </row>
    <row r="1202" spans="1:11" ht="16.5" customHeight="1" x14ac:dyDescent="0.25">
      <c r="A1202" s="57" t="s">
        <v>83</v>
      </c>
      <c r="B1202" s="57" t="s">
        <v>143</v>
      </c>
      <c r="C1202" s="57">
        <v>2024</v>
      </c>
      <c r="D1202" s="58">
        <f>MATCH(B1202,{"GENNAIO","FEBBRAIO","MARZO","APRILE","MAGGIO","GIUGNO","LUGLIO","AGOSTO","SETTEMBRE","OTTOBRE","NOVEMBRE","DICEMBRE"},0)</f>
        <v>5</v>
      </c>
      <c r="E1202" s="57" t="str">
        <f t="shared" si="1212"/>
        <v>MAGGIO 2024</v>
      </c>
      <c r="F1202" s="57" t="str">
        <f t="shared" si="1213"/>
        <v>5 MAGGIO 2024</v>
      </c>
      <c r="G1202" s="59">
        <v>14.7</v>
      </c>
      <c r="H1202" s="1338" t="s">
        <v>77</v>
      </c>
      <c r="I1202" s="960"/>
      <c r="J1202" s="59"/>
      <c r="K1202" s="59"/>
    </row>
    <row r="1203" spans="1:11" x14ac:dyDescent="0.25">
      <c r="A1203" s="57" t="s">
        <v>157</v>
      </c>
      <c r="B1203" s="57" t="s">
        <v>143</v>
      </c>
      <c r="C1203" s="57">
        <v>2024</v>
      </c>
      <c r="D1203" s="58">
        <f>MATCH(B1203,{"GENNAIO","FEBBRAIO","MARZO","APRILE","MAGGIO","GIUGNO","LUGLIO","AGOSTO","SETTEMBRE","OTTOBRE","NOVEMBRE","DICEMBRE"},0)</f>
        <v>5</v>
      </c>
      <c r="E1203" s="57" t="str">
        <f t="shared" si="1212"/>
        <v>MAGGIO 2024</v>
      </c>
      <c r="F1203" s="57" t="str">
        <f t="shared" si="1213"/>
        <v>5 MAGGIO 2024</v>
      </c>
      <c r="G1203" s="59">
        <v>38.9</v>
      </c>
      <c r="H1203" s="1338" t="s">
        <v>77</v>
      </c>
      <c r="I1203" s="960"/>
      <c r="J1203" s="59"/>
      <c r="K1203" s="59"/>
    </row>
    <row r="1204" spans="1:11" ht="18.600000000000001" customHeight="1" x14ac:dyDescent="0.25">
      <c r="A1204" s="57" t="s">
        <v>158</v>
      </c>
      <c r="B1204" s="57" t="s">
        <v>143</v>
      </c>
      <c r="C1204" s="57">
        <v>2024</v>
      </c>
      <c r="D1204" s="58">
        <f>MATCH(B1204,{"GENNAIO","FEBBRAIO","MARZO","APRILE","MAGGIO","GIUGNO","LUGLIO","AGOSTO","SETTEMBRE","OTTOBRE","NOVEMBRE","DICEMBRE"},0)</f>
        <v>5</v>
      </c>
      <c r="E1204" s="57" t="str">
        <f t="shared" si="1212"/>
        <v>MAGGIO 2024</v>
      </c>
      <c r="F1204" s="57" t="str">
        <f t="shared" si="1213"/>
        <v>5 MAGGIO 2024</v>
      </c>
      <c r="G1204" s="59">
        <v>7.5</v>
      </c>
      <c r="H1204" s="1338" t="s">
        <v>69</v>
      </c>
      <c r="I1204" s="960"/>
      <c r="J1204" s="59"/>
      <c r="K1204" s="59"/>
    </row>
    <row r="1205" spans="1:11" x14ac:dyDescent="0.25">
      <c r="A1205" s="57" t="s">
        <v>121</v>
      </c>
      <c r="B1205" s="57" t="s">
        <v>143</v>
      </c>
      <c r="C1205" s="57">
        <v>2024</v>
      </c>
      <c r="D1205" s="58">
        <f>MATCH(B1205,{"GENNAIO","FEBBRAIO","MARZO","APRILE","MAGGIO","GIUGNO","LUGLIO","AGOSTO","SETTEMBRE","OTTOBRE","NOVEMBRE","DICEMBRE"},0)</f>
        <v>5</v>
      </c>
      <c r="E1205" s="57" t="str">
        <f t="shared" si="1212"/>
        <v>MAGGIO 2024</v>
      </c>
      <c r="F1205" s="57" t="str">
        <f t="shared" si="1213"/>
        <v>5 MAGGIO 2024</v>
      </c>
      <c r="G1205" s="59">
        <v>0.4</v>
      </c>
      <c r="H1205" s="1338" t="s">
        <v>777</v>
      </c>
      <c r="I1205" s="960"/>
      <c r="J1205" s="59"/>
      <c r="K1205" s="59"/>
    </row>
    <row r="1206" spans="1:11" x14ac:dyDescent="0.25">
      <c r="A1206" s="57" t="s">
        <v>67</v>
      </c>
      <c r="B1206" s="57" t="s">
        <v>159</v>
      </c>
      <c r="C1206" s="57">
        <v>2024</v>
      </c>
      <c r="D1206" s="58">
        <f>MATCH(B1206,{"GENNAIO","FEBBRAIO","MARZO","APRILE","MAGGIO","GIUGNO","LUGLIO","AGOSTO","SETTEMBRE","OTTOBRE","NOVEMBRE","DICEMBRE"},0)</f>
        <v>4</v>
      </c>
      <c r="E1206" s="57" t="str">
        <f t="shared" si="1212"/>
        <v>APRILE 2024</v>
      </c>
      <c r="F1206" s="57" t="str">
        <f t="shared" si="1213"/>
        <v>4 APRILE 2024</v>
      </c>
      <c r="G1206" s="59">
        <v>5</v>
      </c>
      <c r="H1206" s="1338" t="s">
        <v>776</v>
      </c>
      <c r="I1206" s="960"/>
      <c r="J1206" s="59"/>
      <c r="K1206" s="59"/>
    </row>
    <row r="1207" spans="1:11" ht="18.600000000000001" customHeight="1" x14ac:dyDescent="0.25">
      <c r="A1207" s="57" t="s">
        <v>76</v>
      </c>
      <c r="B1207" s="57" t="s">
        <v>159</v>
      </c>
      <c r="C1207" s="57">
        <v>2024</v>
      </c>
      <c r="D1207" s="58">
        <f>MATCH(B1207,{"GENNAIO","FEBBRAIO","MARZO","APRILE","MAGGIO","GIUGNO","LUGLIO","AGOSTO","SETTEMBRE","OTTOBRE","NOVEMBRE","DICEMBRE"},0)</f>
        <v>4</v>
      </c>
      <c r="E1207" s="57" t="str">
        <f t="shared" si="1212"/>
        <v>APRILE 2024</v>
      </c>
      <c r="F1207" s="57" t="str">
        <f t="shared" si="1213"/>
        <v>4 APRILE 2024</v>
      </c>
      <c r="G1207" s="59">
        <v>8.44</v>
      </c>
      <c r="H1207" s="1338" t="s">
        <v>77</v>
      </c>
      <c r="I1207" s="960"/>
      <c r="J1207" s="59"/>
      <c r="K1207" s="59"/>
    </row>
    <row r="1208" spans="1:11" ht="16.5" customHeight="1" x14ac:dyDescent="0.25">
      <c r="A1208" s="57" t="s">
        <v>83</v>
      </c>
      <c r="B1208" s="57" t="s">
        <v>159</v>
      </c>
      <c r="C1208" s="57">
        <v>2024</v>
      </c>
      <c r="D1208" s="58">
        <f>MATCH(B1208,{"GENNAIO","FEBBRAIO","MARZO","APRILE","MAGGIO","GIUGNO","LUGLIO","AGOSTO","SETTEMBRE","OTTOBRE","NOVEMBRE","DICEMBRE"},0)</f>
        <v>4</v>
      </c>
      <c r="E1208" s="57" t="str">
        <f t="shared" si="1212"/>
        <v>APRILE 2024</v>
      </c>
      <c r="F1208" s="57" t="str">
        <f t="shared" si="1213"/>
        <v>4 APRILE 2024</v>
      </c>
      <c r="G1208" s="59">
        <v>15.36</v>
      </c>
      <c r="H1208" s="1338" t="s">
        <v>77</v>
      </c>
      <c r="I1208" s="960"/>
      <c r="J1208" s="59"/>
      <c r="K1208" s="59"/>
    </row>
    <row r="1209" spans="1:11" ht="16.5" customHeight="1" x14ac:dyDescent="0.25">
      <c r="A1209" s="57" t="s">
        <v>67</v>
      </c>
      <c r="B1209" s="57" t="s">
        <v>159</v>
      </c>
      <c r="C1209" s="57">
        <v>2024</v>
      </c>
      <c r="D1209" s="58">
        <f>MATCH(B1209,{"GENNAIO","FEBBRAIO","MARZO","APRILE","MAGGIO","GIUGNO","LUGLIO","AGOSTO","SETTEMBRE","OTTOBRE","NOVEMBRE","DICEMBRE"},0)</f>
        <v>4</v>
      </c>
      <c r="E1209" s="57" t="str">
        <f t="shared" si="1212"/>
        <v>APRILE 2024</v>
      </c>
      <c r="F1209" s="57" t="str">
        <f t="shared" si="1213"/>
        <v>4 APRILE 2024</v>
      </c>
      <c r="G1209" s="59">
        <v>5</v>
      </c>
      <c r="H1209" s="1338" t="s">
        <v>776</v>
      </c>
      <c r="I1209" s="960"/>
      <c r="J1209" s="59"/>
      <c r="K1209" s="59"/>
    </row>
    <row r="1210" spans="1:11" ht="16.5" customHeight="1" x14ac:dyDescent="0.25">
      <c r="A1210" s="57" t="s">
        <v>79</v>
      </c>
      <c r="B1210" s="57" t="s">
        <v>159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212"/>
        <v>APRILE 2024</v>
      </c>
      <c r="F1210" s="57" t="str">
        <f t="shared" si="1213"/>
        <v>4 APRILE 2024</v>
      </c>
      <c r="G1210" s="59">
        <v>7.69</v>
      </c>
      <c r="H1210" s="1338" t="s">
        <v>81</v>
      </c>
      <c r="I1210" s="960"/>
      <c r="J1210" s="59"/>
      <c r="K1210" s="59"/>
    </row>
    <row r="1211" spans="1:11" ht="16.5" customHeight="1" x14ac:dyDescent="0.25">
      <c r="A1211" s="57" t="s">
        <v>121</v>
      </c>
      <c r="B1211" s="57" t="s">
        <v>159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212"/>
        <v>APRILE 2024</v>
      </c>
      <c r="F1211" s="57" t="str">
        <f t="shared" si="1213"/>
        <v>4 APRILE 2024</v>
      </c>
      <c r="G1211" s="59">
        <v>0.4</v>
      </c>
      <c r="H1211" s="1338" t="s">
        <v>777</v>
      </c>
      <c r="I1211" s="960"/>
      <c r="J1211" s="59"/>
      <c r="K1211" s="59"/>
    </row>
    <row r="1212" spans="1:11" ht="16.5" customHeight="1" x14ac:dyDescent="0.25">
      <c r="A1212" s="57" t="s">
        <v>110</v>
      </c>
      <c r="B1212" s="57" t="s">
        <v>159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212"/>
        <v>APRILE 2024</v>
      </c>
      <c r="F1212" s="57" t="str">
        <f t="shared" si="1213"/>
        <v>4 APRILE 2024</v>
      </c>
      <c r="G1212" s="59">
        <v>254</v>
      </c>
      <c r="H1212" s="1338" t="s">
        <v>772</v>
      </c>
      <c r="I1212" s="960"/>
      <c r="J1212" s="59"/>
      <c r="K1212" s="59" t="s">
        <v>160</v>
      </c>
    </row>
    <row r="1213" spans="1:11" ht="16.5" customHeight="1" x14ac:dyDescent="0.25">
      <c r="A1213" s="57" t="s">
        <v>121</v>
      </c>
      <c r="B1213" s="57" t="s">
        <v>159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212"/>
        <v>APRILE 2024</v>
      </c>
      <c r="F1213" s="57" t="str">
        <f t="shared" si="1213"/>
        <v>4 APRILE 2024</v>
      </c>
      <c r="G1213" s="59">
        <v>0.4</v>
      </c>
      <c r="H1213" s="1338" t="s">
        <v>777</v>
      </c>
      <c r="I1213" s="960"/>
      <c r="J1213" s="59"/>
      <c r="K1213" s="59"/>
    </row>
    <row r="1214" spans="1:11" ht="16.5" customHeight="1" x14ac:dyDescent="0.25">
      <c r="A1214" s="57" t="s">
        <v>121</v>
      </c>
      <c r="B1214" s="57" t="s">
        <v>159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212"/>
        <v>APRILE 2024</v>
      </c>
      <c r="F1214" s="57" t="str">
        <f t="shared" si="1213"/>
        <v>4 APRILE 2024</v>
      </c>
      <c r="G1214" s="59">
        <v>0.4</v>
      </c>
      <c r="H1214" s="1338" t="s">
        <v>777</v>
      </c>
      <c r="I1214" s="960"/>
      <c r="J1214" s="59"/>
      <c r="K1214" s="59"/>
    </row>
    <row r="1215" spans="1:11" ht="16.5" customHeight="1" x14ac:dyDescent="0.25">
      <c r="A1215" s="57" t="s">
        <v>121</v>
      </c>
      <c r="B1215" s="57" t="s">
        <v>159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212"/>
        <v>APRILE 2024</v>
      </c>
      <c r="F1215" s="57" t="str">
        <f t="shared" si="1213"/>
        <v>4 APRILE 2024</v>
      </c>
      <c r="G1215" s="59">
        <v>0.4</v>
      </c>
      <c r="H1215" s="1338" t="s">
        <v>777</v>
      </c>
      <c r="I1215" s="960"/>
      <c r="J1215" s="59"/>
      <c r="K1215" s="59"/>
    </row>
    <row r="1216" spans="1:11" ht="16.5" customHeight="1" x14ac:dyDescent="0.25">
      <c r="A1216" s="57" t="s">
        <v>121</v>
      </c>
      <c r="B1216" s="57" t="s">
        <v>159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212"/>
        <v>APRILE 2024</v>
      </c>
      <c r="F1216" s="57" t="str">
        <f t="shared" si="1213"/>
        <v>4 APRILE 2024</v>
      </c>
      <c r="G1216" s="59">
        <v>0.4</v>
      </c>
      <c r="H1216" s="1338" t="s">
        <v>777</v>
      </c>
      <c r="I1216" s="960"/>
      <c r="J1216" s="59"/>
      <c r="K1216" s="59"/>
    </row>
    <row r="1217" spans="1:11" ht="16.5" customHeight="1" x14ac:dyDescent="0.25">
      <c r="A1217" s="57" t="s">
        <v>121</v>
      </c>
      <c r="B1217" s="57" t="s">
        <v>159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212"/>
        <v>APRILE 2024</v>
      </c>
      <c r="F1217" s="57" t="str">
        <f t="shared" si="1213"/>
        <v>4 APRILE 2024</v>
      </c>
      <c r="G1217" s="59">
        <v>0.4</v>
      </c>
      <c r="H1217" s="1338" t="s">
        <v>777</v>
      </c>
      <c r="I1217" s="960"/>
      <c r="J1217" s="59"/>
      <c r="K1217" s="59"/>
    </row>
    <row r="1218" spans="1:11" ht="16.5" customHeight="1" x14ac:dyDescent="0.25">
      <c r="A1218" s="57" t="s">
        <v>121</v>
      </c>
      <c r="B1218" s="57" t="s">
        <v>159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212"/>
        <v>APRILE 2024</v>
      </c>
      <c r="F1218" s="57" t="str">
        <f t="shared" si="1213"/>
        <v>4 APRILE 2024</v>
      </c>
      <c r="G1218" s="59">
        <v>0.4</v>
      </c>
      <c r="H1218" s="1338" t="s">
        <v>777</v>
      </c>
      <c r="I1218" s="960"/>
      <c r="J1218" s="59"/>
      <c r="K1218" s="59"/>
    </row>
    <row r="1219" spans="1:11" ht="16.5" customHeight="1" x14ac:dyDescent="0.25">
      <c r="A1219" s="57" t="s">
        <v>121</v>
      </c>
      <c r="B1219" s="57" t="s">
        <v>159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212"/>
        <v>APRILE 2024</v>
      </c>
      <c r="F1219" s="57" t="str">
        <f t="shared" si="1213"/>
        <v>4 APRILE 2024</v>
      </c>
      <c r="G1219" s="59">
        <v>0.4</v>
      </c>
      <c r="H1219" s="1338" t="s">
        <v>777</v>
      </c>
      <c r="I1219" s="960"/>
      <c r="J1219" s="59"/>
      <c r="K1219" s="59"/>
    </row>
    <row r="1220" spans="1:11" ht="18.600000000000001" customHeight="1" x14ac:dyDescent="0.25">
      <c r="A1220" s="57" t="s">
        <v>121</v>
      </c>
      <c r="B1220" s="57" t="s">
        <v>159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212"/>
        <v>APRILE 2024</v>
      </c>
      <c r="F1220" s="57" t="str">
        <f t="shared" si="1213"/>
        <v>4 APRILE 2024</v>
      </c>
      <c r="G1220" s="59">
        <v>0.4</v>
      </c>
      <c r="H1220" s="1338" t="s">
        <v>777</v>
      </c>
      <c r="I1220" s="960"/>
      <c r="J1220" s="59"/>
      <c r="K1220" s="59"/>
    </row>
    <row r="1221" spans="1:11" x14ac:dyDescent="0.25">
      <c r="A1221" s="57" t="s">
        <v>121</v>
      </c>
      <c r="B1221" s="57" t="s">
        <v>159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212"/>
        <v>APRILE 2024</v>
      </c>
      <c r="F1221" s="57" t="str">
        <f t="shared" si="1213"/>
        <v>4 APRILE 2024</v>
      </c>
      <c r="G1221" s="59">
        <v>0.4</v>
      </c>
      <c r="H1221" s="1338" t="s">
        <v>777</v>
      </c>
      <c r="I1221" s="960"/>
      <c r="J1221" s="59"/>
      <c r="K1221" s="59"/>
    </row>
    <row r="1222" spans="1:11" x14ac:dyDescent="0.25">
      <c r="A1222" s="57" t="s">
        <v>121</v>
      </c>
      <c r="B1222" s="57" t="s">
        <v>159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212"/>
        <v>APRILE 2024</v>
      </c>
      <c r="F1222" s="57" t="str">
        <f t="shared" si="1213"/>
        <v>4 APRILE 2024</v>
      </c>
      <c r="G1222" s="59">
        <v>0.4</v>
      </c>
      <c r="H1222" s="1338" t="s">
        <v>777</v>
      </c>
      <c r="I1222" s="960"/>
      <c r="J1222" s="59"/>
      <c r="K1222" s="59"/>
    </row>
    <row r="1223" spans="1:11" ht="18.600000000000001" customHeight="1" x14ac:dyDescent="0.25">
      <c r="A1223" s="57" t="s">
        <v>122</v>
      </c>
      <c r="B1223" s="57" t="s">
        <v>159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212"/>
        <v>APRILE 2024</v>
      </c>
      <c r="F1223" s="57" t="str">
        <f t="shared" si="1213"/>
        <v>4 APRILE 2024</v>
      </c>
      <c r="G1223" s="59">
        <v>5.15</v>
      </c>
      <c r="H1223" s="1338" t="s">
        <v>77</v>
      </c>
      <c r="I1223" s="960"/>
      <c r="J1223" s="59"/>
      <c r="K1223" s="59"/>
    </row>
    <row r="1224" spans="1:11" ht="18.600000000000001" customHeight="1" x14ac:dyDescent="0.25">
      <c r="A1224" s="57" t="s">
        <v>83</v>
      </c>
      <c r="B1224" s="57" t="s">
        <v>159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212"/>
        <v>APRILE 2024</v>
      </c>
      <c r="F1224" s="57" t="str">
        <f t="shared" si="1213"/>
        <v>4 APRILE 2024</v>
      </c>
      <c r="G1224" s="59">
        <v>6.45</v>
      </c>
      <c r="H1224" s="1338" t="s">
        <v>77</v>
      </c>
      <c r="I1224" s="960"/>
      <c r="J1224" s="59"/>
      <c r="K1224" s="59"/>
    </row>
    <row r="1225" spans="1:11" x14ac:dyDescent="0.25">
      <c r="A1225" s="57" t="s">
        <v>161</v>
      </c>
      <c r="B1225" s="57" t="s">
        <v>159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212"/>
        <v>APRILE 2024</v>
      </c>
      <c r="F1225" s="57" t="str">
        <f t="shared" si="1213"/>
        <v>4 APRILE 2024</v>
      </c>
      <c r="G1225" s="59">
        <v>29.95</v>
      </c>
      <c r="H1225" s="1338" t="s">
        <v>93</v>
      </c>
      <c r="I1225" s="960"/>
      <c r="J1225" s="59"/>
      <c r="K1225" s="59" t="s">
        <v>162</v>
      </c>
    </row>
    <row r="1226" spans="1:11" ht="16.5" customHeight="1" x14ac:dyDescent="0.25">
      <c r="A1226" s="57" t="s">
        <v>76</v>
      </c>
      <c r="B1226" s="57" t="s">
        <v>159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212"/>
        <v>APRILE 2024</v>
      </c>
      <c r="F1226" s="57" t="str">
        <f t="shared" si="1213"/>
        <v>4 APRILE 2024</v>
      </c>
      <c r="G1226" s="59">
        <v>9.94</v>
      </c>
      <c r="H1226" s="1338" t="s">
        <v>77</v>
      </c>
      <c r="I1226" s="960"/>
      <c r="J1226" s="59"/>
      <c r="K1226" s="59"/>
    </row>
    <row r="1227" spans="1:11" ht="18.600000000000001" customHeight="1" x14ac:dyDescent="0.25">
      <c r="A1227" s="57" t="s">
        <v>76</v>
      </c>
      <c r="B1227" s="57" t="s">
        <v>159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212"/>
        <v>APRILE 2024</v>
      </c>
      <c r="F1227" s="57" t="str">
        <f t="shared" si="1213"/>
        <v>4 APRILE 2024</v>
      </c>
      <c r="G1227" s="59">
        <v>1.99</v>
      </c>
      <c r="H1227" s="1338" t="s">
        <v>77</v>
      </c>
      <c r="I1227" s="960"/>
      <c r="J1227" s="59"/>
      <c r="K1227" s="59"/>
    </row>
    <row r="1228" spans="1:11" x14ac:dyDescent="0.25">
      <c r="A1228" s="57" t="s">
        <v>67</v>
      </c>
      <c r="B1228" s="57" t="s">
        <v>159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212"/>
        <v>APRILE 2024</v>
      </c>
      <c r="F1228" s="57" t="str">
        <f t="shared" si="1213"/>
        <v>4 APRILE 2024</v>
      </c>
      <c r="G1228" s="59">
        <v>5</v>
      </c>
      <c r="H1228" s="1338" t="s">
        <v>776</v>
      </c>
      <c r="I1228" s="960"/>
      <c r="J1228" s="59"/>
      <c r="K1228" s="59"/>
    </row>
    <row r="1229" spans="1:11" ht="16.5" customHeight="1" x14ac:dyDescent="0.25">
      <c r="A1229" s="57" t="s">
        <v>121</v>
      </c>
      <c r="B1229" s="57" t="s">
        <v>159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212"/>
        <v>APRILE 2024</v>
      </c>
      <c r="F1229" s="57" t="str">
        <f t="shared" si="1213"/>
        <v>4 APRILE 2024</v>
      </c>
      <c r="G1229" s="59">
        <v>0.4</v>
      </c>
      <c r="H1229" s="1338" t="s">
        <v>777</v>
      </c>
      <c r="I1229" s="960"/>
      <c r="J1229" s="59"/>
      <c r="K1229" s="59"/>
    </row>
    <row r="1230" spans="1:11" ht="16.5" customHeight="1" x14ac:dyDescent="0.25">
      <c r="A1230" s="57" t="s">
        <v>122</v>
      </c>
      <c r="B1230" s="57" t="s">
        <v>159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212"/>
        <v>APRILE 2024</v>
      </c>
      <c r="F1230" s="57" t="str">
        <f t="shared" si="1213"/>
        <v>4 APRILE 2024</v>
      </c>
      <c r="G1230" s="59">
        <v>3.4</v>
      </c>
      <c r="H1230" s="1338" t="s">
        <v>77</v>
      </c>
      <c r="I1230" s="960"/>
      <c r="J1230" s="59"/>
      <c r="K1230" s="59"/>
    </row>
    <row r="1231" spans="1:11" ht="16.5" customHeight="1" x14ac:dyDescent="0.25">
      <c r="A1231" s="57" t="s">
        <v>83</v>
      </c>
      <c r="B1231" s="57" t="s">
        <v>159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212"/>
        <v>APRILE 2024</v>
      </c>
      <c r="F1231" s="57" t="str">
        <f t="shared" si="1213"/>
        <v>4 APRILE 2024</v>
      </c>
      <c r="G1231" s="59">
        <v>17.899999999999999</v>
      </c>
      <c r="H1231" s="1338" t="s">
        <v>77</v>
      </c>
      <c r="I1231" s="960"/>
      <c r="J1231" s="59"/>
      <c r="K1231" s="59" t="s">
        <v>163</v>
      </c>
    </row>
    <row r="1232" spans="1:11" ht="16.5" customHeight="1" x14ac:dyDescent="0.25">
      <c r="A1232" s="57" t="s">
        <v>121</v>
      </c>
      <c r="B1232" s="57" t="s">
        <v>159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212"/>
        <v>APRILE 2024</v>
      </c>
      <c r="F1232" s="57" t="str">
        <f t="shared" si="1213"/>
        <v>4 APRILE 2024</v>
      </c>
      <c r="G1232" s="59">
        <v>0.4</v>
      </c>
      <c r="H1232" s="1338" t="s">
        <v>777</v>
      </c>
      <c r="I1232" s="960"/>
      <c r="J1232" s="59"/>
      <c r="K1232" s="59"/>
    </row>
    <row r="1233" spans="1:11" ht="16.5" customHeight="1" x14ac:dyDescent="0.25">
      <c r="A1233" s="57" t="s">
        <v>121</v>
      </c>
      <c r="B1233" s="57" t="s">
        <v>159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si="1212"/>
        <v>APRILE 2024</v>
      </c>
      <c r="F1233" s="57" t="str">
        <f t="shared" si="1213"/>
        <v>4 APRILE 2024</v>
      </c>
      <c r="G1233" s="59">
        <v>0.4</v>
      </c>
      <c r="H1233" s="1338" t="s">
        <v>777</v>
      </c>
      <c r="I1233" s="960"/>
      <c r="J1233" s="59"/>
      <c r="K1233" s="59"/>
    </row>
    <row r="1234" spans="1:11" ht="16.5" customHeight="1" x14ac:dyDescent="0.25">
      <c r="A1234" s="57" t="s">
        <v>121</v>
      </c>
      <c r="B1234" s="57" t="s">
        <v>159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212"/>
        <v>APRILE 2024</v>
      </c>
      <c r="F1234" s="57" t="str">
        <f t="shared" si="1213"/>
        <v>4 APRILE 2024</v>
      </c>
      <c r="G1234" s="59">
        <v>0.4</v>
      </c>
      <c r="H1234" s="1338" t="s">
        <v>777</v>
      </c>
      <c r="I1234" s="960"/>
      <c r="J1234" s="59"/>
      <c r="K1234" s="59"/>
    </row>
    <row r="1235" spans="1:11" x14ac:dyDescent="0.25">
      <c r="A1235" s="57" t="s">
        <v>121</v>
      </c>
      <c r="B1235" s="57" t="s">
        <v>159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212"/>
        <v>APRILE 2024</v>
      </c>
      <c r="F1235" s="57" t="str">
        <f t="shared" si="1213"/>
        <v>4 APRILE 2024</v>
      </c>
      <c r="G1235" s="59">
        <v>0.4</v>
      </c>
      <c r="H1235" s="1338" t="s">
        <v>777</v>
      </c>
      <c r="I1235" s="960"/>
      <c r="J1235" s="59"/>
      <c r="K1235" s="59"/>
    </row>
    <row r="1236" spans="1:11" x14ac:dyDescent="0.25">
      <c r="A1236" s="57" t="s">
        <v>121</v>
      </c>
      <c r="B1236" s="57" t="s">
        <v>159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212"/>
        <v>APRILE 2024</v>
      </c>
      <c r="F1236" s="57" t="str">
        <f t="shared" si="1213"/>
        <v>4 APRILE 2024</v>
      </c>
      <c r="G1236" s="59">
        <v>0.4</v>
      </c>
      <c r="H1236" s="1338" t="s">
        <v>777</v>
      </c>
      <c r="I1236" s="960"/>
      <c r="J1236" s="59"/>
      <c r="K1236" s="59"/>
    </row>
    <row r="1237" spans="1:11" x14ac:dyDescent="0.25">
      <c r="A1237" s="57" t="s">
        <v>121</v>
      </c>
      <c r="B1237" s="57" t="s">
        <v>159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212"/>
        <v>APRILE 2024</v>
      </c>
      <c r="F1237" s="57" t="str">
        <f t="shared" si="1213"/>
        <v>4 APRILE 2024</v>
      </c>
      <c r="G1237" s="59">
        <v>0.4</v>
      </c>
      <c r="H1237" s="1338" t="s">
        <v>777</v>
      </c>
      <c r="I1237" s="960"/>
      <c r="J1237" s="59"/>
      <c r="K1237" s="59"/>
    </row>
    <row r="1238" spans="1:11" ht="18.600000000000001" customHeight="1" x14ac:dyDescent="0.25">
      <c r="A1238" s="57" t="s">
        <v>83</v>
      </c>
      <c r="B1238" s="57" t="s">
        <v>159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212"/>
        <v>APRILE 2024</v>
      </c>
      <c r="F1238" s="57" t="str">
        <f t="shared" si="1213"/>
        <v>4 APRILE 2024</v>
      </c>
      <c r="G1238" s="59">
        <v>10.63</v>
      </c>
      <c r="H1238" s="1338" t="s">
        <v>77</v>
      </c>
      <c r="I1238" s="960"/>
      <c r="J1238" s="59"/>
      <c r="K1238" s="59" t="s">
        <v>163</v>
      </c>
    </row>
    <row r="1239" spans="1:11" ht="18.600000000000001" customHeight="1" x14ac:dyDescent="0.25">
      <c r="A1239" s="57" t="s">
        <v>154</v>
      </c>
      <c r="B1239" s="57" t="s">
        <v>159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212"/>
        <v>APRILE 2024</v>
      </c>
      <c r="F1239" s="57" t="str">
        <f t="shared" si="1213"/>
        <v>4 APRILE 2024</v>
      </c>
      <c r="G1239" s="59">
        <v>12</v>
      </c>
      <c r="H1239" s="1338" t="s">
        <v>155</v>
      </c>
      <c r="I1239" s="960"/>
      <c r="J1239" s="59"/>
      <c r="K1239" s="59" t="s">
        <v>163</v>
      </c>
    </row>
    <row r="1240" spans="1:11" ht="16.5" customHeight="1" x14ac:dyDescent="0.25">
      <c r="A1240" s="57" t="s">
        <v>154</v>
      </c>
      <c r="B1240" s="57" t="s">
        <v>159</v>
      </c>
      <c r="C1240" s="57">
        <v>2024</v>
      </c>
      <c r="D1240" s="58">
        <f>MATCH(B1240,{"GENNAIO","FEBBRAIO","MARZO","APRILE","MAGGIO","GIUGNO","LUGLIO","AGOSTO","SETTEMBRE","OTTOBRE","NOVEMBRE","DICEMBRE"},0)</f>
        <v>4</v>
      </c>
      <c r="E1240" s="57" t="str">
        <f t="shared" si="1212"/>
        <v>APRILE 2024</v>
      </c>
      <c r="F1240" s="57" t="str">
        <f t="shared" si="1213"/>
        <v>4 APRILE 2024</v>
      </c>
      <c r="G1240" s="59">
        <v>14.5</v>
      </c>
      <c r="H1240" s="1338" t="s">
        <v>155</v>
      </c>
      <c r="I1240" s="960"/>
      <c r="J1240" s="59"/>
      <c r="K1240" s="59"/>
    </row>
    <row r="1241" spans="1:11" ht="16.5" customHeight="1" x14ac:dyDescent="0.25">
      <c r="A1241" s="57" t="s">
        <v>79</v>
      </c>
      <c r="B1241" s="57" t="s">
        <v>159</v>
      </c>
      <c r="C1241" s="57">
        <v>2024</v>
      </c>
      <c r="D1241" s="58">
        <f>MATCH(B1241,{"GENNAIO","FEBBRAIO","MARZO","APRILE","MAGGIO","GIUGNO","LUGLIO","AGOSTO","SETTEMBRE","OTTOBRE","NOVEMBRE","DICEMBRE"},0)</f>
        <v>4</v>
      </c>
      <c r="E1241" s="57" t="str">
        <f t="shared" si="1212"/>
        <v>APRILE 2024</v>
      </c>
      <c r="F1241" s="57" t="str">
        <f t="shared" si="1213"/>
        <v>4 APRILE 2024</v>
      </c>
      <c r="G1241" s="59">
        <v>17.12</v>
      </c>
      <c r="H1241" s="1338" t="s">
        <v>81</v>
      </c>
      <c r="I1241" s="960"/>
      <c r="J1241" s="59"/>
      <c r="K1241" s="59"/>
    </row>
    <row r="1242" spans="1:11" x14ac:dyDescent="0.25">
      <c r="A1242" s="57" t="s">
        <v>164</v>
      </c>
      <c r="B1242" s="57" t="s">
        <v>159</v>
      </c>
      <c r="C1242" s="57">
        <v>2024</v>
      </c>
      <c r="D1242" s="58">
        <f>MATCH(B1242,{"GENNAIO","FEBBRAIO","MARZO","APRILE","MAGGIO","GIUGNO","LUGLIO","AGOSTO","SETTEMBRE","OTTOBRE","NOVEMBRE","DICEMBRE"},0)</f>
        <v>4</v>
      </c>
      <c r="E1242" s="57" t="str">
        <f t="shared" ref="E1242:E1305" si="1214">CONCATENATE(,B1242," ",C1242)</f>
        <v>APRILE 2024</v>
      </c>
      <c r="F1242" s="57" t="str">
        <f t="shared" ref="F1242:F1305" si="1215">CONCATENATE(D1242," ",E1242)</f>
        <v>4 APRILE 2024</v>
      </c>
      <c r="G1242" s="59">
        <v>64.56</v>
      </c>
      <c r="H1242" s="1338" t="s">
        <v>77</v>
      </c>
      <c r="I1242" s="960"/>
      <c r="J1242" s="59"/>
      <c r="K1242" s="59" t="s">
        <v>163</v>
      </c>
    </row>
    <row r="1243" spans="1:11" ht="18.600000000000001" customHeight="1" x14ac:dyDescent="0.25">
      <c r="A1243" s="57" t="s">
        <v>138</v>
      </c>
      <c r="B1243" s="57" t="s">
        <v>159</v>
      </c>
      <c r="C1243" s="57">
        <v>2024</v>
      </c>
      <c r="D1243" s="58">
        <f>MATCH(B1243,{"GENNAIO","FEBBRAIO","MARZO","APRILE","MAGGIO","GIUGNO","LUGLIO","AGOSTO","SETTEMBRE","OTTOBRE","NOVEMBRE","DICEMBRE"},0)</f>
        <v>4</v>
      </c>
      <c r="E1243" s="57" t="str">
        <f t="shared" si="1214"/>
        <v>APRILE 2024</v>
      </c>
      <c r="F1243" s="57" t="str">
        <f t="shared" si="1215"/>
        <v>4 APRILE 2024</v>
      </c>
      <c r="G1243" s="59">
        <v>14</v>
      </c>
      <c r="H1243" s="1338" t="s">
        <v>69</v>
      </c>
      <c r="I1243" s="960"/>
      <c r="J1243" s="59"/>
      <c r="K1243" s="59"/>
    </row>
    <row r="1244" spans="1:11" ht="16.5" customHeight="1" x14ac:dyDescent="0.25">
      <c r="A1244" s="57" t="s">
        <v>108</v>
      </c>
      <c r="B1244" s="57" t="s">
        <v>159</v>
      </c>
      <c r="C1244" s="57">
        <v>2024</v>
      </c>
      <c r="D1244" s="58">
        <f>MATCH(B1244,{"GENNAIO","FEBBRAIO","MARZO","APRILE","MAGGIO","GIUGNO","LUGLIO","AGOSTO","SETTEMBRE","OTTOBRE","NOVEMBRE","DICEMBRE"},0)</f>
        <v>4</v>
      </c>
      <c r="E1244" s="57" t="str">
        <f t="shared" si="1214"/>
        <v>APRILE 2024</v>
      </c>
      <c r="F1244" s="57" t="str">
        <f t="shared" si="1215"/>
        <v>4 APRILE 2024</v>
      </c>
      <c r="G1244" s="59">
        <v>17.48</v>
      </c>
      <c r="H1244" s="1338" t="s">
        <v>75</v>
      </c>
      <c r="I1244" s="960"/>
      <c r="J1244" s="57" t="s">
        <v>108</v>
      </c>
      <c r="K1244" s="59"/>
    </row>
    <row r="1245" spans="1:11" x14ac:dyDescent="0.25">
      <c r="A1245" s="57" t="s">
        <v>165</v>
      </c>
      <c r="B1245" s="57" t="s">
        <v>159</v>
      </c>
      <c r="C1245" s="57">
        <v>2024</v>
      </c>
      <c r="D1245" s="58">
        <f>MATCH(B1245,{"GENNAIO","FEBBRAIO","MARZO","APRILE","MAGGIO","GIUGNO","LUGLIO","AGOSTO","SETTEMBRE","OTTOBRE","NOVEMBRE","DICEMBRE"},0)</f>
        <v>4</v>
      </c>
      <c r="E1245" s="57" t="str">
        <f t="shared" si="1214"/>
        <v>APRILE 2024</v>
      </c>
      <c r="F1245" s="57" t="str">
        <f t="shared" si="1215"/>
        <v>4 APRILE 2024</v>
      </c>
      <c r="G1245" s="59">
        <v>20.190000000000001</v>
      </c>
      <c r="H1245" s="1338" t="s">
        <v>166</v>
      </c>
      <c r="I1245" s="960"/>
      <c r="J1245" s="59"/>
      <c r="K1245" s="59"/>
    </row>
    <row r="1246" spans="1:11" ht="16.5" customHeight="1" x14ac:dyDescent="0.25">
      <c r="A1246" s="57" t="s">
        <v>122</v>
      </c>
      <c r="B1246" s="57" t="s">
        <v>159</v>
      </c>
      <c r="C1246" s="57">
        <v>2024</v>
      </c>
      <c r="D1246" s="58">
        <f>MATCH(B1246,{"GENNAIO","FEBBRAIO","MARZO","APRILE","MAGGIO","GIUGNO","LUGLIO","AGOSTO","SETTEMBRE","OTTOBRE","NOVEMBRE","DICEMBRE"},0)</f>
        <v>4</v>
      </c>
      <c r="E1246" s="57" t="str">
        <f t="shared" si="1214"/>
        <v>APRILE 2024</v>
      </c>
      <c r="F1246" s="57" t="str">
        <f t="shared" si="1215"/>
        <v>4 APRILE 2024</v>
      </c>
      <c r="G1246" s="59">
        <v>32.520000000000003</v>
      </c>
      <c r="H1246" s="1338" t="s">
        <v>77</v>
      </c>
      <c r="I1246" s="960"/>
      <c r="J1246" s="59"/>
      <c r="K1246" s="59" t="s">
        <v>167</v>
      </c>
    </row>
    <row r="1247" spans="1:11" ht="16.5" customHeight="1" x14ac:dyDescent="0.25">
      <c r="A1247" s="57" t="s">
        <v>108</v>
      </c>
      <c r="B1247" s="57" t="s">
        <v>159</v>
      </c>
      <c r="C1247" s="57">
        <v>2024</v>
      </c>
      <c r="D1247" s="58">
        <f>MATCH(B1247,{"GENNAIO","FEBBRAIO","MARZO","APRILE","MAGGIO","GIUGNO","LUGLIO","AGOSTO","SETTEMBRE","OTTOBRE","NOVEMBRE","DICEMBRE"},0)</f>
        <v>4</v>
      </c>
      <c r="E1247" s="57" t="str">
        <f t="shared" si="1214"/>
        <v>APRILE 2024</v>
      </c>
      <c r="F1247" s="57" t="str">
        <f t="shared" si="1215"/>
        <v>4 APRILE 2024</v>
      </c>
      <c r="G1247" s="59">
        <v>15</v>
      </c>
      <c r="H1247" s="1338" t="s">
        <v>75</v>
      </c>
      <c r="I1247" s="960" t="s">
        <v>988</v>
      </c>
      <c r="J1247" s="57" t="s">
        <v>108</v>
      </c>
      <c r="K1247" s="59" t="s">
        <v>1038</v>
      </c>
    </row>
    <row r="1248" spans="1:11" x14ac:dyDescent="0.25">
      <c r="A1248" s="57" t="s">
        <v>67</v>
      </c>
      <c r="B1248" s="57" t="s">
        <v>159</v>
      </c>
      <c r="C1248" s="57">
        <v>2024</v>
      </c>
      <c r="D1248" s="58">
        <f>MATCH(B1248,{"GENNAIO","FEBBRAIO","MARZO","APRILE","MAGGIO","GIUGNO","LUGLIO","AGOSTO","SETTEMBRE","OTTOBRE","NOVEMBRE","DICEMBRE"},0)</f>
        <v>4</v>
      </c>
      <c r="E1248" s="57" t="str">
        <f t="shared" si="1214"/>
        <v>APRILE 2024</v>
      </c>
      <c r="F1248" s="57" t="str">
        <f t="shared" si="1215"/>
        <v>4 APRILE 2024</v>
      </c>
      <c r="G1248" s="59">
        <v>5</v>
      </c>
      <c r="H1248" s="1338" t="s">
        <v>776</v>
      </c>
      <c r="I1248" s="960"/>
      <c r="J1248" s="59"/>
      <c r="K1248" s="59"/>
    </row>
    <row r="1249" spans="1:11" ht="16.5" customHeight="1" x14ac:dyDescent="0.25">
      <c r="A1249" s="57" t="s">
        <v>121</v>
      </c>
      <c r="B1249" s="57" t="s">
        <v>168</v>
      </c>
      <c r="C1249" s="57">
        <v>2024</v>
      </c>
      <c r="D1249" s="58">
        <f>MATCH(B1249,{"GENNAIO","FEBBRAIO","MARZO","APRILE","MAGGIO","GIUGNO","LUGLIO","AGOSTO","SETTEMBRE","OTTOBRE","NOVEMBRE","DICEMBRE"},0)</f>
        <v>3</v>
      </c>
      <c r="E1249" s="57" t="str">
        <f t="shared" si="1214"/>
        <v>MARZO 2024</v>
      </c>
      <c r="F1249" s="57" t="str">
        <f t="shared" si="1215"/>
        <v>3 MARZO 2024</v>
      </c>
      <c r="G1249" s="59">
        <v>0.4</v>
      </c>
      <c r="H1249" s="1338" t="s">
        <v>777</v>
      </c>
      <c r="I1249" s="960"/>
      <c r="J1249" s="59"/>
      <c r="K1249" s="59"/>
    </row>
    <row r="1250" spans="1:11" x14ac:dyDescent="0.25">
      <c r="A1250" s="57" t="s">
        <v>121</v>
      </c>
      <c r="B1250" s="57" t="s">
        <v>168</v>
      </c>
      <c r="C1250" s="57">
        <v>2024</v>
      </c>
      <c r="D1250" s="58">
        <f>MATCH(B1250,{"GENNAIO","FEBBRAIO","MARZO","APRILE","MAGGIO","GIUGNO","LUGLIO","AGOSTO","SETTEMBRE","OTTOBRE","NOVEMBRE","DICEMBRE"},0)</f>
        <v>3</v>
      </c>
      <c r="E1250" s="57" t="str">
        <f t="shared" si="1214"/>
        <v>MARZO 2024</v>
      </c>
      <c r="F1250" s="57" t="str">
        <f t="shared" si="1215"/>
        <v>3 MARZO 2024</v>
      </c>
      <c r="G1250" s="59">
        <v>0.4</v>
      </c>
      <c r="H1250" s="1338" t="s">
        <v>777</v>
      </c>
      <c r="I1250" s="960"/>
      <c r="J1250" s="59"/>
      <c r="K1250" s="59"/>
    </row>
    <row r="1251" spans="1:11" ht="16.5" customHeight="1" x14ac:dyDescent="0.25">
      <c r="A1251" s="57" t="s">
        <v>83</v>
      </c>
      <c r="B1251" s="57" t="s">
        <v>168</v>
      </c>
      <c r="C1251" s="57">
        <v>2024</v>
      </c>
      <c r="D1251" s="58">
        <f>MATCH(B1251,{"GENNAIO","FEBBRAIO","MARZO","APRILE","MAGGIO","GIUGNO","LUGLIO","AGOSTO","SETTEMBRE","OTTOBRE","NOVEMBRE","DICEMBRE"},0)</f>
        <v>3</v>
      </c>
      <c r="E1251" s="57" t="str">
        <f t="shared" si="1214"/>
        <v>MARZO 2024</v>
      </c>
      <c r="F1251" s="57" t="str">
        <f t="shared" si="1215"/>
        <v>3 MARZO 2024</v>
      </c>
      <c r="G1251" s="59">
        <v>12.13</v>
      </c>
      <c r="H1251" s="1338" t="s">
        <v>77</v>
      </c>
      <c r="I1251" s="960"/>
      <c r="J1251" s="59"/>
      <c r="K1251" s="59"/>
    </row>
    <row r="1252" spans="1:11" ht="16.5" customHeight="1" x14ac:dyDescent="0.25">
      <c r="A1252" s="57" t="s">
        <v>121</v>
      </c>
      <c r="B1252" s="57" t="s">
        <v>168</v>
      </c>
      <c r="C1252" s="57">
        <v>2024</v>
      </c>
      <c r="D1252" s="58">
        <f>MATCH(B1252,{"GENNAIO","FEBBRAIO","MARZO","APRILE","MAGGIO","GIUGNO","LUGLIO","AGOSTO","SETTEMBRE","OTTOBRE","NOVEMBRE","DICEMBRE"},0)</f>
        <v>3</v>
      </c>
      <c r="E1252" s="57" t="str">
        <f t="shared" si="1214"/>
        <v>MARZO 2024</v>
      </c>
      <c r="F1252" s="57" t="str">
        <f t="shared" si="1215"/>
        <v>3 MARZO 2024</v>
      </c>
      <c r="G1252" s="59">
        <v>0.4</v>
      </c>
      <c r="H1252" s="1338" t="s">
        <v>777</v>
      </c>
      <c r="I1252" s="960"/>
      <c r="J1252" s="59"/>
      <c r="K1252" s="59"/>
    </row>
    <row r="1253" spans="1:11" ht="16.5" customHeight="1" x14ac:dyDescent="0.25">
      <c r="A1253" s="57" t="s">
        <v>67</v>
      </c>
      <c r="B1253" s="57" t="s">
        <v>168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214"/>
        <v>MARZO 2024</v>
      </c>
      <c r="F1253" s="57" t="str">
        <f t="shared" si="1215"/>
        <v>3 MARZO 2024</v>
      </c>
      <c r="G1253" s="59">
        <v>5</v>
      </c>
      <c r="H1253" s="1338" t="s">
        <v>776</v>
      </c>
      <c r="I1253" s="960"/>
      <c r="J1253" s="59"/>
      <c r="K1253" s="59"/>
    </row>
    <row r="1254" spans="1:11" ht="18.600000000000001" customHeight="1" x14ac:dyDescent="0.25">
      <c r="A1254" s="57" t="s">
        <v>121</v>
      </c>
      <c r="B1254" s="57" t="s">
        <v>168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214"/>
        <v>MARZO 2024</v>
      </c>
      <c r="F1254" s="57" t="str">
        <f t="shared" si="1215"/>
        <v>3 MARZO 2024</v>
      </c>
      <c r="G1254" s="59">
        <v>0.4</v>
      </c>
      <c r="H1254" s="1338" t="s">
        <v>777</v>
      </c>
      <c r="I1254" s="960"/>
      <c r="J1254" s="59"/>
      <c r="K1254" s="59"/>
    </row>
    <row r="1255" spans="1:11" ht="16.5" customHeight="1" x14ac:dyDescent="0.25">
      <c r="A1255" s="57" t="s">
        <v>121</v>
      </c>
      <c r="B1255" s="57" t="s">
        <v>168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214"/>
        <v>MARZO 2024</v>
      </c>
      <c r="F1255" s="57" t="str">
        <f t="shared" si="1215"/>
        <v>3 MARZO 2024</v>
      </c>
      <c r="G1255" s="59">
        <v>0.4</v>
      </c>
      <c r="H1255" s="1338" t="s">
        <v>777</v>
      </c>
      <c r="I1255" s="960"/>
      <c r="J1255" s="59"/>
      <c r="K1255" s="59"/>
    </row>
    <row r="1256" spans="1:11" ht="18.600000000000001" customHeight="1" x14ac:dyDescent="0.25">
      <c r="A1256" s="57" t="s">
        <v>121</v>
      </c>
      <c r="B1256" s="57" t="s">
        <v>168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214"/>
        <v>MARZO 2024</v>
      </c>
      <c r="F1256" s="57" t="str">
        <f t="shared" si="1215"/>
        <v>3 MARZO 2024</v>
      </c>
      <c r="G1256" s="59">
        <v>0.4</v>
      </c>
      <c r="H1256" s="1338" t="s">
        <v>777</v>
      </c>
      <c r="I1256" s="960"/>
      <c r="J1256" s="59"/>
      <c r="K1256" s="59"/>
    </row>
    <row r="1257" spans="1:11" ht="16.5" customHeight="1" x14ac:dyDescent="0.25">
      <c r="A1257" s="57" t="s">
        <v>78</v>
      </c>
      <c r="B1257" s="57" t="s">
        <v>168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214"/>
        <v>MARZO 2024</v>
      </c>
      <c r="F1257" s="57" t="str">
        <f t="shared" si="1215"/>
        <v>3 MARZO 2024</v>
      </c>
      <c r="G1257" s="59">
        <v>15.48</v>
      </c>
      <c r="H1257" s="1338" t="s">
        <v>77</v>
      </c>
      <c r="I1257" s="960"/>
      <c r="J1257" s="59"/>
      <c r="K1257" s="59"/>
    </row>
    <row r="1258" spans="1:11" ht="16.5" customHeight="1" x14ac:dyDescent="0.25">
      <c r="A1258" s="57" t="s">
        <v>108</v>
      </c>
      <c r="B1258" s="57" t="s">
        <v>168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214"/>
        <v>MARZO 2024</v>
      </c>
      <c r="F1258" s="57" t="str">
        <f t="shared" si="1215"/>
        <v>3 MARZO 2024</v>
      </c>
      <c r="G1258" s="59">
        <v>24.68</v>
      </c>
      <c r="H1258" s="1338" t="s">
        <v>75</v>
      </c>
      <c r="I1258" s="960"/>
      <c r="J1258" s="57" t="s">
        <v>108</v>
      </c>
      <c r="K1258" s="59"/>
    </row>
    <row r="1259" spans="1:11" ht="16.5" customHeight="1" x14ac:dyDescent="0.25">
      <c r="A1259" s="57" t="s">
        <v>122</v>
      </c>
      <c r="B1259" s="57" t="s">
        <v>168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214"/>
        <v>MARZO 2024</v>
      </c>
      <c r="F1259" s="57" t="str">
        <f t="shared" si="1215"/>
        <v>3 MARZO 2024</v>
      </c>
      <c r="G1259" s="59">
        <v>5.13</v>
      </c>
      <c r="H1259" s="1338" t="s">
        <v>77</v>
      </c>
      <c r="I1259" s="960"/>
      <c r="J1259" s="59"/>
      <c r="K1259" s="59"/>
    </row>
    <row r="1260" spans="1:11" x14ac:dyDescent="0.25">
      <c r="A1260" s="57" t="s">
        <v>121</v>
      </c>
      <c r="B1260" s="57" t="s">
        <v>168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214"/>
        <v>MARZO 2024</v>
      </c>
      <c r="F1260" s="57" t="str">
        <f t="shared" si="1215"/>
        <v>3 MARZO 2024</v>
      </c>
      <c r="G1260" s="59">
        <v>0.4</v>
      </c>
      <c r="H1260" s="1338" t="s">
        <v>777</v>
      </c>
      <c r="I1260" s="960"/>
      <c r="J1260" s="59"/>
      <c r="K1260" s="59"/>
    </row>
    <row r="1261" spans="1:11" ht="16.5" customHeight="1" x14ac:dyDescent="0.25">
      <c r="A1261" s="57" t="s">
        <v>121</v>
      </c>
      <c r="B1261" s="57" t="s">
        <v>168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214"/>
        <v>MARZO 2024</v>
      </c>
      <c r="F1261" s="57" t="str">
        <f t="shared" si="1215"/>
        <v>3 MARZO 2024</v>
      </c>
      <c r="G1261" s="59">
        <v>0.4</v>
      </c>
      <c r="H1261" s="1338" t="s">
        <v>777</v>
      </c>
      <c r="I1261" s="960"/>
      <c r="J1261" s="59"/>
      <c r="K1261" s="59"/>
    </row>
    <row r="1262" spans="1:11" ht="16.5" customHeight="1" x14ac:dyDescent="0.25">
      <c r="A1262" s="57" t="s">
        <v>121</v>
      </c>
      <c r="B1262" s="57" t="s">
        <v>168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214"/>
        <v>MARZO 2024</v>
      </c>
      <c r="F1262" s="57" t="str">
        <f t="shared" si="1215"/>
        <v>3 MARZO 2024</v>
      </c>
      <c r="G1262" s="59">
        <v>0.4</v>
      </c>
      <c r="H1262" s="1338" t="s">
        <v>777</v>
      </c>
      <c r="I1262" s="960"/>
      <c r="J1262" s="59"/>
      <c r="K1262" s="59"/>
    </row>
    <row r="1263" spans="1:11" x14ac:dyDescent="0.25">
      <c r="A1263" s="57" t="s">
        <v>169</v>
      </c>
      <c r="B1263" s="57" t="s">
        <v>168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214"/>
        <v>MARZO 2024</v>
      </c>
      <c r="F1263" s="57" t="str">
        <f t="shared" si="1215"/>
        <v>3 MARZO 2024</v>
      </c>
      <c r="G1263" s="59">
        <v>2.39</v>
      </c>
      <c r="H1263" s="1338" t="s">
        <v>69</v>
      </c>
      <c r="I1263" s="960"/>
      <c r="J1263" s="59"/>
      <c r="K1263" s="59"/>
    </row>
    <row r="1264" spans="1:11" x14ac:dyDescent="0.25">
      <c r="A1264" s="57" t="s">
        <v>108</v>
      </c>
      <c r="B1264" s="57" t="s">
        <v>168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214"/>
        <v>MARZO 2024</v>
      </c>
      <c r="F1264" s="57" t="str">
        <f t="shared" si="1215"/>
        <v>3 MARZO 2024</v>
      </c>
      <c r="G1264" s="59">
        <v>15</v>
      </c>
      <c r="H1264" s="1338" t="s">
        <v>75</v>
      </c>
      <c r="I1264" s="960" t="s">
        <v>993</v>
      </c>
      <c r="J1264" s="57" t="s">
        <v>108</v>
      </c>
      <c r="K1264" s="59" t="s">
        <v>1038</v>
      </c>
    </row>
    <row r="1265" spans="1:11" x14ac:dyDescent="0.25">
      <c r="A1265" s="57" t="s">
        <v>121</v>
      </c>
      <c r="B1265" s="57" t="s">
        <v>168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214"/>
        <v>MARZO 2024</v>
      </c>
      <c r="F1265" s="57" t="str">
        <f t="shared" si="1215"/>
        <v>3 MARZO 2024</v>
      </c>
      <c r="G1265" s="59">
        <v>0.4</v>
      </c>
      <c r="H1265" s="1338" t="s">
        <v>777</v>
      </c>
      <c r="I1265" s="960"/>
      <c r="J1265" s="59"/>
      <c r="K1265" s="59"/>
    </row>
    <row r="1266" spans="1:11" ht="16.5" customHeight="1" x14ac:dyDescent="0.25">
      <c r="A1266" s="57" t="s">
        <v>341</v>
      </c>
      <c r="B1266" s="57" t="s">
        <v>168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214"/>
        <v>MARZO 2024</v>
      </c>
      <c r="F1266" s="57" t="str">
        <f t="shared" si="1215"/>
        <v>3 MARZO 2024</v>
      </c>
      <c r="G1266" s="59">
        <v>6.3</v>
      </c>
      <c r="H1266" s="1338" t="s">
        <v>91</v>
      </c>
      <c r="I1266" s="960"/>
      <c r="J1266" s="59" t="s">
        <v>768</v>
      </c>
      <c r="K1266" s="59"/>
    </row>
    <row r="1267" spans="1:11" ht="16.5" customHeight="1" x14ac:dyDescent="0.25">
      <c r="A1267" s="57" t="s">
        <v>83</v>
      </c>
      <c r="B1267" s="57" t="s">
        <v>168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214"/>
        <v>MARZO 2024</v>
      </c>
      <c r="F1267" s="57" t="str">
        <f t="shared" si="1215"/>
        <v>3 MARZO 2024</v>
      </c>
      <c r="G1267" s="59">
        <v>10.82</v>
      </c>
      <c r="H1267" s="1338" t="s">
        <v>77</v>
      </c>
      <c r="I1267" s="960"/>
      <c r="J1267" s="59"/>
      <c r="K1267" s="59"/>
    </row>
    <row r="1268" spans="1:11" x14ac:dyDescent="0.25">
      <c r="A1268" s="57" t="s">
        <v>170</v>
      </c>
      <c r="B1268" s="57" t="s">
        <v>168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214"/>
        <v>MARZO 2024</v>
      </c>
      <c r="F1268" s="57" t="str">
        <f t="shared" si="1215"/>
        <v>3 MARZO 2024</v>
      </c>
      <c r="G1268" s="59">
        <v>7.5</v>
      </c>
      <c r="H1268" s="1338" t="s">
        <v>69</v>
      </c>
      <c r="I1268" s="960"/>
      <c r="J1268" s="59"/>
      <c r="K1268" s="59"/>
    </row>
    <row r="1269" spans="1:11" x14ac:dyDescent="0.25">
      <c r="A1269" s="57" t="s">
        <v>138</v>
      </c>
      <c r="B1269" s="57" t="s">
        <v>168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214"/>
        <v>MARZO 2024</v>
      </c>
      <c r="F1269" s="57" t="str">
        <f t="shared" si="1215"/>
        <v>3 MARZO 2024</v>
      </c>
      <c r="G1269" s="59">
        <v>33</v>
      </c>
      <c r="H1269" s="1338" t="s">
        <v>69</v>
      </c>
      <c r="I1269" s="960"/>
      <c r="J1269" s="59"/>
      <c r="K1269" s="59"/>
    </row>
    <row r="1270" spans="1:11" ht="16.5" customHeight="1" x14ac:dyDescent="0.25">
      <c r="A1270" s="57" t="s">
        <v>108</v>
      </c>
      <c r="B1270" s="57" t="s">
        <v>168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214"/>
        <v>MARZO 2024</v>
      </c>
      <c r="F1270" s="57" t="str">
        <f t="shared" si="1215"/>
        <v>3 MARZO 2024</v>
      </c>
      <c r="G1270" s="59">
        <v>50</v>
      </c>
      <c r="H1270" s="1338" t="s">
        <v>75</v>
      </c>
      <c r="I1270" s="960"/>
      <c r="J1270" s="57" t="s">
        <v>108</v>
      </c>
      <c r="K1270" s="59"/>
    </row>
    <row r="1271" spans="1:11" ht="16.5" customHeight="1" x14ac:dyDescent="0.25">
      <c r="A1271" s="57" t="s">
        <v>113</v>
      </c>
      <c r="B1271" s="57" t="s">
        <v>168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214"/>
        <v>MARZO 2024</v>
      </c>
      <c r="F1271" s="57" t="str">
        <f t="shared" si="1215"/>
        <v>3 MARZO 2024</v>
      </c>
      <c r="G1271" s="59">
        <v>33</v>
      </c>
      <c r="H1271" s="1338" t="s">
        <v>114</v>
      </c>
      <c r="I1271" s="960"/>
      <c r="J1271" s="59"/>
      <c r="K1271" s="59"/>
    </row>
    <row r="1272" spans="1:11" x14ac:dyDescent="0.25">
      <c r="A1272" s="57" t="s">
        <v>67</v>
      </c>
      <c r="B1272" s="57" t="s">
        <v>168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214"/>
        <v>MARZO 2024</v>
      </c>
      <c r="F1272" s="57" t="str">
        <f t="shared" si="1215"/>
        <v>3 MARZO 2024</v>
      </c>
      <c r="G1272" s="59">
        <v>2.6</v>
      </c>
      <c r="H1272" s="1338" t="s">
        <v>69</v>
      </c>
      <c r="I1272" s="960"/>
      <c r="J1272" s="59"/>
      <c r="K1272" s="59"/>
    </row>
    <row r="1273" spans="1:11" x14ac:dyDescent="0.25">
      <c r="A1273" s="57" t="s">
        <v>121</v>
      </c>
      <c r="B1273" s="57" t="s">
        <v>168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214"/>
        <v>MARZO 2024</v>
      </c>
      <c r="F1273" s="57" t="str">
        <f t="shared" si="1215"/>
        <v>3 MARZO 2024</v>
      </c>
      <c r="G1273" s="59">
        <v>0.4</v>
      </c>
      <c r="H1273" s="1338" t="s">
        <v>777</v>
      </c>
      <c r="I1273" s="960"/>
      <c r="J1273" s="59"/>
      <c r="K1273" s="59"/>
    </row>
    <row r="1274" spans="1:11" ht="16.5" customHeight="1" x14ac:dyDescent="0.25">
      <c r="A1274" s="57" t="s">
        <v>121</v>
      </c>
      <c r="B1274" s="57" t="s">
        <v>168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214"/>
        <v>MARZO 2024</v>
      </c>
      <c r="F1274" s="57" t="str">
        <f t="shared" si="1215"/>
        <v>3 MARZO 2024</v>
      </c>
      <c r="G1274" s="59">
        <v>0.4</v>
      </c>
      <c r="H1274" s="1338" t="s">
        <v>777</v>
      </c>
      <c r="I1274" s="960"/>
      <c r="J1274" s="59"/>
      <c r="K1274" s="59"/>
    </row>
    <row r="1275" spans="1:11" ht="18.600000000000001" customHeight="1" x14ac:dyDescent="0.25">
      <c r="A1275" s="57" t="s">
        <v>83</v>
      </c>
      <c r="B1275" s="57" t="s">
        <v>168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214"/>
        <v>MARZO 2024</v>
      </c>
      <c r="F1275" s="57" t="str">
        <f t="shared" si="1215"/>
        <v>3 MARZO 2024</v>
      </c>
      <c r="G1275" s="59">
        <v>7.67</v>
      </c>
      <c r="H1275" s="1338" t="s">
        <v>77</v>
      </c>
      <c r="I1275" s="960"/>
      <c r="J1275" s="59"/>
      <c r="K1275" s="59"/>
    </row>
    <row r="1276" spans="1:11" x14ac:dyDescent="0.25">
      <c r="A1276" s="57" t="s">
        <v>171</v>
      </c>
      <c r="B1276" s="57" t="s">
        <v>168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214"/>
        <v>MARZO 2024</v>
      </c>
      <c r="F1276" s="57" t="str">
        <f t="shared" si="1215"/>
        <v>3 MARZO 2024</v>
      </c>
      <c r="G1276" s="59">
        <v>43.85</v>
      </c>
      <c r="H1276" s="1338" t="s">
        <v>81</v>
      </c>
      <c r="I1276" s="960"/>
      <c r="J1276" s="59"/>
      <c r="K1276" s="59"/>
    </row>
    <row r="1277" spans="1:11" ht="16.5" customHeight="1" x14ac:dyDescent="0.25">
      <c r="A1277" s="57" t="s">
        <v>138</v>
      </c>
      <c r="B1277" s="57" t="s">
        <v>168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214"/>
        <v>MARZO 2024</v>
      </c>
      <c r="F1277" s="57" t="str">
        <f t="shared" si="1215"/>
        <v>3 MARZO 2024</v>
      </c>
      <c r="G1277" s="59">
        <v>9</v>
      </c>
      <c r="H1277" s="1338" t="s">
        <v>69</v>
      </c>
      <c r="I1277" s="960"/>
      <c r="J1277" s="59"/>
      <c r="K1277" s="59"/>
    </row>
    <row r="1278" spans="1:11" x14ac:dyDescent="0.25">
      <c r="A1278" s="57" t="s">
        <v>122</v>
      </c>
      <c r="B1278" s="57" t="s">
        <v>168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214"/>
        <v>MARZO 2024</v>
      </c>
      <c r="F1278" s="57" t="str">
        <f t="shared" si="1215"/>
        <v>3 MARZO 2024</v>
      </c>
      <c r="G1278" s="59">
        <v>5.4</v>
      </c>
      <c r="H1278" s="1338" t="s">
        <v>77</v>
      </c>
      <c r="I1278" s="960"/>
      <c r="J1278" s="59"/>
      <c r="K1278" s="59"/>
    </row>
    <row r="1279" spans="1:11" x14ac:dyDescent="0.25">
      <c r="A1279" s="57" t="s">
        <v>76</v>
      </c>
      <c r="B1279" s="57" t="s">
        <v>168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214"/>
        <v>MARZO 2024</v>
      </c>
      <c r="F1279" s="57" t="str">
        <f t="shared" si="1215"/>
        <v>3 MARZO 2024</v>
      </c>
      <c r="G1279" s="59">
        <v>11.06</v>
      </c>
      <c r="H1279" s="1338" t="s">
        <v>77</v>
      </c>
      <c r="I1279" s="960"/>
      <c r="J1279" s="59"/>
      <c r="K1279" s="59"/>
    </row>
    <row r="1280" spans="1:11" ht="16.5" customHeight="1" x14ac:dyDescent="0.25">
      <c r="A1280" s="57" t="s">
        <v>172</v>
      </c>
      <c r="B1280" s="57" t="s">
        <v>168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214"/>
        <v>MARZO 2024</v>
      </c>
      <c r="F1280" s="57" t="str">
        <f t="shared" si="1215"/>
        <v>3 MARZO 2024</v>
      </c>
      <c r="G1280" s="59">
        <v>46</v>
      </c>
      <c r="H1280" s="1338" t="s">
        <v>69</v>
      </c>
      <c r="I1280" s="960"/>
      <c r="J1280" s="59"/>
      <c r="K1280" s="59"/>
    </row>
    <row r="1281" spans="1:11" ht="18" customHeight="1" x14ac:dyDescent="0.25">
      <c r="A1281" s="57" t="s">
        <v>67</v>
      </c>
      <c r="B1281" s="57" t="s">
        <v>168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214"/>
        <v>MARZO 2024</v>
      </c>
      <c r="F1281" s="57" t="str">
        <f t="shared" si="1215"/>
        <v>3 MARZO 2024</v>
      </c>
      <c r="G1281" s="59">
        <v>5</v>
      </c>
      <c r="H1281" s="1338" t="s">
        <v>776</v>
      </c>
      <c r="I1281" s="960"/>
      <c r="J1281" s="59"/>
      <c r="K1281" s="59"/>
    </row>
    <row r="1282" spans="1:11" ht="18.600000000000001" customHeight="1" x14ac:dyDescent="0.25">
      <c r="A1282" s="57" t="s">
        <v>67</v>
      </c>
      <c r="B1282" s="57" t="s">
        <v>168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214"/>
        <v>MARZO 2024</v>
      </c>
      <c r="F1282" s="57" t="str">
        <f t="shared" si="1215"/>
        <v>3 MARZO 2024</v>
      </c>
      <c r="G1282" s="59">
        <v>3.9</v>
      </c>
      <c r="H1282" s="1338" t="s">
        <v>69</v>
      </c>
      <c r="I1282" s="960"/>
      <c r="J1282" s="59"/>
      <c r="K1282" s="59"/>
    </row>
    <row r="1283" spans="1:11" x14ac:dyDescent="0.25">
      <c r="A1283" s="57" t="s">
        <v>121</v>
      </c>
      <c r="B1283" s="57" t="s">
        <v>168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214"/>
        <v>MARZO 2024</v>
      </c>
      <c r="F1283" s="57" t="str">
        <f t="shared" si="1215"/>
        <v>3 MARZO 2024</v>
      </c>
      <c r="G1283" s="59">
        <v>0.4</v>
      </c>
      <c r="H1283" s="1338" t="s">
        <v>777</v>
      </c>
      <c r="I1283" s="960"/>
      <c r="J1283" s="59"/>
      <c r="K1283" s="59"/>
    </row>
    <row r="1284" spans="1:11" ht="18" customHeight="1" x14ac:dyDescent="0.25">
      <c r="A1284" s="57" t="s">
        <v>998</v>
      </c>
      <c r="B1284" s="57" t="s">
        <v>168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214"/>
        <v>MARZO 2024</v>
      </c>
      <c r="F1284" s="57" t="str">
        <f t="shared" si="1215"/>
        <v>3 MARZO 2024</v>
      </c>
      <c r="G1284" s="59">
        <v>31.08</v>
      </c>
      <c r="H1284" s="1338" t="s">
        <v>70</v>
      </c>
      <c r="I1284" s="960" t="s">
        <v>989</v>
      </c>
      <c r="J1284" s="59" t="s">
        <v>768</v>
      </c>
      <c r="K1284" s="59"/>
    </row>
    <row r="1285" spans="1:11" x14ac:dyDescent="0.25">
      <c r="A1285" s="57" t="s">
        <v>122</v>
      </c>
      <c r="B1285" s="57" t="s">
        <v>168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214"/>
        <v>MARZO 2024</v>
      </c>
      <c r="F1285" s="57" t="str">
        <f t="shared" si="1215"/>
        <v>3 MARZO 2024</v>
      </c>
      <c r="G1285" s="59">
        <v>11.69</v>
      </c>
      <c r="H1285" s="1338" t="s">
        <v>77</v>
      </c>
      <c r="I1285" s="960"/>
      <c r="J1285" s="59"/>
      <c r="K1285" s="59"/>
    </row>
    <row r="1286" spans="1:11" ht="16.5" customHeight="1" x14ac:dyDescent="0.25">
      <c r="A1286" s="57" t="s">
        <v>83</v>
      </c>
      <c r="B1286" s="57" t="s">
        <v>168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214"/>
        <v>MARZO 2024</v>
      </c>
      <c r="F1286" s="57" t="str">
        <f t="shared" si="1215"/>
        <v>3 MARZO 2024</v>
      </c>
      <c r="G1286" s="59">
        <v>7.66</v>
      </c>
      <c r="H1286" s="1338" t="s">
        <v>77</v>
      </c>
      <c r="I1286" s="960"/>
      <c r="J1286" s="59"/>
      <c r="K1286" s="59"/>
    </row>
    <row r="1287" spans="1:11" ht="18.600000000000001" customHeight="1" x14ac:dyDescent="0.25">
      <c r="A1287" s="57" t="s">
        <v>173</v>
      </c>
      <c r="B1287" s="57" t="s">
        <v>168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214"/>
        <v>MARZO 2024</v>
      </c>
      <c r="F1287" s="57" t="str">
        <f t="shared" si="1215"/>
        <v>3 MARZO 2024</v>
      </c>
      <c r="G1287" s="59">
        <v>6.99</v>
      </c>
      <c r="H1287" s="1338" t="s">
        <v>741</v>
      </c>
      <c r="I1287" s="963"/>
      <c r="J1287" s="59" t="s">
        <v>173</v>
      </c>
      <c r="K1287" s="59"/>
    </row>
    <row r="1288" spans="1:11" ht="18.600000000000001" customHeight="1" x14ac:dyDescent="0.25">
      <c r="A1288" s="57" t="s">
        <v>76</v>
      </c>
      <c r="B1288" s="57" t="s">
        <v>168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214"/>
        <v>MARZO 2024</v>
      </c>
      <c r="F1288" s="57" t="str">
        <f t="shared" si="1215"/>
        <v>3 MARZO 2024</v>
      </c>
      <c r="G1288" s="59">
        <v>14.12</v>
      </c>
      <c r="H1288" s="1338" t="s">
        <v>77</v>
      </c>
      <c r="I1288" s="960"/>
      <c r="J1288" s="59"/>
      <c r="K1288" s="59"/>
    </row>
    <row r="1289" spans="1:11" ht="16.5" customHeight="1" x14ac:dyDescent="0.25">
      <c r="A1289" s="57" t="s">
        <v>108</v>
      </c>
      <c r="B1289" s="57" t="s">
        <v>168</v>
      </c>
      <c r="C1289" s="57">
        <v>2024</v>
      </c>
      <c r="D1289" s="58">
        <f>MATCH(B1289,{"GENNAIO","FEBBRAIO","MARZO","APRILE","MAGGIO","GIUGNO","LUGLIO","AGOSTO","SETTEMBRE","OTTOBRE","NOVEMBRE","DICEMBRE"},0)</f>
        <v>3</v>
      </c>
      <c r="E1289" s="57" t="str">
        <f t="shared" si="1214"/>
        <v>MARZO 2024</v>
      </c>
      <c r="F1289" s="57" t="str">
        <f t="shared" si="1215"/>
        <v>3 MARZO 2024</v>
      </c>
      <c r="G1289" s="59">
        <v>0.99</v>
      </c>
      <c r="H1289" s="1338" t="s">
        <v>75</v>
      </c>
      <c r="I1289" s="960"/>
      <c r="J1289" s="57" t="s">
        <v>108</v>
      </c>
      <c r="K1289" s="59"/>
    </row>
    <row r="1290" spans="1:11" ht="16.5" customHeight="1" x14ac:dyDescent="0.25">
      <c r="A1290" s="57" t="s">
        <v>79</v>
      </c>
      <c r="B1290" s="57" t="s">
        <v>168</v>
      </c>
      <c r="C1290" s="57">
        <v>2024</v>
      </c>
      <c r="D1290" s="58">
        <f>MATCH(B1290,{"GENNAIO","FEBBRAIO","MARZO","APRILE","MAGGIO","GIUGNO","LUGLIO","AGOSTO","SETTEMBRE","OTTOBRE","NOVEMBRE","DICEMBRE"},0)</f>
        <v>3</v>
      </c>
      <c r="E1290" s="57" t="str">
        <f t="shared" si="1214"/>
        <v>MARZO 2024</v>
      </c>
      <c r="F1290" s="57" t="str">
        <f t="shared" si="1215"/>
        <v>3 MARZO 2024</v>
      </c>
      <c r="G1290" s="59">
        <v>15.93</v>
      </c>
      <c r="H1290" s="1338" t="s">
        <v>81</v>
      </c>
      <c r="I1290" s="960"/>
      <c r="J1290" s="59"/>
      <c r="K1290" s="59"/>
    </row>
    <row r="1291" spans="1:11" ht="16.5" customHeight="1" x14ac:dyDescent="0.25">
      <c r="A1291" s="57" t="s">
        <v>122</v>
      </c>
      <c r="B1291" s="57" t="s">
        <v>168</v>
      </c>
      <c r="C1291" s="57">
        <v>2024</v>
      </c>
      <c r="D1291" s="58">
        <f>MATCH(B1291,{"GENNAIO","FEBBRAIO","MARZO","APRILE","MAGGIO","GIUGNO","LUGLIO","AGOSTO","SETTEMBRE","OTTOBRE","NOVEMBRE","DICEMBRE"},0)</f>
        <v>3</v>
      </c>
      <c r="E1291" s="57" t="str">
        <f t="shared" si="1214"/>
        <v>MARZO 2024</v>
      </c>
      <c r="F1291" s="57" t="str">
        <f t="shared" si="1215"/>
        <v>3 MARZO 2024</v>
      </c>
      <c r="G1291" s="59">
        <v>8.65</v>
      </c>
      <c r="H1291" s="1338" t="s">
        <v>77</v>
      </c>
      <c r="I1291" s="960"/>
      <c r="J1291" s="59"/>
      <c r="K1291" s="59"/>
    </row>
    <row r="1292" spans="1:11" ht="16.5" customHeight="1" x14ac:dyDescent="0.25">
      <c r="A1292" s="57" t="s">
        <v>121</v>
      </c>
      <c r="B1292" s="57" t="s">
        <v>168</v>
      </c>
      <c r="C1292" s="57">
        <v>2024</v>
      </c>
      <c r="D1292" s="58">
        <f>MATCH(B1292,{"GENNAIO","FEBBRAIO","MARZO","APRILE","MAGGIO","GIUGNO","LUGLIO","AGOSTO","SETTEMBRE","OTTOBRE","NOVEMBRE","DICEMBRE"},0)</f>
        <v>3</v>
      </c>
      <c r="E1292" s="57" t="str">
        <f t="shared" si="1214"/>
        <v>MARZO 2024</v>
      </c>
      <c r="F1292" s="57" t="str">
        <f t="shared" si="1215"/>
        <v>3 MARZO 2024</v>
      </c>
      <c r="G1292" s="59">
        <v>0.4</v>
      </c>
      <c r="H1292" s="1338" t="s">
        <v>777</v>
      </c>
      <c r="I1292" s="960"/>
      <c r="J1292" s="59"/>
      <c r="K1292" s="59"/>
    </row>
    <row r="1293" spans="1:11" x14ac:dyDescent="0.25">
      <c r="A1293" s="57" t="s">
        <v>121</v>
      </c>
      <c r="B1293" s="57" t="s">
        <v>168</v>
      </c>
      <c r="C1293" s="57">
        <v>2024</v>
      </c>
      <c r="D1293" s="58">
        <f>MATCH(B1293,{"GENNAIO","FEBBRAIO","MARZO","APRILE","MAGGIO","GIUGNO","LUGLIO","AGOSTO","SETTEMBRE","OTTOBRE","NOVEMBRE","DICEMBRE"},0)</f>
        <v>3</v>
      </c>
      <c r="E1293" s="57" t="str">
        <f t="shared" si="1214"/>
        <v>MARZO 2024</v>
      </c>
      <c r="F1293" s="57" t="str">
        <f t="shared" si="1215"/>
        <v>3 MARZO 2024</v>
      </c>
      <c r="G1293" s="59">
        <v>0.4</v>
      </c>
      <c r="H1293" s="1338" t="s">
        <v>777</v>
      </c>
      <c r="I1293" s="960"/>
      <c r="J1293" s="59"/>
      <c r="K1293" s="59"/>
    </row>
    <row r="1294" spans="1:11" x14ac:dyDescent="0.25">
      <c r="A1294" s="57" t="s">
        <v>121</v>
      </c>
      <c r="B1294" s="57" t="s">
        <v>168</v>
      </c>
      <c r="C1294" s="57">
        <v>2024</v>
      </c>
      <c r="D1294" s="58">
        <f>MATCH(B1294,{"GENNAIO","FEBBRAIO","MARZO","APRILE","MAGGIO","GIUGNO","LUGLIO","AGOSTO","SETTEMBRE","OTTOBRE","NOVEMBRE","DICEMBRE"},0)</f>
        <v>3</v>
      </c>
      <c r="E1294" s="57" t="str">
        <f t="shared" si="1214"/>
        <v>MARZO 2024</v>
      </c>
      <c r="F1294" s="57" t="str">
        <f t="shared" si="1215"/>
        <v>3 MARZO 2024</v>
      </c>
      <c r="G1294" s="59">
        <v>0.4</v>
      </c>
      <c r="H1294" s="1338" t="s">
        <v>777</v>
      </c>
      <c r="I1294" s="960"/>
      <c r="J1294" s="59"/>
      <c r="K1294" s="59"/>
    </row>
    <row r="1295" spans="1:11" ht="16.5" customHeight="1" x14ac:dyDescent="0.25">
      <c r="A1295" s="57" t="s">
        <v>121</v>
      </c>
      <c r="B1295" s="57" t="s">
        <v>168</v>
      </c>
      <c r="C1295" s="57">
        <v>2024</v>
      </c>
      <c r="D1295" s="58">
        <f>MATCH(B1295,{"GENNAIO","FEBBRAIO","MARZO","APRILE","MAGGIO","GIUGNO","LUGLIO","AGOSTO","SETTEMBRE","OTTOBRE","NOVEMBRE","DICEMBRE"},0)</f>
        <v>3</v>
      </c>
      <c r="E1295" s="57" t="str">
        <f t="shared" si="1214"/>
        <v>MARZO 2024</v>
      </c>
      <c r="F1295" s="57" t="str">
        <f t="shared" si="1215"/>
        <v>3 MARZO 2024</v>
      </c>
      <c r="G1295" s="59">
        <v>0.4</v>
      </c>
      <c r="H1295" s="1338" t="s">
        <v>777</v>
      </c>
      <c r="I1295" s="960"/>
      <c r="J1295" s="59"/>
      <c r="K1295" s="59"/>
    </row>
    <row r="1296" spans="1:11" x14ac:dyDescent="0.25">
      <c r="A1296" s="57" t="s">
        <v>175</v>
      </c>
      <c r="B1296" s="57" t="s">
        <v>168</v>
      </c>
      <c r="C1296" s="57">
        <v>2024</v>
      </c>
      <c r="D1296" s="58">
        <f>MATCH(B1296,{"GENNAIO","FEBBRAIO","MARZO","APRILE","MAGGIO","GIUGNO","LUGLIO","AGOSTO","SETTEMBRE","OTTOBRE","NOVEMBRE","DICEMBRE"},0)</f>
        <v>3</v>
      </c>
      <c r="E1296" s="57" t="str">
        <f t="shared" si="1214"/>
        <v>MARZO 2024</v>
      </c>
      <c r="F1296" s="57" t="str">
        <f t="shared" si="1215"/>
        <v>3 MARZO 2024</v>
      </c>
      <c r="G1296" s="59">
        <v>7.9</v>
      </c>
      <c r="H1296" s="1338" t="s">
        <v>70</v>
      </c>
      <c r="I1296" s="960"/>
      <c r="J1296" s="59"/>
      <c r="K1296" s="59"/>
    </row>
    <row r="1297" spans="1:11" ht="16.5" customHeight="1" x14ac:dyDescent="0.25">
      <c r="A1297" s="57" t="s">
        <v>175</v>
      </c>
      <c r="B1297" s="57" t="s">
        <v>168</v>
      </c>
      <c r="C1297" s="57">
        <v>2024</v>
      </c>
      <c r="D1297" s="58">
        <f>MATCH(B1297,{"GENNAIO","FEBBRAIO","MARZO","APRILE","MAGGIO","GIUGNO","LUGLIO","AGOSTO","SETTEMBRE","OTTOBRE","NOVEMBRE","DICEMBRE"},0)</f>
        <v>3</v>
      </c>
      <c r="E1297" s="57" t="str">
        <f t="shared" si="1214"/>
        <v>MARZO 2024</v>
      </c>
      <c r="F1297" s="57" t="str">
        <f t="shared" si="1215"/>
        <v>3 MARZO 2024</v>
      </c>
      <c r="G1297" s="59">
        <v>18.8</v>
      </c>
      <c r="H1297" s="1338" t="s">
        <v>70</v>
      </c>
      <c r="I1297" s="960"/>
      <c r="J1297" s="59"/>
      <c r="K1297" s="59"/>
    </row>
    <row r="1298" spans="1:11" ht="16.5" customHeight="1" x14ac:dyDescent="0.25">
      <c r="A1298" s="57" t="s">
        <v>108</v>
      </c>
      <c r="B1298" s="57" t="s">
        <v>176</v>
      </c>
      <c r="C1298" s="57">
        <v>2024</v>
      </c>
      <c r="D1298" s="58">
        <f>MATCH(B1298,{"GENNAIO","FEBBRAIO","MARZO","APRILE","MAGGIO","GIUGNO","LUGLIO","AGOSTO","SETTEMBRE","OTTOBRE","NOVEMBRE","DICEMBRE"},0)</f>
        <v>2</v>
      </c>
      <c r="E1298" s="57" t="str">
        <f t="shared" si="1214"/>
        <v>FEBBRAIO 2024</v>
      </c>
      <c r="F1298" s="57" t="str">
        <f t="shared" si="1215"/>
        <v>2 FEBBRAIO 2024</v>
      </c>
      <c r="G1298" s="59">
        <v>0.99</v>
      </c>
      <c r="H1298" s="1338" t="s">
        <v>75</v>
      </c>
      <c r="I1298" s="960"/>
      <c r="J1298" s="57" t="s">
        <v>108</v>
      </c>
      <c r="K1298" s="59"/>
    </row>
    <row r="1299" spans="1:11" ht="16.5" customHeight="1" x14ac:dyDescent="0.25">
      <c r="A1299" s="57" t="s">
        <v>83</v>
      </c>
      <c r="B1299" s="57" t="s">
        <v>176</v>
      </c>
      <c r="C1299" s="57">
        <v>2024</v>
      </c>
      <c r="D1299" s="58">
        <f>MATCH(B1299,{"GENNAIO","FEBBRAIO","MARZO","APRILE","MAGGIO","GIUGNO","LUGLIO","AGOSTO","SETTEMBRE","OTTOBRE","NOVEMBRE","DICEMBRE"},0)</f>
        <v>2</v>
      </c>
      <c r="E1299" s="57" t="str">
        <f t="shared" si="1214"/>
        <v>FEBBRAIO 2024</v>
      </c>
      <c r="F1299" s="57" t="str">
        <f t="shared" si="1215"/>
        <v>2 FEBBRAIO 2024</v>
      </c>
      <c r="G1299" s="59">
        <v>12.91</v>
      </c>
      <c r="H1299" s="1338" t="s">
        <v>77</v>
      </c>
      <c r="I1299" s="960"/>
      <c r="J1299" s="59"/>
      <c r="K1299" s="59"/>
    </row>
    <row r="1300" spans="1:11" ht="16.5" customHeight="1" x14ac:dyDescent="0.25">
      <c r="A1300" s="57" t="s">
        <v>140</v>
      </c>
      <c r="B1300" s="57" t="s">
        <v>176</v>
      </c>
      <c r="C1300" s="57">
        <v>2024</v>
      </c>
      <c r="D1300" s="58">
        <f>MATCH(B1300,{"GENNAIO","FEBBRAIO","MARZO","APRILE","MAGGIO","GIUGNO","LUGLIO","AGOSTO","SETTEMBRE","OTTOBRE","NOVEMBRE","DICEMBRE"},0)</f>
        <v>2</v>
      </c>
      <c r="E1300" s="57" t="str">
        <f t="shared" si="1214"/>
        <v>FEBBRAIO 2024</v>
      </c>
      <c r="F1300" s="57" t="str">
        <f t="shared" si="1215"/>
        <v>2 FEBBRAIO 2024</v>
      </c>
      <c r="G1300" s="59">
        <f>37.94*2</f>
        <v>75.88</v>
      </c>
      <c r="H1300" s="1338" t="s">
        <v>69</v>
      </c>
      <c r="I1300" s="960"/>
      <c r="J1300" s="59"/>
      <c r="K1300" s="59"/>
    </row>
    <row r="1301" spans="1:11" ht="16.5" customHeight="1" x14ac:dyDescent="0.25">
      <c r="A1301" s="57" t="s">
        <v>138</v>
      </c>
      <c r="B1301" s="57" t="s">
        <v>176</v>
      </c>
      <c r="C1301" s="57">
        <v>2024</v>
      </c>
      <c r="D1301" s="58">
        <f>MATCH(B1301,{"GENNAIO","FEBBRAIO","MARZO","APRILE","MAGGIO","GIUGNO","LUGLIO","AGOSTO","SETTEMBRE","OTTOBRE","NOVEMBRE","DICEMBRE"},0)</f>
        <v>2</v>
      </c>
      <c r="E1301" s="57" t="str">
        <f t="shared" si="1214"/>
        <v>FEBBRAIO 2024</v>
      </c>
      <c r="F1301" s="57" t="str">
        <f t="shared" si="1215"/>
        <v>2 FEBBRAIO 2024</v>
      </c>
      <c r="G1301" s="59">
        <v>18</v>
      </c>
      <c r="H1301" s="1338" t="s">
        <v>69</v>
      </c>
      <c r="I1301" s="960"/>
      <c r="J1301" s="59"/>
      <c r="K1301" s="59"/>
    </row>
    <row r="1302" spans="1:11" ht="18.600000000000001" customHeight="1" x14ac:dyDescent="0.25">
      <c r="A1302" s="57" t="s">
        <v>177</v>
      </c>
      <c r="B1302" s="57" t="s">
        <v>176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214"/>
        <v>FEBBRAIO 2024</v>
      </c>
      <c r="F1302" s="57" t="str">
        <f t="shared" si="1215"/>
        <v>2 FEBBRAIO 2024</v>
      </c>
      <c r="G1302" s="59">
        <v>15</v>
      </c>
      <c r="H1302" s="1338" t="s">
        <v>69</v>
      </c>
      <c r="I1302" s="960"/>
      <c r="J1302" s="59"/>
      <c r="K1302" s="59"/>
    </row>
    <row r="1303" spans="1:11" x14ac:dyDescent="0.25">
      <c r="A1303" s="57" t="s">
        <v>178</v>
      </c>
      <c r="B1303" s="57" t="s">
        <v>176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214"/>
        <v>FEBBRAIO 2024</v>
      </c>
      <c r="F1303" s="57" t="str">
        <f t="shared" si="1215"/>
        <v>2 FEBBRAIO 2024</v>
      </c>
      <c r="G1303" s="59">
        <v>82.6</v>
      </c>
      <c r="H1303" s="1338" t="s">
        <v>69</v>
      </c>
      <c r="I1303" s="960"/>
      <c r="J1303" s="59"/>
      <c r="K1303" s="59"/>
    </row>
    <row r="1304" spans="1:11" ht="16.5" customHeight="1" x14ac:dyDescent="0.25">
      <c r="A1304" s="57" t="s">
        <v>138</v>
      </c>
      <c r="B1304" s="57" t="s">
        <v>176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214"/>
        <v>FEBBRAIO 2024</v>
      </c>
      <c r="F1304" s="57" t="str">
        <f t="shared" si="1215"/>
        <v>2 FEBBRAIO 2024</v>
      </c>
      <c r="G1304" s="59">
        <v>15.5</v>
      </c>
      <c r="H1304" s="1338" t="s">
        <v>69</v>
      </c>
      <c r="I1304" s="960"/>
      <c r="J1304" s="59"/>
      <c r="K1304" s="59"/>
    </row>
    <row r="1305" spans="1:11" x14ac:dyDescent="0.25">
      <c r="A1305" s="57" t="s">
        <v>122</v>
      </c>
      <c r="B1305" s="57" t="s">
        <v>176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214"/>
        <v>FEBBRAIO 2024</v>
      </c>
      <c r="F1305" s="57" t="str">
        <f t="shared" si="1215"/>
        <v>2 FEBBRAIO 2024</v>
      </c>
      <c r="G1305" s="59">
        <v>6.46</v>
      </c>
      <c r="H1305" s="1338" t="s">
        <v>77</v>
      </c>
      <c r="I1305" s="960"/>
      <c r="J1305" s="59"/>
      <c r="K1305" s="59"/>
    </row>
    <row r="1306" spans="1:11" ht="14.25" customHeight="1" x14ac:dyDescent="0.25">
      <c r="A1306" s="57" t="s">
        <v>76</v>
      </c>
      <c r="B1306" s="57" t="s">
        <v>176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ref="E1306:E1369" si="1216">CONCATENATE(,B1306," ",C1306)</f>
        <v>FEBBRAIO 2024</v>
      </c>
      <c r="F1306" s="57" t="str">
        <f t="shared" ref="F1306:F1369" si="1217">CONCATENATE(D1306," ",E1306)</f>
        <v>2 FEBBRAIO 2024</v>
      </c>
      <c r="G1306" s="59">
        <v>5.86</v>
      </c>
      <c r="H1306" s="1338" t="s">
        <v>77</v>
      </c>
      <c r="I1306" s="960"/>
      <c r="J1306" s="59"/>
      <c r="K1306" s="59"/>
    </row>
    <row r="1307" spans="1:11" x14ac:dyDescent="0.25">
      <c r="A1307" s="57" t="s">
        <v>67</v>
      </c>
      <c r="B1307" s="57" t="s">
        <v>176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216"/>
        <v>FEBBRAIO 2024</v>
      </c>
      <c r="F1307" s="57" t="str">
        <f t="shared" si="1217"/>
        <v>2 FEBBRAIO 2024</v>
      </c>
      <c r="G1307" s="59">
        <v>5</v>
      </c>
      <c r="H1307" s="1338" t="s">
        <v>776</v>
      </c>
      <c r="I1307" s="960"/>
      <c r="J1307" s="59"/>
      <c r="K1307" s="59"/>
    </row>
    <row r="1308" spans="1:11" ht="16.5" customHeight="1" x14ac:dyDescent="0.25">
      <c r="A1308" s="57" t="s">
        <v>145</v>
      </c>
      <c r="B1308" s="57" t="s">
        <v>176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si="1216"/>
        <v>FEBBRAIO 2024</v>
      </c>
      <c r="F1308" s="57" t="str">
        <f t="shared" si="1217"/>
        <v>2 FEBBRAIO 2024</v>
      </c>
      <c r="G1308" s="59">
        <v>18</v>
      </c>
      <c r="H1308" s="1338" t="s">
        <v>69</v>
      </c>
      <c r="I1308" s="960"/>
      <c r="J1308" s="59"/>
      <c r="K1308" s="59"/>
    </row>
    <row r="1309" spans="1:11" ht="16.5" customHeight="1" x14ac:dyDescent="0.25">
      <c r="A1309" s="57" t="s">
        <v>1017</v>
      </c>
      <c r="B1309" s="57" t="s">
        <v>176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si="1216"/>
        <v>FEBBRAIO 2024</v>
      </c>
      <c r="F1309" s="57" t="str">
        <f t="shared" si="1217"/>
        <v>2 FEBBRAIO 2024</v>
      </c>
      <c r="G1309" s="59">
        <v>1</v>
      </c>
      <c r="H1309" s="1338" t="s">
        <v>741</v>
      </c>
      <c r="I1309" s="960"/>
      <c r="J1309" s="59"/>
      <c r="K1309" s="59"/>
    </row>
    <row r="1310" spans="1:11" ht="18.600000000000001" customHeight="1" x14ac:dyDescent="0.25">
      <c r="A1310" s="57" t="s">
        <v>83</v>
      </c>
      <c r="B1310" s="57" t="s">
        <v>176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si="1216"/>
        <v>FEBBRAIO 2024</v>
      </c>
      <c r="F1310" s="57" t="str">
        <f t="shared" si="1217"/>
        <v>2 FEBBRAIO 2024</v>
      </c>
      <c r="G1310" s="59">
        <v>8.06</v>
      </c>
      <c r="H1310" s="1338" t="s">
        <v>77</v>
      </c>
      <c r="I1310" s="960"/>
      <c r="J1310" s="59"/>
      <c r="K1310" s="59"/>
    </row>
    <row r="1311" spans="1:11" ht="16.5" customHeight="1" x14ac:dyDescent="0.25">
      <c r="A1311" s="57" t="s">
        <v>108</v>
      </c>
      <c r="B1311" s="57" t="s">
        <v>176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216"/>
        <v>FEBBRAIO 2024</v>
      </c>
      <c r="F1311" s="57" t="str">
        <f t="shared" si="1217"/>
        <v>2 FEBBRAIO 2024</v>
      </c>
      <c r="G1311" s="59">
        <v>29.99</v>
      </c>
      <c r="H1311" s="1338" t="s">
        <v>75</v>
      </c>
      <c r="I1311" s="960"/>
      <c r="J1311" s="57" t="s">
        <v>108</v>
      </c>
      <c r="K1311" s="59"/>
    </row>
    <row r="1312" spans="1:11" ht="16.5" customHeight="1" x14ac:dyDescent="0.25">
      <c r="A1312" s="57" t="s">
        <v>179</v>
      </c>
      <c r="B1312" s="57" t="s">
        <v>176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16"/>
        <v>FEBBRAIO 2024</v>
      </c>
      <c r="F1312" s="57" t="str">
        <f t="shared" si="1217"/>
        <v>2 FEBBRAIO 2024</v>
      </c>
      <c r="G1312" s="59">
        <v>35</v>
      </c>
      <c r="H1312" s="1338" t="s">
        <v>69</v>
      </c>
      <c r="I1312" s="960"/>
      <c r="J1312" s="59"/>
      <c r="K1312" s="59"/>
    </row>
    <row r="1313" spans="1:11" x14ac:dyDescent="0.25">
      <c r="A1313" s="57" t="s">
        <v>122</v>
      </c>
      <c r="B1313" s="57" t="s">
        <v>176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16"/>
        <v>FEBBRAIO 2024</v>
      </c>
      <c r="F1313" s="57" t="str">
        <f t="shared" si="1217"/>
        <v>2 FEBBRAIO 2024</v>
      </c>
      <c r="G1313" s="59">
        <v>3.4</v>
      </c>
      <c r="H1313" s="1338" t="s">
        <v>77</v>
      </c>
      <c r="I1313" s="960"/>
      <c r="J1313" s="59"/>
      <c r="K1313" s="59"/>
    </row>
    <row r="1314" spans="1:11" ht="16.5" customHeight="1" x14ac:dyDescent="0.25">
      <c r="A1314" s="57" t="s">
        <v>67</v>
      </c>
      <c r="B1314" s="57" t="s">
        <v>176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16"/>
        <v>FEBBRAIO 2024</v>
      </c>
      <c r="F1314" s="57" t="str">
        <f t="shared" si="1217"/>
        <v>2 FEBBRAIO 2024</v>
      </c>
      <c r="G1314" s="59">
        <v>3.9</v>
      </c>
      <c r="H1314" s="1338" t="s">
        <v>69</v>
      </c>
      <c r="I1314" s="960"/>
      <c r="J1314" s="59"/>
      <c r="K1314" s="59"/>
    </row>
    <row r="1315" spans="1:11" ht="16.5" customHeight="1" x14ac:dyDescent="0.25">
      <c r="A1315" s="57" t="s">
        <v>180</v>
      </c>
      <c r="B1315" s="57" t="s">
        <v>176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16"/>
        <v>FEBBRAIO 2024</v>
      </c>
      <c r="F1315" s="57" t="str">
        <f t="shared" si="1217"/>
        <v>2 FEBBRAIO 2024</v>
      </c>
      <c r="G1315" s="59">
        <v>16</v>
      </c>
      <c r="H1315" s="1338" t="s">
        <v>69</v>
      </c>
      <c r="I1315" s="960"/>
      <c r="J1315" s="59"/>
      <c r="K1315" s="59"/>
    </row>
    <row r="1316" spans="1:11" ht="18.600000000000001" customHeight="1" x14ac:dyDescent="0.25">
      <c r="A1316" s="57" t="s">
        <v>83</v>
      </c>
      <c r="B1316" s="57" t="s">
        <v>176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16"/>
        <v>FEBBRAIO 2024</v>
      </c>
      <c r="F1316" s="57" t="str">
        <f t="shared" si="1217"/>
        <v>2 FEBBRAIO 2024</v>
      </c>
      <c r="G1316" s="59">
        <v>13.78</v>
      </c>
      <c r="H1316" s="1338" t="s">
        <v>77</v>
      </c>
      <c r="I1316" s="960"/>
      <c r="J1316" s="59"/>
      <c r="K1316" s="59"/>
    </row>
    <row r="1317" spans="1:11" ht="16.5" customHeight="1" x14ac:dyDescent="0.25">
      <c r="A1317" s="57" t="s">
        <v>181</v>
      </c>
      <c r="B1317" s="57" t="s">
        <v>176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16"/>
        <v>FEBBRAIO 2024</v>
      </c>
      <c r="F1317" s="57" t="str">
        <f t="shared" si="1217"/>
        <v>2 FEBBRAIO 2024</v>
      </c>
      <c r="G1317" s="59">
        <v>20</v>
      </c>
      <c r="H1317" s="1338" t="s">
        <v>69</v>
      </c>
      <c r="I1317" s="960"/>
      <c r="J1317" s="59"/>
      <c r="K1317" s="59"/>
    </row>
    <row r="1318" spans="1:11" ht="16.5" customHeight="1" x14ac:dyDescent="0.25">
      <c r="A1318" s="57" t="s">
        <v>182</v>
      </c>
      <c r="B1318" s="57" t="s">
        <v>176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16"/>
        <v>FEBBRAIO 2024</v>
      </c>
      <c r="F1318" s="57" t="str">
        <f t="shared" si="1217"/>
        <v>2 FEBBRAIO 2024</v>
      </c>
      <c r="G1318" s="59">
        <v>22</v>
      </c>
      <c r="H1318" s="1338" t="s">
        <v>69</v>
      </c>
      <c r="I1318" s="960"/>
      <c r="J1318" s="59"/>
      <c r="K1318" s="59"/>
    </row>
    <row r="1319" spans="1:11" ht="16.5" customHeight="1" x14ac:dyDescent="0.25">
      <c r="A1319" s="57" t="s">
        <v>79</v>
      </c>
      <c r="B1319" s="57" t="s">
        <v>176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16"/>
        <v>FEBBRAIO 2024</v>
      </c>
      <c r="F1319" s="57" t="str">
        <f t="shared" si="1217"/>
        <v>2 FEBBRAIO 2024</v>
      </c>
      <c r="G1319" s="59">
        <v>4.99</v>
      </c>
      <c r="H1319" s="1338" t="s">
        <v>81</v>
      </c>
      <c r="I1319" s="960"/>
      <c r="J1319" s="59"/>
      <c r="K1319" s="59"/>
    </row>
    <row r="1320" spans="1:11" ht="16.5" customHeight="1" x14ac:dyDescent="0.25">
      <c r="A1320" s="57" t="s">
        <v>121</v>
      </c>
      <c r="B1320" s="57" t="s">
        <v>176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216"/>
        <v>FEBBRAIO 2024</v>
      </c>
      <c r="F1320" s="57" t="str">
        <f t="shared" si="1217"/>
        <v>2 FEBBRAIO 2024</v>
      </c>
      <c r="G1320" s="59">
        <v>0.4</v>
      </c>
      <c r="H1320" s="1338" t="s">
        <v>777</v>
      </c>
      <c r="I1320" s="960"/>
      <c r="J1320" s="59"/>
      <c r="K1320" s="59"/>
    </row>
    <row r="1321" spans="1:11" x14ac:dyDescent="0.25">
      <c r="A1321" s="57" t="s">
        <v>121</v>
      </c>
      <c r="B1321" s="57" t="s">
        <v>176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16"/>
        <v>FEBBRAIO 2024</v>
      </c>
      <c r="F1321" s="57" t="str">
        <f t="shared" si="1217"/>
        <v>2 FEBBRAIO 2024</v>
      </c>
      <c r="G1321" s="59">
        <v>0.4</v>
      </c>
      <c r="H1321" s="1338" t="s">
        <v>777</v>
      </c>
      <c r="I1321" s="960"/>
      <c r="J1321" s="59"/>
      <c r="K1321" s="59"/>
    </row>
    <row r="1322" spans="1:11" ht="18" customHeight="1" x14ac:dyDescent="0.25">
      <c r="A1322" s="57" t="s">
        <v>121</v>
      </c>
      <c r="B1322" s="57" t="s">
        <v>176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16"/>
        <v>FEBBRAIO 2024</v>
      </c>
      <c r="F1322" s="57" t="str">
        <f t="shared" si="1217"/>
        <v>2 FEBBRAIO 2024</v>
      </c>
      <c r="G1322" s="59">
        <v>0.4</v>
      </c>
      <c r="H1322" s="1338" t="s">
        <v>777</v>
      </c>
      <c r="I1322" s="960"/>
      <c r="J1322" s="59"/>
      <c r="K1322" s="59"/>
    </row>
    <row r="1323" spans="1:11" x14ac:dyDescent="0.25">
      <c r="A1323" s="57" t="s">
        <v>121</v>
      </c>
      <c r="B1323" s="57" t="s">
        <v>176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16"/>
        <v>FEBBRAIO 2024</v>
      </c>
      <c r="F1323" s="57" t="str">
        <f t="shared" si="1217"/>
        <v>2 FEBBRAIO 2024</v>
      </c>
      <c r="G1323" s="59">
        <v>0.4</v>
      </c>
      <c r="H1323" s="1338" t="s">
        <v>777</v>
      </c>
      <c r="I1323" s="960"/>
      <c r="J1323" s="59"/>
      <c r="K1323" s="59"/>
    </row>
    <row r="1324" spans="1:11" ht="18.600000000000001" customHeight="1" x14ac:dyDescent="0.25">
      <c r="A1324" s="57" t="s">
        <v>113</v>
      </c>
      <c r="B1324" s="57" t="s">
        <v>176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16"/>
        <v>FEBBRAIO 2024</v>
      </c>
      <c r="F1324" s="57" t="str">
        <f t="shared" si="1217"/>
        <v>2 FEBBRAIO 2024</v>
      </c>
      <c r="G1324" s="59">
        <v>33</v>
      </c>
      <c r="H1324" s="1338" t="s">
        <v>114</v>
      </c>
      <c r="I1324" s="960"/>
      <c r="J1324" s="59"/>
      <c r="K1324" s="59"/>
    </row>
    <row r="1325" spans="1:11" x14ac:dyDescent="0.25">
      <c r="A1325" s="57" t="s">
        <v>998</v>
      </c>
      <c r="B1325" s="57" t="s">
        <v>176</v>
      </c>
      <c r="C1325" s="57">
        <v>2024</v>
      </c>
      <c r="D1325" s="58">
        <f>MATCH(B1325,{"GENNAIO","FEBBRAIO","MARZO","APRILE","MAGGIO","GIUGNO","LUGLIO","AGOSTO","SETTEMBRE","OTTOBRE","NOVEMBRE","DICEMBRE"},0)</f>
        <v>2</v>
      </c>
      <c r="E1325" s="57" t="str">
        <f t="shared" si="1216"/>
        <v>FEBBRAIO 2024</v>
      </c>
      <c r="F1325" s="57" t="str">
        <f t="shared" si="1217"/>
        <v>2 FEBBRAIO 2024</v>
      </c>
      <c r="G1325" s="59">
        <v>31.09</v>
      </c>
      <c r="H1325" s="1338" t="s">
        <v>70</v>
      </c>
      <c r="I1325" s="960" t="s">
        <v>988</v>
      </c>
      <c r="J1325" s="59" t="s">
        <v>768</v>
      </c>
      <c r="K1325" s="59"/>
    </row>
    <row r="1326" spans="1:11" x14ac:dyDescent="0.25">
      <c r="A1326" s="57" t="s">
        <v>171</v>
      </c>
      <c r="B1326" s="57" t="s">
        <v>176</v>
      </c>
      <c r="C1326" s="57">
        <v>2024</v>
      </c>
      <c r="D1326" s="58">
        <f>MATCH(B1326,{"GENNAIO","FEBBRAIO","MARZO","APRILE","MAGGIO","GIUGNO","LUGLIO","AGOSTO","SETTEMBRE","OTTOBRE","NOVEMBRE","DICEMBRE"},0)</f>
        <v>2</v>
      </c>
      <c r="E1326" s="57" t="str">
        <f t="shared" si="1216"/>
        <v>FEBBRAIO 2024</v>
      </c>
      <c r="F1326" s="57" t="str">
        <f t="shared" si="1217"/>
        <v>2 FEBBRAIO 2024</v>
      </c>
      <c r="G1326" s="59">
        <v>22.16</v>
      </c>
      <c r="H1326" s="1338" t="s">
        <v>81</v>
      </c>
      <c r="I1326" s="960"/>
      <c r="J1326" s="59"/>
      <c r="K1326" s="59"/>
    </row>
    <row r="1327" spans="1:11" ht="18.600000000000001" customHeight="1" x14ac:dyDescent="0.25">
      <c r="A1327" s="57" t="s">
        <v>79</v>
      </c>
      <c r="B1327" s="57" t="s">
        <v>176</v>
      </c>
      <c r="C1327" s="57">
        <v>2024</v>
      </c>
      <c r="D1327" s="58">
        <f>MATCH(B1327,{"GENNAIO","FEBBRAIO","MARZO","APRILE","MAGGIO","GIUGNO","LUGLIO","AGOSTO","SETTEMBRE","OTTOBRE","NOVEMBRE","DICEMBRE"},0)</f>
        <v>2</v>
      </c>
      <c r="E1327" s="57" t="str">
        <f t="shared" si="1216"/>
        <v>FEBBRAIO 2024</v>
      </c>
      <c r="F1327" s="57" t="str">
        <f t="shared" si="1217"/>
        <v>2 FEBBRAIO 2024</v>
      </c>
      <c r="G1327" s="59">
        <v>19.690000000000001</v>
      </c>
      <c r="H1327" s="1338" t="s">
        <v>81</v>
      </c>
      <c r="I1327" s="960"/>
      <c r="J1327" s="59"/>
      <c r="K1327" s="59"/>
    </row>
    <row r="1328" spans="1:11" ht="16.5" customHeight="1" x14ac:dyDescent="0.25">
      <c r="A1328" s="57" t="s">
        <v>76</v>
      </c>
      <c r="B1328" s="57" t="s">
        <v>176</v>
      </c>
      <c r="C1328" s="57">
        <v>2024</v>
      </c>
      <c r="D1328" s="58">
        <f>MATCH(B1328,{"GENNAIO","FEBBRAIO","MARZO","APRILE","MAGGIO","GIUGNO","LUGLIO","AGOSTO","SETTEMBRE","OTTOBRE","NOVEMBRE","DICEMBRE"},0)</f>
        <v>2</v>
      </c>
      <c r="E1328" s="57" t="str">
        <f t="shared" si="1216"/>
        <v>FEBBRAIO 2024</v>
      </c>
      <c r="F1328" s="57" t="str">
        <f t="shared" si="1217"/>
        <v>2 FEBBRAIO 2024</v>
      </c>
      <c r="G1328" s="59">
        <v>20.73</v>
      </c>
      <c r="H1328" s="1338" t="s">
        <v>77</v>
      </c>
      <c r="I1328" s="960"/>
      <c r="J1328" s="59"/>
      <c r="K1328" s="59"/>
    </row>
    <row r="1329" spans="1:11" ht="16.5" customHeight="1" x14ac:dyDescent="0.25">
      <c r="A1329" s="57" t="s">
        <v>83</v>
      </c>
      <c r="B1329" s="57" t="s">
        <v>176</v>
      </c>
      <c r="C1329" s="57">
        <v>2024</v>
      </c>
      <c r="D1329" s="58">
        <f>MATCH(B1329,{"GENNAIO","FEBBRAIO","MARZO","APRILE","MAGGIO","GIUGNO","LUGLIO","AGOSTO","SETTEMBRE","OTTOBRE","NOVEMBRE","DICEMBRE"},0)</f>
        <v>2</v>
      </c>
      <c r="E1329" s="57" t="str">
        <f t="shared" si="1216"/>
        <v>FEBBRAIO 2024</v>
      </c>
      <c r="F1329" s="57" t="str">
        <f t="shared" si="1217"/>
        <v>2 FEBBRAIO 2024</v>
      </c>
      <c r="G1329" s="59">
        <v>8.76</v>
      </c>
      <c r="H1329" s="1338" t="s">
        <v>77</v>
      </c>
      <c r="I1329" s="960"/>
      <c r="J1329" s="59"/>
      <c r="K1329" s="59"/>
    </row>
    <row r="1330" spans="1:11" ht="16.5" customHeight="1" x14ac:dyDescent="0.25">
      <c r="A1330" s="57" t="s">
        <v>122</v>
      </c>
      <c r="B1330" s="57" t="s">
        <v>176</v>
      </c>
      <c r="C1330" s="57">
        <v>2024</v>
      </c>
      <c r="D1330" s="58">
        <f>MATCH(B1330,{"GENNAIO","FEBBRAIO","MARZO","APRILE","MAGGIO","GIUGNO","LUGLIO","AGOSTO","SETTEMBRE","OTTOBRE","NOVEMBRE","DICEMBRE"},0)</f>
        <v>2</v>
      </c>
      <c r="E1330" s="57" t="str">
        <f t="shared" si="1216"/>
        <v>FEBBRAIO 2024</v>
      </c>
      <c r="F1330" s="57" t="str">
        <f t="shared" si="1217"/>
        <v>2 FEBBRAIO 2024</v>
      </c>
      <c r="G1330" s="59">
        <v>11.15</v>
      </c>
      <c r="H1330" s="1338" t="s">
        <v>77</v>
      </c>
      <c r="I1330" s="960"/>
      <c r="J1330" s="59"/>
      <c r="K1330" s="59"/>
    </row>
    <row r="1331" spans="1:11" ht="16.5" customHeight="1" x14ac:dyDescent="0.25">
      <c r="A1331" s="57" t="s">
        <v>121</v>
      </c>
      <c r="B1331" s="57" t="s">
        <v>176</v>
      </c>
      <c r="C1331" s="57">
        <v>2024</v>
      </c>
      <c r="D1331" s="58">
        <f>MATCH(B1331,{"GENNAIO","FEBBRAIO","MARZO","APRILE","MAGGIO","GIUGNO","LUGLIO","AGOSTO","SETTEMBRE","OTTOBRE","NOVEMBRE","DICEMBRE"},0)</f>
        <v>2</v>
      </c>
      <c r="E1331" s="57" t="str">
        <f t="shared" si="1216"/>
        <v>FEBBRAIO 2024</v>
      </c>
      <c r="F1331" s="57" t="str">
        <f t="shared" si="1217"/>
        <v>2 FEBBRAIO 2024</v>
      </c>
      <c r="G1331" s="59">
        <v>1.5</v>
      </c>
      <c r="H1331" s="1338" t="s">
        <v>777</v>
      </c>
      <c r="I1331" s="960"/>
      <c r="J1331" s="59"/>
      <c r="K1331" s="59"/>
    </row>
    <row r="1332" spans="1:11" ht="16.5" customHeight="1" x14ac:dyDescent="0.25">
      <c r="A1332" s="57" t="s">
        <v>121</v>
      </c>
      <c r="B1332" s="57" t="s">
        <v>176</v>
      </c>
      <c r="C1332" s="57">
        <v>2024</v>
      </c>
      <c r="D1332" s="58">
        <f>MATCH(B1332,{"GENNAIO","FEBBRAIO","MARZO","APRILE","MAGGIO","GIUGNO","LUGLIO","AGOSTO","SETTEMBRE","OTTOBRE","NOVEMBRE","DICEMBRE"},0)</f>
        <v>2</v>
      </c>
      <c r="E1332" s="57" t="str">
        <f t="shared" si="1216"/>
        <v>FEBBRAIO 2024</v>
      </c>
      <c r="F1332" s="57" t="str">
        <f t="shared" si="1217"/>
        <v>2 FEBBRAIO 2024</v>
      </c>
      <c r="G1332" s="59">
        <v>1.3</v>
      </c>
      <c r="H1332" s="1338" t="s">
        <v>777</v>
      </c>
      <c r="I1332" s="960"/>
      <c r="J1332" s="59"/>
      <c r="K1332" s="59"/>
    </row>
    <row r="1333" spans="1:11" ht="16.5" customHeight="1" x14ac:dyDescent="0.25">
      <c r="A1333" s="57" t="s">
        <v>121</v>
      </c>
      <c r="B1333" s="57" t="s">
        <v>176</v>
      </c>
      <c r="C1333" s="57">
        <v>2024</v>
      </c>
      <c r="D1333" s="58">
        <f>MATCH(B1333,{"GENNAIO","FEBBRAIO","MARZO","APRILE","MAGGIO","GIUGNO","LUGLIO","AGOSTO","SETTEMBRE","OTTOBRE","NOVEMBRE","DICEMBRE"},0)</f>
        <v>2</v>
      </c>
      <c r="E1333" s="57" t="str">
        <f t="shared" si="1216"/>
        <v>FEBBRAIO 2024</v>
      </c>
      <c r="F1333" s="57" t="str">
        <f t="shared" si="1217"/>
        <v>2 FEBBRAIO 2024</v>
      </c>
      <c r="G1333" s="59">
        <v>0.4</v>
      </c>
      <c r="H1333" s="1338" t="s">
        <v>777</v>
      </c>
      <c r="I1333" s="960"/>
      <c r="J1333" s="59"/>
      <c r="K1333" s="59"/>
    </row>
    <row r="1334" spans="1:11" ht="16.5" customHeight="1" x14ac:dyDescent="0.25">
      <c r="A1334" s="57" t="s">
        <v>121</v>
      </c>
      <c r="B1334" s="57" t="s">
        <v>183</v>
      </c>
      <c r="C1334" s="57">
        <v>2024</v>
      </c>
      <c r="D1334" s="58">
        <f>MATCH(B1334,{"GENNAIO","FEBBRAIO","MARZO","APRILE","MAGGIO","GIUGNO","LUGLIO","AGOSTO","SETTEMBRE","OTTOBRE","NOVEMBRE","DICEMBRE"},0)</f>
        <v>1</v>
      </c>
      <c r="E1334" s="57" t="str">
        <f t="shared" si="1216"/>
        <v>GENNAIO 2024</v>
      </c>
      <c r="F1334" s="57" t="str">
        <f t="shared" si="1217"/>
        <v>1 GENNAIO 2024</v>
      </c>
      <c r="G1334" s="59">
        <v>0.4</v>
      </c>
      <c r="H1334" s="1338" t="s">
        <v>777</v>
      </c>
      <c r="I1334" s="960"/>
      <c r="J1334" s="59"/>
      <c r="K1334" s="59"/>
    </row>
    <row r="1335" spans="1:11" x14ac:dyDescent="0.25">
      <c r="A1335" s="57" t="s">
        <v>121</v>
      </c>
      <c r="B1335" s="57" t="s">
        <v>183</v>
      </c>
      <c r="C1335" s="57">
        <v>2024</v>
      </c>
      <c r="D1335" s="58">
        <f>MATCH(B1335,{"GENNAIO","FEBBRAIO","MARZO","APRILE","MAGGIO","GIUGNO","LUGLIO","AGOSTO","SETTEMBRE","OTTOBRE","NOVEMBRE","DICEMBRE"},0)</f>
        <v>1</v>
      </c>
      <c r="E1335" s="57" t="str">
        <f t="shared" si="1216"/>
        <v>GENNAIO 2024</v>
      </c>
      <c r="F1335" s="57" t="str">
        <f t="shared" si="1217"/>
        <v>1 GENNAIO 2024</v>
      </c>
      <c r="G1335" s="59">
        <v>0.4</v>
      </c>
      <c r="H1335" s="1338" t="s">
        <v>777</v>
      </c>
      <c r="I1335" s="960"/>
      <c r="J1335" s="59"/>
      <c r="K1335" s="59"/>
    </row>
    <row r="1336" spans="1:11" ht="16.5" customHeight="1" x14ac:dyDescent="0.25">
      <c r="A1336" s="57" t="s">
        <v>121</v>
      </c>
      <c r="B1336" s="57" t="s">
        <v>183</v>
      </c>
      <c r="C1336" s="57">
        <v>2024</v>
      </c>
      <c r="D1336" s="58">
        <f>MATCH(B1336,{"GENNAIO","FEBBRAIO","MARZO","APRILE","MAGGIO","GIUGNO","LUGLIO","AGOSTO","SETTEMBRE","OTTOBRE","NOVEMBRE","DICEMBRE"},0)</f>
        <v>1</v>
      </c>
      <c r="E1336" s="57" t="str">
        <f t="shared" si="1216"/>
        <v>GENNAIO 2024</v>
      </c>
      <c r="F1336" s="57" t="str">
        <f t="shared" si="1217"/>
        <v>1 GENNAIO 2024</v>
      </c>
      <c r="G1336" s="59">
        <v>0.4</v>
      </c>
      <c r="H1336" s="1338" t="s">
        <v>777</v>
      </c>
      <c r="I1336" s="960"/>
      <c r="J1336" s="59"/>
      <c r="K1336" s="59"/>
    </row>
    <row r="1337" spans="1:11" ht="16.5" customHeight="1" x14ac:dyDescent="0.25">
      <c r="A1337" s="57" t="s">
        <v>121</v>
      </c>
      <c r="B1337" s="57" t="s">
        <v>183</v>
      </c>
      <c r="C1337" s="57">
        <v>2024</v>
      </c>
      <c r="D1337" s="58">
        <f>MATCH(B1337,{"GENNAIO","FEBBRAIO","MARZO","APRILE","MAGGIO","GIUGNO","LUGLIO","AGOSTO","SETTEMBRE","OTTOBRE","NOVEMBRE","DICEMBRE"},0)</f>
        <v>1</v>
      </c>
      <c r="E1337" s="57" t="str">
        <f t="shared" si="1216"/>
        <v>GENNAIO 2024</v>
      </c>
      <c r="F1337" s="57" t="str">
        <f t="shared" si="1217"/>
        <v>1 GENNAIO 2024</v>
      </c>
      <c r="G1337" s="59">
        <v>0.4</v>
      </c>
      <c r="H1337" s="1338" t="s">
        <v>777</v>
      </c>
      <c r="I1337" s="960"/>
      <c r="J1337" s="59"/>
      <c r="K1337" s="59"/>
    </row>
    <row r="1338" spans="1:11" ht="16.5" customHeight="1" x14ac:dyDescent="0.25">
      <c r="A1338" s="57" t="s">
        <v>83</v>
      </c>
      <c r="B1338" s="57" t="s">
        <v>183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216"/>
        <v>GENNAIO 2024</v>
      </c>
      <c r="F1338" s="57" t="str">
        <f t="shared" si="1217"/>
        <v>1 GENNAIO 2024</v>
      </c>
      <c r="G1338" s="59">
        <v>11.69</v>
      </c>
      <c r="H1338" s="1338" t="s">
        <v>77</v>
      </c>
      <c r="I1338" s="960"/>
      <c r="J1338" s="59"/>
      <c r="K1338" s="59"/>
    </row>
    <row r="1339" spans="1:11" ht="16.5" customHeight="1" x14ac:dyDescent="0.25">
      <c r="A1339" s="57" t="s">
        <v>67</v>
      </c>
      <c r="B1339" s="57" t="s">
        <v>183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216"/>
        <v>GENNAIO 2024</v>
      </c>
      <c r="F1339" s="57" t="str">
        <f t="shared" si="1217"/>
        <v>1 GENNAIO 2024</v>
      </c>
      <c r="G1339" s="59">
        <v>5</v>
      </c>
      <c r="H1339" s="1338" t="s">
        <v>776</v>
      </c>
      <c r="I1339" s="960"/>
      <c r="J1339" s="59"/>
      <c r="K1339" s="59"/>
    </row>
    <row r="1340" spans="1:11" ht="16.5" customHeight="1" x14ac:dyDescent="0.25">
      <c r="A1340" s="57" t="s">
        <v>121</v>
      </c>
      <c r="B1340" s="57" t="s">
        <v>183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216"/>
        <v>GENNAIO 2024</v>
      </c>
      <c r="F1340" s="57" t="str">
        <f t="shared" si="1217"/>
        <v>1 GENNAIO 2024</v>
      </c>
      <c r="G1340" s="59">
        <v>0.4</v>
      </c>
      <c r="H1340" s="1338" t="s">
        <v>777</v>
      </c>
      <c r="I1340" s="960"/>
      <c r="J1340" s="59"/>
      <c r="K1340" s="59"/>
    </row>
    <row r="1341" spans="1:11" x14ac:dyDescent="0.25">
      <c r="A1341" s="57" t="s">
        <v>121</v>
      </c>
      <c r="B1341" s="57" t="s">
        <v>183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216"/>
        <v>GENNAIO 2024</v>
      </c>
      <c r="F1341" s="57" t="str">
        <f t="shared" si="1217"/>
        <v>1 GENNAIO 2024</v>
      </c>
      <c r="G1341" s="59">
        <v>0.4</v>
      </c>
      <c r="H1341" s="1338" t="s">
        <v>777</v>
      </c>
      <c r="I1341" s="960"/>
      <c r="J1341" s="59"/>
      <c r="K1341" s="59"/>
    </row>
    <row r="1342" spans="1:11" ht="16.5" customHeight="1" x14ac:dyDescent="0.25">
      <c r="A1342" s="57" t="s">
        <v>121</v>
      </c>
      <c r="B1342" s="57" t="s">
        <v>183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216"/>
        <v>GENNAIO 2024</v>
      </c>
      <c r="F1342" s="57" t="str">
        <f t="shared" si="1217"/>
        <v>1 GENNAIO 2024</v>
      </c>
      <c r="G1342" s="59">
        <v>0.4</v>
      </c>
      <c r="H1342" s="1338" t="s">
        <v>777</v>
      </c>
      <c r="I1342" s="960"/>
      <c r="J1342" s="59"/>
      <c r="K1342" s="59"/>
    </row>
    <row r="1343" spans="1:11" ht="16.5" customHeight="1" x14ac:dyDescent="0.25">
      <c r="A1343" s="57" t="s">
        <v>121</v>
      </c>
      <c r="B1343" s="57" t="s">
        <v>183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216"/>
        <v>GENNAIO 2024</v>
      </c>
      <c r="F1343" s="57" t="str">
        <f t="shared" si="1217"/>
        <v>1 GENNAIO 2024</v>
      </c>
      <c r="G1343" s="59">
        <v>0.4</v>
      </c>
      <c r="H1343" s="1338" t="s">
        <v>777</v>
      </c>
      <c r="I1343" s="960"/>
      <c r="J1343" s="59"/>
      <c r="K1343" s="59"/>
    </row>
    <row r="1344" spans="1:11" x14ac:dyDescent="0.25">
      <c r="A1344" s="57" t="s">
        <v>76</v>
      </c>
      <c r="B1344" s="57" t="s">
        <v>183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216"/>
        <v>GENNAIO 2024</v>
      </c>
      <c r="F1344" s="57" t="str">
        <f t="shared" si="1217"/>
        <v>1 GENNAIO 2024</v>
      </c>
      <c r="G1344" s="59">
        <v>8.33</v>
      </c>
      <c r="H1344" s="1338" t="s">
        <v>77</v>
      </c>
      <c r="I1344" s="960"/>
      <c r="J1344" s="59"/>
      <c r="K1344" s="59"/>
    </row>
    <row r="1345" spans="1:11" ht="16.5" customHeight="1" x14ac:dyDescent="0.25">
      <c r="A1345" s="57" t="s">
        <v>67</v>
      </c>
      <c r="B1345" s="57" t="s">
        <v>183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216"/>
        <v>GENNAIO 2024</v>
      </c>
      <c r="F1345" s="57" t="str">
        <f t="shared" si="1217"/>
        <v>1 GENNAIO 2024</v>
      </c>
      <c r="G1345" s="59">
        <v>3.9</v>
      </c>
      <c r="H1345" s="1338" t="s">
        <v>69</v>
      </c>
      <c r="I1345" s="960"/>
      <c r="J1345" s="59"/>
      <c r="K1345" s="59"/>
    </row>
    <row r="1346" spans="1:11" x14ac:dyDescent="0.25">
      <c r="A1346" s="57" t="s">
        <v>177</v>
      </c>
      <c r="B1346" s="57" t="s">
        <v>183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216"/>
        <v>GENNAIO 2024</v>
      </c>
      <c r="F1346" s="57" t="str">
        <f t="shared" si="1217"/>
        <v>1 GENNAIO 2024</v>
      </c>
      <c r="G1346" s="59">
        <v>16</v>
      </c>
      <c r="H1346" s="1338" t="s">
        <v>69</v>
      </c>
      <c r="I1346" s="960"/>
      <c r="J1346" s="59"/>
      <c r="K1346" s="59"/>
    </row>
    <row r="1347" spans="1:11" ht="18.600000000000001" customHeight="1" x14ac:dyDescent="0.25">
      <c r="A1347" s="57" t="s">
        <v>184</v>
      </c>
      <c r="B1347" s="57" t="s">
        <v>183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216"/>
        <v>GENNAIO 2024</v>
      </c>
      <c r="F1347" s="57" t="str">
        <f t="shared" si="1217"/>
        <v>1 GENNAIO 2024</v>
      </c>
      <c r="G1347" s="59">
        <v>56</v>
      </c>
      <c r="H1347" s="1338" t="s">
        <v>69</v>
      </c>
      <c r="I1347" s="960"/>
      <c r="J1347" s="59"/>
      <c r="K1347" s="59"/>
    </row>
    <row r="1348" spans="1:11" x14ac:dyDescent="0.25">
      <c r="A1348" s="57" t="s">
        <v>108</v>
      </c>
      <c r="B1348" s="57" t="s">
        <v>183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16"/>
        <v>GENNAIO 2024</v>
      </c>
      <c r="F1348" s="57" t="str">
        <f t="shared" si="1217"/>
        <v>1 GENNAIO 2024</v>
      </c>
      <c r="G1348" s="59">
        <v>30.1</v>
      </c>
      <c r="H1348" s="1338" t="s">
        <v>75</v>
      </c>
      <c r="I1348" s="960"/>
      <c r="J1348" s="57" t="s">
        <v>108</v>
      </c>
      <c r="K1348" s="59"/>
    </row>
    <row r="1349" spans="1:11" ht="18.600000000000001" customHeight="1" x14ac:dyDescent="0.25">
      <c r="A1349" s="57" t="s">
        <v>171</v>
      </c>
      <c r="B1349" s="57" t="s">
        <v>183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16"/>
        <v>GENNAIO 2024</v>
      </c>
      <c r="F1349" s="57" t="str">
        <f t="shared" si="1217"/>
        <v>1 GENNAIO 2024</v>
      </c>
      <c r="G1349" s="59">
        <v>13.7</v>
      </c>
      <c r="H1349" s="1338" t="s">
        <v>81</v>
      </c>
      <c r="I1349" s="960"/>
      <c r="J1349" s="59"/>
      <c r="K1349" s="59"/>
    </row>
    <row r="1350" spans="1:11" ht="18" customHeight="1" x14ac:dyDescent="0.25">
      <c r="A1350" s="57" t="s">
        <v>122</v>
      </c>
      <c r="B1350" s="57" t="s">
        <v>183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16"/>
        <v>GENNAIO 2024</v>
      </c>
      <c r="F1350" s="57" t="str">
        <f t="shared" si="1217"/>
        <v>1 GENNAIO 2024</v>
      </c>
      <c r="G1350" s="59">
        <v>21.23</v>
      </c>
      <c r="H1350" s="1338" t="s">
        <v>77</v>
      </c>
      <c r="I1350" s="960"/>
      <c r="J1350" s="59"/>
      <c r="K1350" s="59"/>
    </row>
    <row r="1351" spans="1:11" x14ac:dyDescent="0.25">
      <c r="A1351" s="57" t="s">
        <v>145</v>
      </c>
      <c r="B1351" s="57" t="s">
        <v>183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16"/>
        <v>GENNAIO 2024</v>
      </c>
      <c r="F1351" s="57" t="str">
        <f t="shared" si="1217"/>
        <v>1 GENNAIO 2024</v>
      </c>
      <c r="G1351" s="59">
        <v>19</v>
      </c>
      <c r="H1351" s="1338" t="s">
        <v>69</v>
      </c>
      <c r="I1351" s="960"/>
      <c r="J1351" s="59"/>
      <c r="K1351" s="59"/>
    </row>
    <row r="1352" spans="1:11" ht="16.5" customHeight="1" x14ac:dyDescent="0.25">
      <c r="A1352" s="57" t="s">
        <v>79</v>
      </c>
      <c r="B1352" s="57" t="s">
        <v>183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16"/>
        <v>GENNAIO 2024</v>
      </c>
      <c r="F1352" s="57" t="str">
        <f t="shared" si="1217"/>
        <v>1 GENNAIO 2024</v>
      </c>
      <c r="G1352" s="59">
        <v>12.69</v>
      </c>
      <c r="H1352" s="1338" t="s">
        <v>81</v>
      </c>
      <c r="I1352" s="960"/>
      <c r="J1352" s="59"/>
      <c r="K1352" s="59"/>
    </row>
    <row r="1353" spans="1:11" ht="14.25" customHeight="1" x14ac:dyDescent="0.25">
      <c r="A1353" s="57" t="s">
        <v>998</v>
      </c>
      <c r="B1353" s="57" t="s">
        <v>183</v>
      </c>
      <c r="C1353" s="57">
        <v>2024</v>
      </c>
      <c r="D1353" s="58">
        <f>MATCH(B1353,{"GENNAIO","FEBBRAIO","MARZO","APRILE","MAGGIO","GIUGNO","LUGLIO","AGOSTO","SETTEMBRE","OTTOBRE","NOVEMBRE","DICEMBRE"},0)</f>
        <v>1</v>
      </c>
      <c r="E1353" s="57" t="str">
        <f t="shared" si="1216"/>
        <v>GENNAIO 2024</v>
      </c>
      <c r="F1353" s="57" t="str">
        <f t="shared" si="1217"/>
        <v>1 GENNAIO 2024</v>
      </c>
      <c r="G1353" s="59">
        <v>31.09</v>
      </c>
      <c r="H1353" s="1338" t="s">
        <v>70</v>
      </c>
      <c r="I1353" s="960" t="s">
        <v>993</v>
      </c>
      <c r="J1353" s="59" t="s">
        <v>768</v>
      </c>
      <c r="K1353" s="59"/>
    </row>
    <row r="1354" spans="1:11" x14ac:dyDescent="0.25">
      <c r="A1354" s="57" t="s">
        <v>359</v>
      </c>
      <c r="B1354" s="57" t="s">
        <v>183</v>
      </c>
      <c r="C1354" s="57">
        <v>2024</v>
      </c>
      <c r="D1354" s="58">
        <f>MATCH(B1354,{"GENNAIO","FEBBRAIO","MARZO","APRILE","MAGGIO","GIUGNO","LUGLIO","AGOSTO","SETTEMBRE","OTTOBRE","NOVEMBRE","DICEMBRE"},0)</f>
        <v>1</v>
      </c>
      <c r="E1354" s="57" t="str">
        <f t="shared" si="1216"/>
        <v>GENNAIO 2024</v>
      </c>
      <c r="F1354" s="57" t="str">
        <f t="shared" si="1217"/>
        <v>1 GENNAIO 2024</v>
      </c>
      <c r="G1354" s="59">
        <v>23.32</v>
      </c>
      <c r="H1354" s="1338" t="s">
        <v>185</v>
      </c>
      <c r="I1354" s="960" t="s">
        <v>989</v>
      </c>
      <c r="J1354" s="59" t="s">
        <v>768</v>
      </c>
      <c r="K1354" s="59"/>
    </row>
    <row r="1355" spans="1:11" x14ac:dyDescent="0.25">
      <c r="A1355" s="57" t="s">
        <v>140</v>
      </c>
      <c r="B1355" s="57" t="s">
        <v>183</v>
      </c>
      <c r="C1355" s="57">
        <v>2024</v>
      </c>
      <c r="D1355" s="58">
        <f>MATCH(B1355,{"GENNAIO","FEBBRAIO","MARZO","APRILE","MAGGIO","GIUGNO","LUGLIO","AGOSTO","SETTEMBRE","OTTOBRE","NOVEMBRE","DICEMBRE"},0)</f>
        <v>1</v>
      </c>
      <c r="E1355" s="57" t="str">
        <f t="shared" si="1216"/>
        <v>GENNAIO 2024</v>
      </c>
      <c r="F1355" s="57" t="str">
        <f t="shared" si="1217"/>
        <v>1 GENNAIO 2024</v>
      </c>
      <c r="G1355" s="59">
        <v>59</v>
      </c>
      <c r="H1355" s="1338" t="s">
        <v>69</v>
      </c>
      <c r="I1355" s="960"/>
      <c r="J1355" s="59"/>
      <c r="K1355" s="59"/>
    </row>
    <row r="1356" spans="1:11" x14ac:dyDescent="0.25">
      <c r="A1356" s="57" t="s">
        <v>73</v>
      </c>
      <c r="B1356" s="57" t="s">
        <v>183</v>
      </c>
      <c r="C1356" s="57">
        <v>2024</v>
      </c>
      <c r="D1356" s="58">
        <f>MATCH(B1356,{"GENNAIO","FEBBRAIO","MARZO","APRILE","MAGGIO","GIUGNO","LUGLIO","AGOSTO","SETTEMBRE","OTTOBRE","NOVEMBRE","DICEMBRE"},0)</f>
        <v>1</v>
      </c>
      <c r="E1356" s="57" t="str">
        <f t="shared" si="1216"/>
        <v>GENNAIO 2024</v>
      </c>
      <c r="F1356" s="57" t="str">
        <f t="shared" si="1217"/>
        <v>1 GENNAIO 2024</v>
      </c>
      <c r="G1356" s="59">
        <v>27</v>
      </c>
      <c r="H1356" s="1338" t="s">
        <v>74</v>
      </c>
      <c r="I1356" s="960"/>
      <c r="J1356" s="59"/>
      <c r="K1356" s="59"/>
    </row>
    <row r="1357" spans="1:11" ht="18" customHeight="1" x14ac:dyDescent="0.25">
      <c r="A1357" s="57" t="s">
        <v>186</v>
      </c>
      <c r="B1357" s="57" t="s">
        <v>183</v>
      </c>
      <c r="C1357" s="57">
        <v>2024</v>
      </c>
      <c r="D1357" s="58">
        <f>MATCH(B1357,{"GENNAIO","FEBBRAIO","MARZO","APRILE","MAGGIO","GIUGNO","LUGLIO","AGOSTO","SETTEMBRE","OTTOBRE","NOVEMBRE","DICEMBRE"},0)</f>
        <v>1</v>
      </c>
      <c r="E1357" s="57" t="str">
        <f t="shared" si="1216"/>
        <v>GENNAIO 2024</v>
      </c>
      <c r="F1357" s="57" t="str">
        <f t="shared" si="1217"/>
        <v>1 GENNAIO 2024</v>
      </c>
      <c r="G1357" s="59">
        <v>24.2</v>
      </c>
      <c r="H1357" s="1338" t="s">
        <v>69</v>
      </c>
      <c r="I1357" s="960"/>
      <c r="J1357" s="59"/>
      <c r="K1357" s="59"/>
    </row>
    <row r="1358" spans="1:11" ht="18.600000000000001" customHeight="1" x14ac:dyDescent="0.25">
      <c r="A1358" s="57" t="s">
        <v>1089</v>
      </c>
      <c r="B1358" s="57" t="s">
        <v>183</v>
      </c>
      <c r="C1358" s="57">
        <v>2024</v>
      </c>
      <c r="D1358" s="58">
        <f>MATCH(B1358,{"GENNAIO","FEBBRAIO","MARZO","APRILE","MAGGIO","GIUGNO","LUGLIO","AGOSTO","SETTEMBRE","OTTOBRE","NOVEMBRE","DICEMBRE"},0)</f>
        <v>1</v>
      </c>
      <c r="E1358" s="57" t="str">
        <f t="shared" si="1216"/>
        <v>GENNAIO 2024</v>
      </c>
      <c r="F1358" s="57" t="str">
        <f t="shared" si="1217"/>
        <v>1 GENNAIO 2024</v>
      </c>
      <c r="G1358" s="59">
        <v>25.2</v>
      </c>
      <c r="H1358" s="1338" t="s">
        <v>69</v>
      </c>
      <c r="I1358" s="960"/>
      <c r="J1358" s="59"/>
      <c r="K1358" s="59"/>
    </row>
    <row r="1359" spans="1:11" ht="18" customHeight="1" x14ac:dyDescent="0.25">
      <c r="A1359" s="57" t="s">
        <v>76</v>
      </c>
      <c r="B1359" s="57" t="s">
        <v>183</v>
      </c>
      <c r="C1359" s="57">
        <v>2024</v>
      </c>
      <c r="D1359" s="58">
        <f>MATCH(B1359,{"GENNAIO","FEBBRAIO","MARZO","APRILE","MAGGIO","GIUGNO","LUGLIO","AGOSTO","SETTEMBRE","OTTOBRE","NOVEMBRE","DICEMBRE"},0)</f>
        <v>1</v>
      </c>
      <c r="E1359" s="57" t="str">
        <f t="shared" si="1216"/>
        <v>GENNAIO 2024</v>
      </c>
      <c r="F1359" s="57" t="str">
        <f t="shared" si="1217"/>
        <v>1 GENNAIO 2024</v>
      </c>
      <c r="G1359" s="59">
        <v>26.56</v>
      </c>
      <c r="H1359" s="1338" t="s">
        <v>77</v>
      </c>
      <c r="I1359" s="960"/>
      <c r="J1359" s="59"/>
      <c r="K1359" s="59"/>
    </row>
    <row r="1360" spans="1:11" x14ac:dyDescent="0.25">
      <c r="A1360" s="57" t="s">
        <v>1016</v>
      </c>
      <c r="B1360" s="57" t="s">
        <v>183</v>
      </c>
      <c r="C1360" s="57">
        <v>2024</v>
      </c>
      <c r="D1360" s="58">
        <f>MATCH(B1360,{"GENNAIO","FEBBRAIO","MARZO","APRILE","MAGGIO","GIUGNO","LUGLIO","AGOSTO","SETTEMBRE","OTTOBRE","NOVEMBRE","DICEMBRE"},0)</f>
        <v>1</v>
      </c>
      <c r="E1360" s="57" t="str">
        <f t="shared" si="1216"/>
        <v>GENNAIO 2024</v>
      </c>
      <c r="F1360" s="57" t="str">
        <f t="shared" si="1217"/>
        <v>1 GENNAIO 2024</v>
      </c>
      <c r="G1360" s="59">
        <v>43.27</v>
      </c>
      <c r="H1360" s="1338" t="s">
        <v>81</v>
      </c>
      <c r="I1360" s="960" t="s">
        <v>989</v>
      </c>
      <c r="J1360" s="59" t="s">
        <v>768</v>
      </c>
      <c r="K1360" s="59"/>
    </row>
    <row r="1361" spans="1:11" x14ac:dyDescent="0.25">
      <c r="A1361" s="57" t="s">
        <v>122</v>
      </c>
      <c r="B1361" s="57" t="s">
        <v>183</v>
      </c>
      <c r="C1361" s="57">
        <v>2024</v>
      </c>
      <c r="D1361" s="58">
        <f>MATCH(B1361,{"GENNAIO","FEBBRAIO","MARZO","APRILE","MAGGIO","GIUGNO","LUGLIO","AGOSTO","SETTEMBRE","OTTOBRE","NOVEMBRE","DICEMBRE"},0)</f>
        <v>1</v>
      </c>
      <c r="E1361" s="57" t="str">
        <f t="shared" si="1216"/>
        <v>GENNAIO 2024</v>
      </c>
      <c r="F1361" s="57" t="str">
        <f t="shared" si="1217"/>
        <v>1 GENNAIO 2024</v>
      </c>
      <c r="G1361" s="59">
        <v>4.4000000000000004</v>
      </c>
      <c r="H1361" s="1338" t="s">
        <v>77</v>
      </c>
      <c r="I1361" s="960"/>
      <c r="J1361" s="59"/>
      <c r="K1361" s="59"/>
    </row>
    <row r="1362" spans="1:11" x14ac:dyDescent="0.25">
      <c r="A1362" s="57" t="s">
        <v>187</v>
      </c>
      <c r="B1362" s="57" t="s">
        <v>188</v>
      </c>
      <c r="C1362" s="57">
        <v>2023</v>
      </c>
      <c r="D1362" s="58">
        <f>MATCH(B1362,{"GENNAIO","FEBBRAIO","MARZO","APRILE","MAGGIO","GIUGNO","LUGLIO","AGOSTO","SETTEMBRE","OTTOBRE","NOVEMBRE","DICEMBRE"},0)</f>
        <v>12</v>
      </c>
      <c r="E1362" s="57" t="str">
        <f t="shared" si="1216"/>
        <v>DICEMBRE 2023</v>
      </c>
      <c r="F1362" s="57" t="str">
        <f t="shared" si="1217"/>
        <v>12 DICEMBRE 2023</v>
      </c>
      <c r="G1362" s="59">
        <v>11</v>
      </c>
      <c r="H1362" s="1338" t="s">
        <v>93</v>
      </c>
      <c r="I1362" s="960"/>
      <c r="J1362" s="59"/>
      <c r="K1362" s="59" t="s">
        <v>1133</v>
      </c>
    </row>
    <row r="1363" spans="1:11" x14ac:dyDescent="0.25">
      <c r="A1363" s="57" t="s">
        <v>189</v>
      </c>
      <c r="B1363" s="57" t="s">
        <v>188</v>
      </c>
      <c r="C1363" s="57">
        <v>2023</v>
      </c>
      <c r="D1363" s="58">
        <f>MATCH(B1363,{"GENNAIO","FEBBRAIO","MARZO","APRILE","MAGGIO","GIUGNO","LUGLIO","AGOSTO","SETTEMBRE","OTTOBRE","NOVEMBRE","DICEMBRE"},0)</f>
        <v>12</v>
      </c>
      <c r="E1363" s="57" t="str">
        <f t="shared" si="1216"/>
        <v>DICEMBRE 2023</v>
      </c>
      <c r="F1363" s="57" t="str">
        <f t="shared" si="1217"/>
        <v>12 DICEMBRE 2023</v>
      </c>
      <c r="G1363" s="59">
        <v>44.99</v>
      </c>
      <c r="H1363" s="1338" t="s">
        <v>93</v>
      </c>
      <c r="I1363" s="960"/>
      <c r="J1363" s="59"/>
      <c r="K1363" s="59" t="s">
        <v>1133</v>
      </c>
    </row>
    <row r="1364" spans="1:11" ht="16.5" customHeight="1" x14ac:dyDescent="0.25">
      <c r="A1364" s="57" t="s">
        <v>190</v>
      </c>
      <c r="B1364" s="57" t="s">
        <v>188</v>
      </c>
      <c r="C1364" s="57">
        <v>2023</v>
      </c>
      <c r="D1364" s="58">
        <f>MATCH(B1364,{"GENNAIO","FEBBRAIO","MARZO","APRILE","MAGGIO","GIUGNO","LUGLIO","AGOSTO","SETTEMBRE","OTTOBRE","NOVEMBRE","DICEMBRE"},0)</f>
        <v>12</v>
      </c>
      <c r="E1364" s="57" t="str">
        <f t="shared" si="1216"/>
        <v>DICEMBRE 2023</v>
      </c>
      <c r="F1364" s="57" t="str">
        <f t="shared" si="1217"/>
        <v>12 DICEMBRE 2023</v>
      </c>
      <c r="G1364" s="59">
        <v>15.9</v>
      </c>
      <c r="H1364" s="1338" t="s">
        <v>191</v>
      </c>
      <c r="I1364" s="960"/>
      <c r="J1364" s="59"/>
      <c r="K1364" s="59" t="s">
        <v>1133</v>
      </c>
    </row>
    <row r="1365" spans="1:11" x14ac:dyDescent="0.25">
      <c r="A1365" s="57" t="s">
        <v>192</v>
      </c>
      <c r="B1365" s="57" t="s">
        <v>188</v>
      </c>
      <c r="C1365" s="57">
        <v>2023</v>
      </c>
      <c r="D1365" s="58">
        <f>MATCH(B1365,{"GENNAIO","FEBBRAIO","MARZO","APRILE","MAGGIO","GIUGNO","LUGLIO","AGOSTO","SETTEMBRE","OTTOBRE","NOVEMBRE","DICEMBRE"},0)</f>
        <v>12</v>
      </c>
      <c r="E1365" s="57" t="str">
        <f t="shared" si="1216"/>
        <v>DICEMBRE 2023</v>
      </c>
      <c r="F1365" s="57" t="str">
        <f t="shared" si="1217"/>
        <v>12 DICEMBRE 2023</v>
      </c>
      <c r="G1365" s="60">
        <v>67</v>
      </c>
      <c r="H1365" s="1338" t="s">
        <v>93</v>
      </c>
      <c r="I1365" s="960"/>
      <c r="J1365" s="59"/>
      <c r="K1365" s="59" t="s">
        <v>1133</v>
      </c>
    </row>
    <row r="1366" spans="1:11" ht="16.5" customHeight="1" x14ac:dyDescent="0.25">
      <c r="A1366" s="57" t="s">
        <v>193</v>
      </c>
      <c r="B1366" s="57" t="s">
        <v>188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16"/>
        <v>DICEMBRE 2023</v>
      </c>
      <c r="F1366" s="57" t="str">
        <f t="shared" si="1217"/>
        <v>12 DICEMBRE 2023</v>
      </c>
      <c r="G1366" s="59">
        <v>37.9</v>
      </c>
      <c r="H1366" s="1338" t="s">
        <v>93</v>
      </c>
      <c r="I1366" s="960"/>
      <c r="J1366" s="59"/>
      <c r="K1366" s="59" t="s">
        <v>1133</v>
      </c>
    </row>
    <row r="1367" spans="1:11" ht="16.5" customHeight="1" x14ac:dyDescent="0.25">
      <c r="A1367" s="57" t="s">
        <v>67</v>
      </c>
      <c r="B1367" s="57" t="s">
        <v>188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16"/>
        <v>DICEMBRE 2023</v>
      </c>
      <c r="F1367" s="57" t="str">
        <f t="shared" si="1217"/>
        <v>12 DICEMBRE 2023</v>
      </c>
      <c r="G1367" s="59">
        <v>23</v>
      </c>
      <c r="H1367" s="1338" t="s">
        <v>69</v>
      </c>
      <c r="I1367" s="960"/>
      <c r="J1367" s="59"/>
      <c r="K1367" s="59"/>
    </row>
    <row r="1368" spans="1:11" ht="16.5" customHeight="1" x14ac:dyDescent="0.25">
      <c r="A1368" s="57" t="s">
        <v>76</v>
      </c>
      <c r="B1368" s="57" t="s">
        <v>188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16"/>
        <v>DICEMBRE 2023</v>
      </c>
      <c r="F1368" s="57" t="str">
        <f t="shared" si="1217"/>
        <v>12 DICEMBRE 2023</v>
      </c>
      <c r="G1368" s="59">
        <v>9.0399999999999991</v>
      </c>
      <c r="H1368" s="1338" t="s">
        <v>77</v>
      </c>
      <c r="I1368" s="960"/>
      <c r="J1368" s="59"/>
      <c r="K1368" s="59"/>
    </row>
    <row r="1369" spans="1:11" ht="16.5" customHeight="1" x14ac:dyDescent="0.25">
      <c r="A1369" s="57" t="s">
        <v>121</v>
      </c>
      <c r="B1369" s="57" t="s">
        <v>188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16"/>
        <v>DICEMBRE 2023</v>
      </c>
      <c r="F1369" s="57" t="str">
        <f t="shared" si="1217"/>
        <v>12 DICEMBRE 2023</v>
      </c>
      <c r="G1369" s="59">
        <v>0.4</v>
      </c>
      <c r="H1369" s="1338" t="s">
        <v>777</v>
      </c>
      <c r="I1369" s="960"/>
      <c r="J1369" s="59"/>
      <c r="K1369" s="59"/>
    </row>
    <row r="1370" spans="1:11" x14ac:dyDescent="0.25">
      <c r="A1370" s="57" t="s">
        <v>121</v>
      </c>
      <c r="B1370" s="57" t="s">
        <v>188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ref="E1370:E1433" si="1218">CONCATENATE(,B1370," ",C1370)</f>
        <v>DICEMBRE 2023</v>
      </c>
      <c r="F1370" s="57" t="str">
        <f t="shared" ref="F1370:F1433" si="1219">CONCATENATE(D1370," ",E1370)</f>
        <v>12 DICEMBRE 2023</v>
      </c>
      <c r="G1370" s="59">
        <v>0.4</v>
      </c>
      <c r="H1370" s="1338" t="s">
        <v>777</v>
      </c>
      <c r="I1370" s="960"/>
      <c r="J1370" s="59"/>
      <c r="K1370" s="59"/>
    </row>
    <row r="1371" spans="1:11" ht="18.600000000000001" customHeight="1" x14ac:dyDescent="0.25">
      <c r="A1371" s="57" t="s">
        <v>121</v>
      </c>
      <c r="B1371" s="57" t="s">
        <v>188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18"/>
        <v>DICEMBRE 2023</v>
      </c>
      <c r="F1371" s="57" t="str">
        <f t="shared" si="1219"/>
        <v>12 DICEMBRE 2023</v>
      </c>
      <c r="G1371" s="59">
        <v>0.4</v>
      </c>
      <c r="H1371" s="1338" t="s">
        <v>777</v>
      </c>
      <c r="I1371" s="960"/>
      <c r="J1371" s="59"/>
      <c r="K1371" s="59"/>
    </row>
    <row r="1372" spans="1:11" ht="16.5" customHeight="1" x14ac:dyDescent="0.25">
      <c r="A1372" s="57" t="s">
        <v>108</v>
      </c>
      <c r="B1372" s="57" t="s">
        <v>188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si="1218"/>
        <v>DICEMBRE 2023</v>
      </c>
      <c r="F1372" s="57" t="str">
        <f t="shared" si="1219"/>
        <v>12 DICEMBRE 2023</v>
      </c>
      <c r="G1372" s="59">
        <f>22.49</f>
        <v>22.49</v>
      </c>
      <c r="H1372" s="1338" t="s">
        <v>93</v>
      </c>
      <c r="I1372" s="960"/>
      <c r="J1372" s="57" t="s">
        <v>108</v>
      </c>
      <c r="K1372" s="59" t="s">
        <v>1133</v>
      </c>
    </row>
    <row r="1373" spans="1:11" ht="16.5" customHeight="1" x14ac:dyDescent="0.25">
      <c r="A1373" s="57" t="s">
        <v>1089</v>
      </c>
      <c r="B1373" s="57" t="s">
        <v>188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si="1218"/>
        <v>DICEMBRE 2023</v>
      </c>
      <c r="F1373" s="57" t="str">
        <f t="shared" si="1219"/>
        <v>12 DICEMBRE 2023</v>
      </c>
      <c r="G1373" s="59">
        <v>26.2</v>
      </c>
      <c r="H1373" s="1338" t="s">
        <v>69</v>
      </c>
      <c r="I1373" s="960"/>
      <c r="J1373" s="59"/>
      <c r="K1373" s="59"/>
    </row>
    <row r="1374" spans="1:11" ht="16.5" customHeight="1" x14ac:dyDescent="0.25">
      <c r="A1374" s="57" t="s">
        <v>194</v>
      </c>
      <c r="B1374" s="57" t="s">
        <v>188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si="1218"/>
        <v>DICEMBRE 2023</v>
      </c>
      <c r="F1374" s="57" t="str">
        <f t="shared" si="1219"/>
        <v>12 DICEMBRE 2023</v>
      </c>
      <c r="G1374" s="59">
        <v>6.78</v>
      </c>
      <c r="H1374" s="1338" t="s">
        <v>77</v>
      </c>
      <c r="I1374" s="960"/>
      <c r="J1374" s="59"/>
      <c r="K1374" s="59" t="s">
        <v>195</v>
      </c>
    </row>
    <row r="1375" spans="1:11" ht="16.5" customHeight="1" x14ac:dyDescent="0.25">
      <c r="A1375" s="57" t="s">
        <v>67</v>
      </c>
      <c r="B1375" s="57" t="s">
        <v>188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18"/>
        <v>DICEMBRE 2023</v>
      </c>
      <c r="F1375" s="57" t="str">
        <f t="shared" si="1219"/>
        <v>12 DICEMBRE 2023</v>
      </c>
      <c r="G1375" s="59">
        <v>5</v>
      </c>
      <c r="H1375" s="1338" t="s">
        <v>776</v>
      </c>
      <c r="I1375" s="960"/>
      <c r="J1375" s="59"/>
      <c r="K1375" s="59"/>
    </row>
    <row r="1376" spans="1:11" ht="16.5" customHeight="1" x14ac:dyDescent="0.25">
      <c r="A1376" s="57" t="s">
        <v>121</v>
      </c>
      <c r="B1376" s="57" t="s">
        <v>188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18"/>
        <v>DICEMBRE 2023</v>
      </c>
      <c r="F1376" s="57" t="str">
        <f t="shared" si="1219"/>
        <v>12 DICEMBRE 2023</v>
      </c>
      <c r="G1376" s="59">
        <v>0.4</v>
      </c>
      <c r="H1376" s="1338" t="s">
        <v>777</v>
      </c>
      <c r="I1376" s="960"/>
      <c r="J1376" s="59"/>
      <c r="K1376" s="59"/>
    </row>
    <row r="1377" spans="1:11" ht="16.5" customHeight="1" x14ac:dyDescent="0.25">
      <c r="A1377" s="57" t="s">
        <v>121</v>
      </c>
      <c r="B1377" s="57" t="s">
        <v>188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18"/>
        <v>DICEMBRE 2023</v>
      </c>
      <c r="F1377" s="57" t="str">
        <f t="shared" si="1219"/>
        <v>12 DICEMBRE 2023</v>
      </c>
      <c r="G1377" s="59">
        <v>0.4</v>
      </c>
      <c r="H1377" s="1338" t="s">
        <v>777</v>
      </c>
      <c r="I1377" s="960"/>
      <c r="J1377" s="59"/>
      <c r="K1377" s="59"/>
    </row>
    <row r="1378" spans="1:11" ht="16.5" customHeight="1" x14ac:dyDescent="0.25">
      <c r="A1378" s="57" t="s">
        <v>121</v>
      </c>
      <c r="B1378" s="57" t="s">
        <v>188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18"/>
        <v>DICEMBRE 2023</v>
      </c>
      <c r="F1378" s="57" t="str">
        <f t="shared" si="1219"/>
        <v>12 DICEMBRE 2023</v>
      </c>
      <c r="G1378" s="59">
        <v>0.4</v>
      </c>
      <c r="H1378" s="1338" t="s">
        <v>777</v>
      </c>
      <c r="I1378" s="960"/>
      <c r="J1378" s="59"/>
      <c r="K1378" s="59"/>
    </row>
    <row r="1379" spans="1:11" ht="16.5" customHeight="1" x14ac:dyDescent="0.25">
      <c r="A1379" s="57" t="s">
        <v>121</v>
      </c>
      <c r="B1379" s="57" t="s">
        <v>188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18"/>
        <v>DICEMBRE 2023</v>
      </c>
      <c r="F1379" s="57" t="str">
        <f t="shared" si="1219"/>
        <v>12 DICEMBRE 2023</v>
      </c>
      <c r="G1379" s="59">
        <v>0.4</v>
      </c>
      <c r="H1379" s="1338" t="s">
        <v>777</v>
      </c>
      <c r="I1379" s="960"/>
      <c r="J1379" s="59"/>
      <c r="K1379" s="59"/>
    </row>
    <row r="1380" spans="1:11" ht="18.600000000000001" customHeight="1" x14ac:dyDescent="0.25">
      <c r="A1380" s="57" t="s">
        <v>121</v>
      </c>
      <c r="B1380" s="57" t="s">
        <v>188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18"/>
        <v>DICEMBRE 2023</v>
      </c>
      <c r="F1380" s="57" t="str">
        <f t="shared" si="1219"/>
        <v>12 DICEMBRE 2023</v>
      </c>
      <c r="G1380" s="59">
        <v>0.4</v>
      </c>
      <c r="H1380" s="1338" t="s">
        <v>777</v>
      </c>
      <c r="I1380" s="960"/>
      <c r="J1380" s="59"/>
      <c r="K1380" s="59"/>
    </row>
    <row r="1381" spans="1:11" ht="18.600000000000001" customHeight="1" x14ac:dyDescent="0.25">
      <c r="A1381" s="57" t="s">
        <v>121</v>
      </c>
      <c r="B1381" s="57" t="s">
        <v>188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18"/>
        <v>DICEMBRE 2023</v>
      </c>
      <c r="F1381" s="57" t="str">
        <f t="shared" si="1219"/>
        <v>12 DICEMBRE 2023</v>
      </c>
      <c r="G1381" s="59">
        <v>0.4</v>
      </c>
      <c r="H1381" s="1338" t="s">
        <v>777</v>
      </c>
      <c r="I1381" s="960"/>
      <c r="J1381" s="59"/>
      <c r="K1381" s="59"/>
    </row>
    <row r="1382" spans="1:11" ht="18.600000000000001" customHeight="1" x14ac:dyDescent="0.25">
      <c r="A1382" s="57" t="s">
        <v>121</v>
      </c>
      <c r="B1382" s="57" t="s">
        <v>188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18"/>
        <v>DICEMBRE 2023</v>
      </c>
      <c r="F1382" s="57" t="str">
        <f t="shared" si="1219"/>
        <v>12 DICEMBRE 2023</v>
      </c>
      <c r="G1382" s="59">
        <v>0.4</v>
      </c>
      <c r="H1382" s="1338" t="s">
        <v>777</v>
      </c>
      <c r="I1382" s="960"/>
      <c r="J1382" s="59"/>
      <c r="K1382" s="59"/>
    </row>
    <row r="1383" spans="1:11" x14ac:dyDescent="0.25">
      <c r="A1383" s="57" t="s">
        <v>196</v>
      </c>
      <c r="B1383" s="57" t="s">
        <v>188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18"/>
        <v>DICEMBRE 2023</v>
      </c>
      <c r="F1383" s="57" t="str">
        <f t="shared" si="1219"/>
        <v>12 DICEMBRE 2023</v>
      </c>
      <c r="G1383" s="59">
        <v>34</v>
      </c>
      <c r="H1383" s="1338" t="s">
        <v>77</v>
      </c>
      <c r="I1383" s="960"/>
      <c r="J1383" s="59"/>
      <c r="K1383" s="59" t="s">
        <v>195</v>
      </c>
    </row>
    <row r="1384" spans="1:11" ht="16.5" customHeight="1" x14ac:dyDescent="0.25">
      <c r="A1384" s="57" t="s">
        <v>79</v>
      </c>
      <c r="B1384" s="57" t="s">
        <v>188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18"/>
        <v>DICEMBRE 2023</v>
      </c>
      <c r="F1384" s="57" t="str">
        <f t="shared" si="1219"/>
        <v>12 DICEMBRE 2023</v>
      </c>
      <c r="G1384" s="59">
        <v>5.98</v>
      </c>
      <c r="H1384" s="1338" t="s">
        <v>81</v>
      </c>
      <c r="I1384" s="960"/>
      <c r="J1384" s="59"/>
      <c r="K1384" s="59"/>
    </row>
    <row r="1385" spans="1:11" ht="16.5" customHeight="1" x14ac:dyDescent="0.25">
      <c r="A1385" s="57" t="s">
        <v>197</v>
      </c>
      <c r="B1385" s="57" t="s">
        <v>188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18"/>
        <v>DICEMBRE 2023</v>
      </c>
      <c r="F1385" s="57" t="str">
        <f t="shared" si="1219"/>
        <v>12 DICEMBRE 2023</v>
      </c>
      <c r="G1385" s="59">
        <v>22.36</v>
      </c>
      <c r="H1385" s="1338" t="s">
        <v>77</v>
      </c>
      <c r="I1385" s="960"/>
      <c r="J1385" s="59"/>
      <c r="K1385" s="59" t="s">
        <v>195</v>
      </c>
    </row>
    <row r="1386" spans="1:11" ht="16.5" customHeight="1" x14ac:dyDescent="0.25">
      <c r="A1386" s="57" t="s">
        <v>76</v>
      </c>
      <c r="B1386" s="57" t="s">
        <v>188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18"/>
        <v>DICEMBRE 2023</v>
      </c>
      <c r="F1386" s="57" t="str">
        <f t="shared" si="1219"/>
        <v>12 DICEMBRE 2023</v>
      </c>
      <c r="G1386" s="59">
        <v>24.35</v>
      </c>
      <c r="H1386" s="1338" t="s">
        <v>77</v>
      </c>
      <c r="I1386" s="960"/>
      <c r="J1386" s="59"/>
      <c r="K1386" s="59" t="s">
        <v>195</v>
      </c>
    </row>
    <row r="1387" spans="1:11" ht="16.5" customHeight="1" x14ac:dyDescent="0.25">
      <c r="A1387" s="57" t="s">
        <v>108</v>
      </c>
      <c r="B1387" s="57" t="s">
        <v>188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18"/>
        <v>DICEMBRE 2023</v>
      </c>
      <c r="F1387" s="57" t="str">
        <f t="shared" si="1219"/>
        <v>12 DICEMBRE 2023</v>
      </c>
      <c r="G1387" s="59">
        <v>56.91</v>
      </c>
      <c r="H1387" s="1338" t="s">
        <v>93</v>
      </c>
      <c r="I1387" s="960"/>
      <c r="J1387" s="57" t="s">
        <v>108</v>
      </c>
      <c r="K1387" s="59" t="s">
        <v>1133</v>
      </c>
    </row>
    <row r="1388" spans="1:11" x14ac:dyDescent="0.25">
      <c r="A1388" s="57" t="s">
        <v>198</v>
      </c>
      <c r="B1388" s="57" t="s">
        <v>188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18"/>
        <v>DICEMBRE 2023</v>
      </c>
      <c r="F1388" s="57" t="str">
        <f t="shared" si="1219"/>
        <v>12 DICEMBRE 2023</v>
      </c>
      <c r="G1388" s="59">
        <v>6</v>
      </c>
      <c r="H1388" s="1338" t="s">
        <v>69</v>
      </c>
      <c r="I1388" s="960"/>
      <c r="J1388" s="59"/>
      <c r="K1388" s="59"/>
    </row>
    <row r="1389" spans="1:11" ht="16.5" customHeight="1" x14ac:dyDescent="0.25">
      <c r="A1389" s="57" t="s">
        <v>199</v>
      </c>
      <c r="B1389" s="57" t="s">
        <v>188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18"/>
        <v>DICEMBRE 2023</v>
      </c>
      <c r="F1389" s="57" t="str">
        <f t="shared" si="1219"/>
        <v>12 DICEMBRE 2023</v>
      </c>
      <c r="G1389" s="59">
        <v>69</v>
      </c>
      <c r="H1389" s="1338" t="s">
        <v>69</v>
      </c>
      <c r="I1389" s="960"/>
      <c r="J1389" s="59"/>
      <c r="K1389" s="59"/>
    </row>
    <row r="1390" spans="1:11" ht="16.5" customHeight="1" x14ac:dyDescent="0.25">
      <c r="A1390" s="57" t="s">
        <v>200</v>
      </c>
      <c r="B1390" s="57" t="s">
        <v>188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18"/>
        <v>DICEMBRE 2023</v>
      </c>
      <c r="F1390" s="57" t="str">
        <f t="shared" si="1219"/>
        <v>12 DICEMBRE 2023</v>
      </c>
      <c r="G1390" s="59">
        <v>12</v>
      </c>
      <c r="H1390" s="1338" t="s">
        <v>69</v>
      </c>
      <c r="I1390" s="960"/>
      <c r="J1390" s="59"/>
      <c r="K1390" s="59"/>
    </row>
    <row r="1391" spans="1:11" ht="16.5" customHeight="1" x14ac:dyDescent="0.25">
      <c r="A1391" s="57" t="s">
        <v>113</v>
      </c>
      <c r="B1391" s="57" t="s">
        <v>188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18"/>
        <v>DICEMBRE 2023</v>
      </c>
      <c r="F1391" s="57" t="str">
        <f t="shared" si="1219"/>
        <v>12 DICEMBRE 2023</v>
      </c>
      <c r="G1391" s="59">
        <v>33</v>
      </c>
      <c r="H1391" s="1338" t="s">
        <v>114</v>
      </c>
      <c r="I1391" s="960"/>
      <c r="J1391" s="59"/>
      <c r="K1391" s="59"/>
    </row>
    <row r="1392" spans="1:11" x14ac:dyDescent="0.25">
      <c r="A1392" s="57" t="s">
        <v>108</v>
      </c>
      <c r="B1392" s="57" t="s">
        <v>188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18"/>
        <v>DICEMBRE 2023</v>
      </c>
      <c r="F1392" s="57" t="str">
        <f t="shared" si="1219"/>
        <v>12 DICEMBRE 2023</v>
      </c>
      <c r="G1392" s="59">
        <v>18.989999999999998</v>
      </c>
      <c r="H1392" s="1338" t="s">
        <v>75</v>
      </c>
      <c r="I1392" s="960"/>
      <c r="J1392" s="57" t="s">
        <v>108</v>
      </c>
      <c r="K1392" s="59"/>
    </row>
    <row r="1393" spans="1:11" ht="16.5" customHeight="1" x14ac:dyDescent="0.25">
      <c r="A1393" s="57" t="s">
        <v>110</v>
      </c>
      <c r="B1393" s="57" t="s">
        <v>188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18"/>
        <v>DICEMBRE 2023</v>
      </c>
      <c r="F1393" s="57" t="str">
        <f t="shared" si="1219"/>
        <v>12 DICEMBRE 2023</v>
      </c>
      <c r="G1393" s="59">
        <v>350.78</v>
      </c>
      <c r="H1393" s="1338" t="s">
        <v>772</v>
      </c>
      <c r="I1393" s="960"/>
      <c r="J1393" s="59"/>
      <c r="K1393" s="59"/>
    </row>
    <row r="1394" spans="1:11" ht="16.5" customHeight="1" x14ac:dyDescent="0.25">
      <c r="A1394" s="57" t="s">
        <v>108</v>
      </c>
      <c r="B1394" s="57" t="s">
        <v>188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18"/>
        <v>DICEMBRE 2023</v>
      </c>
      <c r="F1394" s="57" t="str">
        <f t="shared" si="1219"/>
        <v>12 DICEMBRE 2023</v>
      </c>
      <c r="G1394" s="59">
        <v>20.99</v>
      </c>
      <c r="H1394" s="1338" t="s">
        <v>75</v>
      </c>
      <c r="I1394" s="960"/>
      <c r="J1394" s="57" t="s">
        <v>108</v>
      </c>
      <c r="K1394" s="59"/>
    </row>
    <row r="1395" spans="1:11" ht="18.600000000000001" customHeight="1" x14ac:dyDescent="0.25">
      <c r="A1395" s="57" t="s">
        <v>83</v>
      </c>
      <c r="B1395" s="57" t="s">
        <v>188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18"/>
        <v>DICEMBRE 2023</v>
      </c>
      <c r="F1395" s="57" t="str">
        <f t="shared" si="1219"/>
        <v>12 DICEMBRE 2023</v>
      </c>
      <c r="G1395" s="59">
        <v>16.84</v>
      </c>
      <c r="H1395" s="1338" t="s">
        <v>77</v>
      </c>
      <c r="I1395" s="960"/>
      <c r="J1395" s="59"/>
      <c r="K1395" s="59"/>
    </row>
    <row r="1396" spans="1:11" x14ac:dyDescent="0.25">
      <c r="A1396" s="57" t="s">
        <v>201</v>
      </c>
      <c r="B1396" s="57" t="s">
        <v>188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18"/>
        <v>DICEMBRE 2023</v>
      </c>
      <c r="F1396" s="57" t="str">
        <f t="shared" si="1219"/>
        <v>12 DICEMBRE 2023</v>
      </c>
      <c r="G1396" s="59">
        <v>27.19</v>
      </c>
      <c r="H1396" s="1338" t="s">
        <v>137</v>
      </c>
      <c r="I1396" s="960"/>
      <c r="J1396" s="59"/>
      <c r="K1396" s="59"/>
    </row>
    <row r="1397" spans="1:11" ht="16.5" customHeight="1" x14ac:dyDescent="0.25">
      <c r="A1397" s="57" t="s">
        <v>202</v>
      </c>
      <c r="B1397" s="57" t="s">
        <v>188</v>
      </c>
      <c r="C1397" s="57">
        <v>2023</v>
      </c>
      <c r="D1397" s="58">
        <f>MATCH(B1397,{"GENNAIO","FEBBRAIO","MARZO","APRILE","MAGGIO","GIUGNO","LUGLIO","AGOSTO","SETTEMBRE","OTTOBRE","NOVEMBRE","DICEMBRE"},0)</f>
        <v>12</v>
      </c>
      <c r="E1397" s="57" t="str">
        <f t="shared" si="1218"/>
        <v>DICEMBRE 2023</v>
      </c>
      <c r="F1397" s="57" t="str">
        <f t="shared" si="1219"/>
        <v>12 DICEMBRE 2023</v>
      </c>
      <c r="G1397" s="59">
        <v>21.63</v>
      </c>
      <c r="H1397" s="1338" t="s">
        <v>137</v>
      </c>
      <c r="I1397" s="960"/>
      <c r="J1397" s="59"/>
      <c r="K1397" s="59"/>
    </row>
    <row r="1398" spans="1:11" x14ac:dyDescent="0.25">
      <c r="A1398" s="57" t="s">
        <v>79</v>
      </c>
      <c r="B1398" s="57" t="s">
        <v>188</v>
      </c>
      <c r="C1398" s="57">
        <v>2023</v>
      </c>
      <c r="D1398" s="58">
        <f>MATCH(B1398,{"GENNAIO","FEBBRAIO","MARZO","APRILE","MAGGIO","GIUGNO","LUGLIO","AGOSTO","SETTEMBRE","OTTOBRE","NOVEMBRE","DICEMBRE"},0)</f>
        <v>12</v>
      </c>
      <c r="E1398" s="57" t="str">
        <f t="shared" si="1218"/>
        <v>DICEMBRE 2023</v>
      </c>
      <c r="F1398" s="57" t="str">
        <f t="shared" si="1219"/>
        <v>12 DICEMBRE 2023</v>
      </c>
      <c r="G1398" s="59">
        <v>15.57</v>
      </c>
      <c r="H1398" s="1338" t="s">
        <v>81</v>
      </c>
      <c r="I1398" s="960"/>
      <c r="J1398" s="59"/>
      <c r="K1398" s="59"/>
    </row>
    <row r="1399" spans="1:11" ht="18" customHeight="1" x14ac:dyDescent="0.25">
      <c r="A1399" s="57" t="s">
        <v>76</v>
      </c>
      <c r="B1399" s="57" t="s">
        <v>188</v>
      </c>
      <c r="C1399" s="57">
        <v>2023</v>
      </c>
      <c r="D1399" s="58">
        <f>MATCH(B1399,{"GENNAIO","FEBBRAIO","MARZO","APRILE","MAGGIO","GIUGNO","LUGLIO","AGOSTO","SETTEMBRE","OTTOBRE","NOVEMBRE","DICEMBRE"},0)</f>
        <v>12</v>
      </c>
      <c r="E1399" s="57" t="str">
        <f t="shared" si="1218"/>
        <v>DICEMBRE 2023</v>
      </c>
      <c r="F1399" s="57" t="str">
        <f t="shared" si="1219"/>
        <v>12 DICEMBRE 2023</v>
      </c>
      <c r="G1399" s="59">
        <v>26.62</v>
      </c>
      <c r="H1399" s="1338" t="s">
        <v>77</v>
      </c>
      <c r="I1399" s="960"/>
      <c r="J1399" s="59"/>
      <c r="K1399" s="59"/>
    </row>
    <row r="1400" spans="1:11" ht="16.5" customHeight="1" x14ac:dyDescent="0.25">
      <c r="A1400" s="57" t="s">
        <v>203</v>
      </c>
      <c r="B1400" s="57" t="s">
        <v>188</v>
      </c>
      <c r="C1400" s="57">
        <v>2023</v>
      </c>
      <c r="D1400" s="58">
        <f>MATCH(B1400,{"GENNAIO","FEBBRAIO","MARZO","APRILE","MAGGIO","GIUGNO","LUGLIO","AGOSTO","SETTEMBRE","OTTOBRE","NOVEMBRE","DICEMBRE"},0)</f>
        <v>12</v>
      </c>
      <c r="E1400" s="57" t="str">
        <f t="shared" si="1218"/>
        <v>DICEMBRE 2023</v>
      </c>
      <c r="F1400" s="57" t="str">
        <f t="shared" si="1219"/>
        <v>12 DICEMBRE 2023</v>
      </c>
      <c r="G1400" s="59">
        <v>2</v>
      </c>
      <c r="H1400" s="1338" t="s">
        <v>772</v>
      </c>
      <c r="I1400" s="960"/>
      <c r="J1400" s="59"/>
      <c r="K1400" s="59"/>
    </row>
    <row r="1401" spans="1:11" ht="16.5" customHeight="1" x14ac:dyDescent="0.25">
      <c r="A1401" s="57" t="s">
        <v>359</v>
      </c>
      <c r="B1401" s="57" t="s">
        <v>188</v>
      </c>
      <c r="C1401" s="57">
        <v>2023</v>
      </c>
      <c r="D1401" s="58">
        <f>MATCH(B1401,{"GENNAIO","FEBBRAIO","MARZO","APRILE","MAGGIO","GIUGNO","LUGLIO","AGOSTO","SETTEMBRE","OTTOBRE","NOVEMBRE","DICEMBRE"},0)</f>
        <v>12</v>
      </c>
      <c r="E1401" s="57" t="str">
        <f t="shared" si="1218"/>
        <v>DICEMBRE 2023</v>
      </c>
      <c r="F1401" s="57" t="str">
        <f t="shared" si="1219"/>
        <v>12 DICEMBRE 2023</v>
      </c>
      <c r="G1401" s="59">
        <v>23.33</v>
      </c>
      <c r="H1401" s="1338" t="s">
        <v>185</v>
      </c>
      <c r="I1401" s="960" t="s">
        <v>988</v>
      </c>
      <c r="J1401" s="59" t="s">
        <v>768</v>
      </c>
      <c r="K1401" s="59"/>
    </row>
    <row r="1402" spans="1:11" ht="16.5" customHeight="1" x14ac:dyDescent="0.25">
      <c r="A1402" s="57" t="s">
        <v>1016</v>
      </c>
      <c r="B1402" s="57" t="s">
        <v>188</v>
      </c>
      <c r="C1402" s="57">
        <v>2023</v>
      </c>
      <c r="D1402" s="58">
        <f>MATCH(B1402,{"GENNAIO","FEBBRAIO","MARZO","APRILE","MAGGIO","GIUGNO","LUGLIO","AGOSTO","SETTEMBRE","OTTOBRE","NOVEMBRE","DICEMBRE"},0)</f>
        <v>12</v>
      </c>
      <c r="E1402" s="57" t="str">
        <f t="shared" si="1218"/>
        <v>DICEMBRE 2023</v>
      </c>
      <c r="F1402" s="57" t="str">
        <f t="shared" si="1219"/>
        <v>12 DICEMBRE 2023</v>
      </c>
      <c r="G1402" s="59">
        <v>43.27</v>
      </c>
      <c r="H1402" s="1338" t="s">
        <v>81</v>
      </c>
      <c r="I1402" s="960" t="s">
        <v>988</v>
      </c>
      <c r="J1402" s="59" t="s">
        <v>768</v>
      </c>
      <c r="K1402" s="59"/>
    </row>
    <row r="1403" spans="1:11" ht="16.5" customHeight="1" x14ac:dyDescent="0.25">
      <c r="A1403" s="57" t="s">
        <v>204</v>
      </c>
      <c r="B1403" s="57" t="s">
        <v>188</v>
      </c>
      <c r="C1403" s="57">
        <v>2023</v>
      </c>
      <c r="D1403" s="58">
        <f>MATCH(B1403,{"GENNAIO","FEBBRAIO","MARZO","APRILE","MAGGIO","GIUGNO","LUGLIO","AGOSTO","SETTEMBRE","OTTOBRE","NOVEMBRE","DICEMBRE"},0)</f>
        <v>12</v>
      </c>
      <c r="E1403" s="57" t="str">
        <f t="shared" si="1218"/>
        <v>DICEMBRE 2023</v>
      </c>
      <c r="F1403" s="57" t="str">
        <f t="shared" si="1219"/>
        <v>12 DICEMBRE 2023</v>
      </c>
      <c r="G1403" s="59">
        <v>1.7</v>
      </c>
      <c r="H1403" s="1338" t="s">
        <v>69</v>
      </c>
      <c r="I1403" s="960"/>
      <c r="J1403" s="59"/>
      <c r="K1403" s="59"/>
    </row>
    <row r="1404" spans="1:11" ht="16.5" customHeight="1" x14ac:dyDescent="0.25">
      <c r="A1404" s="57" t="s">
        <v>205</v>
      </c>
      <c r="B1404" s="57" t="s">
        <v>188</v>
      </c>
      <c r="C1404" s="57">
        <v>2023</v>
      </c>
      <c r="D1404" s="58">
        <f>MATCH(B1404,{"GENNAIO","FEBBRAIO","MARZO","APRILE","MAGGIO","GIUGNO","LUGLIO","AGOSTO","SETTEMBRE","OTTOBRE","NOVEMBRE","DICEMBRE"},0)</f>
        <v>12</v>
      </c>
      <c r="E1404" s="57" t="str">
        <f t="shared" si="1218"/>
        <v>DICEMBRE 2023</v>
      </c>
      <c r="F1404" s="57" t="str">
        <f t="shared" si="1219"/>
        <v>12 DICEMBRE 2023</v>
      </c>
      <c r="G1404" s="59">
        <v>30.45</v>
      </c>
      <c r="H1404" s="1338" t="s">
        <v>191</v>
      </c>
      <c r="I1404" s="960"/>
      <c r="J1404" s="59"/>
      <c r="K1404" s="59"/>
    </row>
    <row r="1405" spans="1:11" ht="16.5" customHeight="1" x14ac:dyDescent="0.25">
      <c r="A1405" s="57" t="s">
        <v>206</v>
      </c>
      <c r="B1405" s="57" t="s">
        <v>188</v>
      </c>
      <c r="C1405" s="57">
        <v>2023</v>
      </c>
      <c r="D1405" s="58">
        <f>MATCH(B1405,{"GENNAIO","FEBBRAIO","MARZO","APRILE","MAGGIO","GIUGNO","LUGLIO","AGOSTO","SETTEMBRE","OTTOBRE","NOVEMBRE","DICEMBRE"},0)</f>
        <v>12</v>
      </c>
      <c r="E1405" s="57" t="str">
        <f t="shared" si="1218"/>
        <v>DICEMBRE 2023</v>
      </c>
      <c r="F1405" s="57" t="str">
        <f t="shared" si="1219"/>
        <v>12 DICEMBRE 2023</v>
      </c>
      <c r="G1405" s="59">
        <v>20.399999999999999</v>
      </c>
      <c r="H1405" s="1338" t="s">
        <v>191</v>
      </c>
      <c r="I1405" s="960"/>
      <c r="J1405" s="59"/>
      <c r="K1405" s="59"/>
    </row>
    <row r="1406" spans="1:11" ht="16.5" customHeight="1" x14ac:dyDescent="0.25">
      <c r="A1406" s="57" t="s">
        <v>121</v>
      </c>
      <c r="B1406" s="57" t="s">
        <v>207</v>
      </c>
      <c r="C1406" s="57">
        <v>2023</v>
      </c>
      <c r="D1406" s="58">
        <f>MATCH(B1406,{"GENNAIO","FEBBRAIO","MARZO","APRILE","MAGGIO","GIUGNO","LUGLIO","AGOSTO","SETTEMBRE","OTTOBRE","NOVEMBRE","DICEMBRE"},0)</f>
        <v>11</v>
      </c>
      <c r="E1406" s="57" t="str">
        <f t="shared" si="1218"/>
        <v>NOVEMBRE 2023</v>
      </c>
      <c r="F1406" s="57" t="str">
        <f t="shared" si="1219"/>
        <v>11 NOVEMBRE 2023</v>
      </c>
      <c r="G1406" s="59">
        <v>0.4</v>
      </c>
      <c r="H1406" s="1338" t="s">
        <v>777</v>
      </c>
      <c r="I1406" s="960"/>
      <c r="J1406" s="59"/>
      <c r="K1406" s="59"/>
    </row>
    <row r="1407" spans="1:11" ht="16.5" customHeight="1" x14ac:dyDescent="0.25">
      <c r="A1407" s="57" t="s">
        <v>121</v>
      </c>
      <c r="B1407" s="57" t="s">
        <v>207</v>
      </c>
      <c r="C1407" s="57">
        <v>2023</v>
      </c>
      <c r="D1407" s="58">
        <f>MATCH(B1407,{"GENNAIO","FEBBRAIO","MARZO","APRILE","MAGGIO","GIUGNO","LUGLIO","AGOSTO","SETTEMBRE","OTTOBRE","NOVEMBRE","DICEMBRE"},0)</f>
        <v>11</v>
      </c>
      <c r="E1407" s="57" t="str">
        <f t="shared" si="1218"/>
        <v>NOVEMBRE 2023</v>
      </c>
      <c r="F1407" s="57" t="str">
        <f t="shared" si="1219"/>
        <v>11 NOVEMBRE 2023</v>
      </c>
      <c r="G1407" s="59">
        <v>0.4</v>
      </c>
      <c r="H1407" s="1338" t="s">
        <v>777</v>
      </c>
      <c r="I1407" s="960"/>
      <c r="J1407" s="59"/>
      <c r="K1407" s="59"/>
    </row>
    <row r="1408" spans="1:11" x14ac:dyDescent="0.25">
      <c r="A1408" s="57" t="s">
        <v>121</v>
      </c>
      <c r="B1408" s="57" t="s">
        <v>207</v>
      </c>
      <c r="C1408" s="57">
        <v>2023</v>
      </c>
      <c r="D1408" s="58">
        <f>MATCH(B1408,{"GENNAIO","FEBBRAIO","MARZO","APRILE","MAGGIO","GIUGNO","LUGLIO","AGOSTO","SETTEMBRE","OTTOBRE","NOVEMBRE","DICEMBRE"},0)</f>
        <v>11</v>
      </c>
      <c r="E1408" s="57" t="str">
        <f t="shared" si="1218"/>
        <v>NOVEMBRE 2023</v>
      </c>
      <c r="F1408" s="57" t="str">
        <f t="shared" si="1219"/>
        <v>11 NOVEMBRE 2023</v>
      </c>
      <c r="G1408" s="59">
        <v>0.4</v>
      </c>
      <c r="H1408" s="1338" t="s">
        <v>777</v>
      </c>
      <c r="I1408" s="960"/>
      <c r="J1408" s="59"/>
      <c r="K1408" s="59"/>
    </row>
    <row r="1409" spans="1:11" ht="16.5" customHeight="1" x14ac:dyDescent="0.25">
      <c r="A1409" s="57" t="s">
        <v>121</v>
      </c>
      <c r="B1409" s="57" t="s">
        <v>207</v>
      </c>
      <c r="C1409" s="57">
        <v>2023</v>
      </c>
      <c r="D1409" s="58">
        <f>MATCH(B1409,{"GENNAIO","FEBBRAIO","MARZO","APRILE","MAGGIO","GIUGNO","LUGLIO","AGOSTO","SETTEMBRE","OTTOBRE","NOVEMBRE","DICEMBRE"},0)</f>
        <v>11</v>
      </c>
      <c r="E1409" s="57" t="str">
        <f t="shared" si="1218"/>
        <v>NOVEMBRE 2023</v>
      </c>
      <c r="F1409" s="57" t="str">
        <f t="shared" si="1219"/>
        <v>11 NOVEMBRE 2023</v>
      </c>
      <c r="G1409" s="59">
        <v>0.4</v>
      </c>
      <c r="H1409" s="1338" t="s">
        <v>777</v>
      </c>
      <c r="I1409" s="960"/>
      <c r="J1409" s="59"/>
      <c r="K1409" s="59"/>
    </row>
    <row r="1410" spans="1:11" ht="16.5" customHeight="1" x14ac:dyDescent="0.25">
      <c r="A1410" s="57" t="s">
        <v>67</v>
      </c>
      <c r="B1410" s="57" t="s">
        <v>207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18"/>
        <v>NOVEMBRE 2023</v>
      </c>
      <c r="F1410" s="57" t="str">
        <f t="shared" si="1219"/>
        <v>11 NOVEMBRE 2023</v>
      </c>
      <c r="G1410" s="59">
        <v>5</v>
      </c>
      <c r="H1410" s="1338" t="s">
        <v>776</v>
      </c>
      <c r="I1410" s="960"/>
      <c r="J1410" s="59"/>
      <c r="K1410" s="59"/>
    </row>
    <row r="1411" spans="1:11" ht="16.5" customHeight="1" x14ac:dyDescent="0.25">
      <c r="A1411" s="57" t="s">
        <v>1089</v>
      </c>
      <c r="B1411" s="57" t="s">
        <v>207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18"/>
        <v>NOVEMBRE 2023</v>
      </c>
      <c r="F1411" s="57" t="str">
        <f t="shared" si="1219"/>
        <v>11 NOVEMBRE 2023</v>
      </c>
      <c r="G1411" s="59">
        <v>28.3</v>
      </c>
      <c r="H1411" s="1338" t="s">
        <v>69</v>
      </c>
      <c r="I1411" s="960"/>
      <c r="J1411" s="59"/>
      <c r="K1411" s="59"/>
    </row>
    <row r="1412" spans="1:11" ht="16.5" customHeight="1" x14ac:dyDescent="0.25">
      <c r="A1412" s="57" t="s">
        <v>67</v>
      </c>
      <c r="B1412" s="57" t="s">
        <v>207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18"/>
        <v>NOVEMBRE 2023</v>
      </c>
      <c r="F1412" s="57" t="str">
        <f t="shared" si="1219"/>
        <v>11 NOVEMBRE 2023</v>
      </c>
      <c r="G1412" s="59">
        <v>5</v>
      </c>
      <c r="H1412" s="1338" t="s">
        <v>776</v>
      </c>
      <c r="I1412" s="960"/>
      <c r="J1412" s="59"/>
      <c r="K1412" s="59"/>
    </row>
    <row r="1413" spans="1:11" x14ac:dyDescent="0.25">
      <c r="A1413" s="57" t="s">
        <v>121</v>
      </c>
      <c r="B1413" s="57" t="s">
        <v>207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18"/>
        <v>NOVEMBRE 2023</v>
      </c>
      <c r="F1413" s="57" t="str">
        <f t="shared" si="1219"/>
        <v>11 NOVEMBRE 2023</v>
      </c>
      <c r="G1413" s="59">
        <v>0.4</v>
      </c>
      <c r="H1413" s="1338" t="s">
        <v>777</v>
      </c>
      <c r="I1413" s="960"/>
      <c r="J1413" s="59"/>
      <c r="K1413" s="59"/>
    </row>
    <row r="1414" spans="1:11" ht="16.5" customHeight="1" x14ac:dyDescent="0.25">
      <c r="A1414" s="57" t="s">
        <v>121</v>
      </c>
      <c r="B1414" s="57" t="s">
        <v>207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18"/>
        <v>NOVEMBRE 2023</v>
      </c>
      <c r="F1414" s="57" t="str">
        <f t="shared" si="1219"/>
        <v>11 NOVEMBRE 2023</v>
      </c>
      <c r="G1414" s="59">
        <v>0.4</v>
      </c>
      <c r="H1414" s="1338" t="s">
        <v>777</v>
      </c>
      <c r="I1414" s="960"/>
      <c r="J1414" s="59"/>
      <c r="K1414" s="59"/>
    </row>
    <row r="1415" spans="1:11" x14ac:dyDescent="0.25">
      <c r="A1415" s="57" t="s">
        <v>108</v>
      </c>
      <c r="B1415" s="57" t="s">
        <v>207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18"/>
        <v>NOVEMBRE 2023</v>
      </c>
      <c r="F1415" s="57" t="str">
        <f t="shared" si="1219"/>
        <v>11 NOVEMBRE 2023</v>
      </c>
      <c r="G1415" s="59">
        <v>1.26</v>
      </c>
      <c r="H1415" s="1338" t="s">
        <v>75</v>
      </c>
      <c r="I1415" s="960"/>
      <c r="J1415" s="57" t="s">
        <v>108</v>
      </c>
      <c r="K1415" s="59"/>
    </row>
    <row r="1416" spans="1:11" x14ac:dyDescent="0.25">
      <c r="A1416" s="57" t="s">
        <v>171</v>
      </c>
      <c r="B1416" s="57" t="s">
        <v>207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18"/>
        <v>NOVEMBRE 2023</v>
      </c>
      <c r="F1416" s="57" t="str">
        <f t="shared" si="1219"/>
        <v>11 NOVEMBRE 2023</v>
      </c>
      <c r="G1416" s="59">
        <f>9.9</f>
        <v>9.9</v>
      </c>
      <c r="H1416" s="1338" t="s">
        <v>81</v>
      </c>
      <c r="I1416" s="960"/>
      <c r="J1416" s="59"/>
      <c r="K1416" s="59"/>
    </row>
    <row r="1417" spans="1:11" x14ac:dyDescent="0.25">
      <c r="A1417" s="57" t="s">
        <v>108</v>
      </c>
      <c r="B1417" s="57" t="s">
        <v>207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18"/>
        <v>NOVEMBRE 2023</v>
      </c>
      <c r="F1417" s="57" t="str">
        <f t="shared" si="1219"/>
        <v>11 NOVEMBRE 2023</v>
      </c>
      <c r="G1417" s="59">
        <v>23</v>
      </c>
      <c r="H1417" s="1338" t="s">
        <v>137</v>
      </c>
      <c r="I1417" s="960"/>
      <c r="J1417" s="57" t="s">
        <v>108</v>
      </c>
      <c r="K1417" s="59"/>
    </row>
    <row r="1418" spans="1:11" x14ac:dyDescent="0.25">
      <c r="A1418" s="57" t="s">
        <v>76</v>
      </c>
      <c r="B1418" s="57" t="s">
        <v>207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18"/>
        <v>NOVEMBRE 2023</v>
      </c>
      <c r="F1418" s="57" t="str">
        <f t="shared" si="1219"/>
        <v>11 NOVEMBRE 2023</v>
      </c>
      <c r="G1418" s="59">
        <v>9.0399999999999991</v>
      </c>
      <c r="H1418" s="1338" t="s">
        <v>77</v>
      </c>
      <c r="I1418" s="960"/>
      <c r="J1418" s="59"/>
      <c r="K1418" s="59"/>
    </row>
    <row r="1419" spans="1:11" ht="16.5" customHeight="1" x14ac:dyDescent="0.25">
      <c r="A1419" s="57" t="s">
        <v>359</v>
      </c>
      <c r="B1419" s="57" t="s">
        <v>207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18"/>
        <v>NOVEMBRE 2023</v>
      </c>
      <c r="F1419" s="57" t="str">
        <f t="shared" si="1219"/>
        <v>11 NOVEMBRE 2023</v>
      </c>
      <c r="G1419" s="59">
        <v>23.32</v>
      </c>
      <c r="H1419" s="1338" t="s">
        <v>185</v>
      </c>
      <c r="I1419" s="960" t="s">
        <v>993</v>
      </c>
      <c r="J1419" s="59" t="s">
        <v>768</v>
      </c>
      <c r="K1419" s="59"/>
    </row>
    <row r="1420" spans="1:11" x14ac:dyDescent="0.25">
      <c r="A1420" s="57" t="s">
        <v>1017</v>
      </c>
      <c r="B1420" s="57" t="s">
        <v>207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18"/>
        <v>NOVEMBRE 2023</v>
      </c>
      <c r="F1420" s="57" t="str">
        <f t="shared" si="1219"/>
        <v>11 NOVEMBRE 2023</v>
      </c>
      <c r="G1420" s="59">
        <v>9.99</v>
      </c>
      <c r="H1420" s="1338" t="s">
        <v>185</v>
      </c>
      <c r="I1420" s="960"/>
      <c r="J1420" s="59" t="s">
        <v>768</v>
      </c>
      <c r="K1420" s="59"/>
    </row>
    <row r="1421" spans="1:11" x14ac:dyDescent="0.25">
      <c r="A1421" s="57" t="s">
        <v>171</v>
      </c>
      <c r="B1421" s="57" t="s">
        <v>207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18"/>
        <v>NOVEMBRE 2023</v>
      </c>
      <c r="F1421" s="57" t="str">
        <f t="shared" si="1219"/>
        <v>11 NOVEMBRE 2023</v>
      </c>
      <c r="G1421" s="59">
        <v>27.25</v>
      </c>
      <c r="H1421" s="1338" t="s">
        <v>81</v>
      </c>
      <c r="I1421" s="960"/>
      <c r="J1421" s="59"/>
      <c r="K1421" s="59"/>
    </row>
    <row r="1422" spans="1:11" x14ac:dyDescent="0.25">
      <c r="A1422" s="57" t="s">
        <v>208</v>
      </c>
      <c r="B1422" s="57" t="s">
        <v>207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18"/>
        <v>NOVEMBRE 2023</v>
      </c>
      <c r="F1422" s="57" t="str">
        <f t="shared" si="1219"/>
        <v>11 NOVEMBRE 2023</v>
      </c>
      <c r="G1422" s="59">
        <v>36.1</v>
      </c>
      <c r="H1422" s="1338" t="s">
        <v>69</v>
      </c>
      <c r="I1422" s="960"/>
      <c r="J1422" s="59"/>
      <c r="K1422" s="59"/>
    </row>
    <row r="1423" spans="1:11" x14ac:dyDescent="0.25">
      <c r="A1423" s="57" t="s">
        <v>192</v>
      </c>
      <c r="B1423" s="57" t="s">
        <v>207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18"/>
        <v>NOVEMBRE 2023</v>
      </c>
      <c r="F1423" s="57" t="str">
        <f t="shared" si="1219"/>
        <v>11 NOVEMBRE 2023</v>
      </c>
      <c r="G1423" s="60">
        <v>30</v>
      </c>
      <c r="H1423" s="1338" t="s">
        <v>85</v>
      </c>
      <c r="I1423" s="960"/>
      <c r="J1423" s="59"/>
      <c r="K1423" s="59"/>
    </row>
    <row r="1424" spans="1:11" ht="18.600000000000001" customHeight="1" x14ac:dyDescent="0.25">
      <c r="A1424" s="57" t="s">
        <v>192</v>
      </c>
      <c r="B1424" s="57" t="s">
        <v>207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18"/>
        <v>NOVEMBRE 2023</v>
      </c>
      <c r="F1424" s="57" t="str">
        <f t="shared" si="1219"/>
        <v>11 NOVEMBRE 2023</v>
      </c>
      <c r="G1424" s="60">
        <v>10</v>
      </c>
      <c r="H1424" s="1338" t="s">
        <v>85</v>
      </c>
      <c r="I1424" s="960"/>
      <c r="J1424" s="59"/>
      <c r="K1424" s="59"/>
    </row>
    <row r="1425" spans="1:11" ht="16.5" customHeight="1" x14ac:dyDescent="0.25">
      <c r="A1425" s="57" t="s">
        <v>76</v>
      </c>
      <c r="B1425" s="57" t="s">
        <v>207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si="1218"/>
        <v>NOVEMBRE 2023</v>
      </c>
      <c r="F1425" s="57" t="str">
        <f t="shared" si="1219"/>
        <v>11 NOVEMBRE 2023</v>
      </c>
      <c r="G1425" s="59">
        <v>2.48</v>
      </c>
      <c r="H1425" s="1338" t="s">
        <v>77</v>
      </c>
      <c r="I1425" s="960"/>
      <c r="J1425" s="59"/>
      <c r="K1425" s="59"/>
    </row>
    <row r="1426" spans="1:11" ht="16.5" customHeight="1" x14ac:dyDescent="0.25">
      <c r="A1426" s="57" t="s">
        <v>76</v>
      </c>
      <c r="B1426" s="57" t="s">
        <v>207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18"/>
        <v>NOVEMBRE 2023</v>
      </c>
      <c r="F1426" s="57" t="str">
        <f t="shared" si="1219"/>
        <v>11 NOVEMBRE 2023</v>
      </c>
      <c r="G1426" s="59">
        <v>0.99</v>
      </c>
      <c r="H1426" s="1338" t="s">
        <v>77</v>
      </c>
      <c r="I1426" s="960"/>
      <c r="J1426" s="59"/>
      <c r="K1426" s="59"/>
    </row>
    <row r="1427" spans="1:11" x14ac:dyDescent="0.25">
      <c r="A1427" s="57" t="s">
        <v>79</v>
      </c>
      <c r="B1427" s="57" t="s">
        <v>207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18"/>
        <v>NOVEMBRE 2023</v>
      </c>
      <c r="F1427" s="57" t="str">
        <f t="shared" si="1219"/>
        <v>11 NOVEMBRE 2023</v>
      </c>
      <c r="G1427" s="59">
        <v>8.3000000000000007</v>
      </c>
      <c r="H1427" s="1338" t="s">
        <v>81</v>
      </c>
      <c r="I1427" s="960"/>
      <c r="J1427" s="59"/>
      <c r="K1427" s="59"/>
    </row>
    <row r="1428" spans="1:11" ht="16.5" customHeight="1" x14ac:dyDescent="0.25">
      <c r="A1428" s="57" t="s">
        <v>67</v>
      </c>
      <c r="B1428" s="57" t="s">
        <v>207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18"/>
        <v>NOVEMBRE 2023</v>
      </c>
      <c r="F1428" s="57" t="str">
        <f t="shared" si="1219"/>
        <v>11 NOVEMBRE 2023</v>
      </c>
      <c r="G1428" s="59">
        <v>3.9</v>
      </c>
      <c r="H1428" s="1338" t="s">
        <v>69</v>
      </c>
      <c r="I1428" s="960"/>
      <c r="J1428" s="59"/>
      <c r="K1428" s="59"/>
    </row>
    <row r="1429" spans="1:11" ht="16.5" customHeight="1" x14ac:dyDescent="0.25">
      <c r="A1429" s="57" t="s">
        <v>67</v>
      </c>
      <c r="B1429" s="57" t="s">
        <v>207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18"/>
        <v>NOVEMBRE 2023</v>
      </c>
      <c r="F1429" s="57" t="str">
        <f t="shared" si="1219"/>
        <v>11 NOVEMBRE 2023</v>
      </c>
      <c r="G1429" s="59">
        <v>5</v>
      </c>
      <c r="H1429" s="1338" t="s">
        <v>776</v>
      </c>
      <c r="I1429" s="960"/>
      <c r="J1429" s="59"/>
      <c r="K1429" s="59"/>
    </row>
    <row r="1430" spans="1:11" ht="16.5" customHeight="1" x14ac:dyDescent="0.25">
      <c r="A1430" s="57" t="s">
        <v>76</v>
      </c>
      <c r="B1430" s="57" t="s">
        <v>207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18"/>
        <v>NOVEMBRE 2023</v>
      </c>
      <c r="F1430" s="57" t="str">
        <f t="shared" si="1219"/>
        <v>11 NOVEMBRE 2023</v>
      </c>
      <c r="G1430" s="59">
        <v>16.72</v>
      </c>
      <c r="H1430" s="1338" t="s">
        <v>77</v>
      </c>
      <c r="I1430" s="960"/>
      <c r="J1430" s="59"/>
      <c r="K1430" s="59"/>
    </row>
    <row r="1431" spans="1:11" ht="16.5" customHeight="1" x14ac:dyDescent="0.25">
      <c r="A1431" s="57" t="s">
        <v>209</v>
      </c>
      <c r="B1431" s="57" t="s">
        <v>207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18"/>
        <v>NOVEMBRE 2023</v>
      </c>
      <c r="F1431" s="57" t="str">
        <f t="shared" si="1219"/>
        <v>11 NOVEMBRE 2023</v>
      </c>
      <c r="G1431" s="59">
        <v>18.5</v>
      </c>
      <c r="H1431" s="1338" t="s">
        <v>69</v>
      </c>
      <c r="I1431" s="960"/>
      <c r="J1431" s="59"/>
      <c r="K1431" s="59"/>
    </row>
    <row r="1432" spans="1:11" x14ac:dyDescent="0.25">
      <c r="A1432" s="57" t="s">
        <v>121</v>
      </c>
      <c r="B1432" s="57" t="s">
        <v>207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18"/>
        <v>NOVEMBRE 2023</v>
      </c>
      <c r="F1432" s="57" t="str">
        <f t="shared" si="1219"/>
        <v>11 NOVEMBRE 2023</v>
      </c>
      <c r="G1432" s="59">
        <v>1.5</v>
      </c>
      <c r="H1432" s="1338" t="s">
        <v>777</v>
      </c>
      <c r="I1432" s="960"/>
      <c r="J1432" s="59"/>
      <c r="K1432" s="59"/>
    </row>
    <row r="1433" spans="1:11" ht="16.5" customHeight="1" x14ac:dyDescent="0.25">
      <c r="A1433" s="57" t="s">
        <v>210</v>
      </c>
      <c r="B1433" s="57" t="s">
        <v>207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18"/>
        <v>NOVEMBRE 2023</v>
      </c>
      <c r="F1433" s="57" t="str">
        <f t="shared" si="1219"/>
        <v>11 NOVEMBRE 2023</v>
      </c>
      <c r="G1433" s="59">
        <v>10</v>
      </c>
      <c r="H1433" s="1338" t="s">
        <v>69</v>
      </c>
      <c r="I1433" s="960"/>
      <c r="J1433" s="59"/>
      <c r="K1433" s="59"/>
    </row>
    <row r="1434" spans="1:11" ht="16.5" customHeight="1" x14ac:dyDescent="0.25">
      <c r="A1434" s="57" t="s">
        <v>210</v>
      </c>
      <c r="B1434" s="57" t="s">
        <v>207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ref="E1434:E1497" si="1220">CONCATENATE(,B1434," ",C1434)</f>
        <v>NOVEMBRE 2023</v>
      </c>
      <c r="F1434" s="57" t="str">
        <f t="shared" ref="F1434:F1497" si="1221">CONCATENATE(D1434," ",E1434)</f>
        <v>11 NOVEMBRE 2023</v>
      </c>
      <c r="G1434" s="59">
        <v>48</v>
      </c>
      <c r="H1434" s="1338" t="s">
        <v>69</v>
      </c>
      <c r="I1434" s="960"/>
      <c r="J1434" s="59"/>
      <c r="K1434" s="59"/>
    </row>
    <row r="1435" spans="1:11" ht="16.5" customHeight="1" x14ac:dyDescent="0.25">
      <c r="A1435" s="57" t="s">
        <v>211</v>
      </c>
      <c r="B1435" s="57" t="s">
        <v>207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20"/>
        <v>NOVEMBRE 2023</v>
      </c>
      <c r="F1435" s="57" t="str">
        <f t="shared" si="1221"/>
        <v>11 NOVEMBRE 2023</v>
      </c>
      <c r="G1435" s="59">
        <v>50</v>
      </c>
      <c r="H1435" s="1338" t="s">
        <v>114</v>
      </c>
      <c r="I1435" s="960"/>
      <c r="J1435" s="59"/>
      <c r="K1435" s="59"/>
    </row>
    <row r="1436" spans="1:11" ht="16.5" customHeight="1" x14ac:dyDescent="0.25">
      <c r="A1436" s="57" t="s">
        <v>121</v>
      </c>
      <c r="B1436" s="57" t="s">
        <v>207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20"/>
        <v>NOVEMBRE 2023</v>
      </c>
      <c r="F1436" s="57" t="str">
        <f t="shared" si="1221"/>
        <v>11 NOVEMBRE 2023</v>
      </c>
      <c r="G1436" s="59">
        <v>0.4</v>
      </c>
      <c r="H1436" s="1338" t="s">
        <v>777</v>
      </c>
      <c r="I1436" s="960"/>
      <c r="J1436" s="59"/>
      <c r="K1436" s="59"/>
    </row>
    <row r="1437" spans="1:11" ht="16.5" customHeight="1" x14ac:dyDescent="0.25">
      <c r="A1437" s="57" t="s">
        <v>121</v>
      </c>
      <c r="B1437" s="57" t="s">
        <v>207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20"/>
        <v>NOVEMBRE 2023</v>
      </c>
      <c r="F1437" s="57" t="str">
        <f t="shared" si="1221"/>
        <v>11 NOVEMBRE 2023</v>
      </c>
      <c r="G1437" s="59">
        <v>0.4</v>
      </c>
      <c r="H1437" s="1338" t="s">
        <v>777</v>
      </c>
      <c r="I1437" s="960"/>
      <c r="J1437" s="59"/>
      <c r="K1437" s="59"/>
    </row>
    <row r="1438" spans="1:11" ht="16.5" customHeight="1" x14ac:dyDescent="0.25">
      <c r="A1438" s="57" t="s">
        <v>121</v>
      </c>
      <c r="B1438" s="57" t="s">
        <v>207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20"/>
        <v>NOVEMBRE 2023</v>
      </c>
      <c r="F1438" s="57" t="str">
        <f t="shared" si="1221"/>
        <v>11 NOVEMBRE 2023</v>
      </c>
      <c r="G1438" s="59">
        <v>0.4</v>
      </c>
      <c r="H1438" s="1338" t="s">
        <v>777</v>
      </c>
      <c r="I1438" s="960"/>
      <c r="J1438" s="59"/>
      <c r="K1438" s="59"/>
    </row>
    <row r="1439" spans="1:11" ht="18.600000000000001" customHeight="1" x14ac:dyDescent="0.25">
      <c r="A1439" s="57" t="s">
        <v>121</v>
      </c>
      <c r="B1439" s="57" t="s">
        <v>207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20"/>
        <v>NOVEMBRE 2023</v>
      </c>
      <c r="F1439" s="57" t="str">
        <f t="shared" si="1221"/>
        <v>11 NOVEMBRE 2023</v>
      </c>
      <c r="G1439" s="59">
        <v>0.4</v>
      </c>
      <c r="H1439" s="1338" t="s">
        <v>777</v>
      </c>
      <c r="I1439" s="960"/>
      <c r="J1439" s="59"/>
      <c r="K1439" s="59"/>
    </row>
    <row r="1440" spans="1:11" ht="16.5" customHeight="1" x14ac:dyDescent="0.25">
      <c r="A1440" s="57" t="s">
        <v>121</v>
      </c>
      <c r="B1440" s="57" t="s">
        <v>207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20"/>
        <v>NOVEMBRE 2023</v>
      </c>
      <c r="F1440" s="57" t="str">
        <f t="shared" si="1221"/>
        <v>11 NOVEMBRE 2023</v>
      </c>
      <c r="G1440" s="59">
        <v>0.4</v>
      </c>
      <c r="H1440" s="1338" t="s">
        <v>777</v>
      </c>
      <c r="I1440" s="960"/>
      <c r="J1440" s="59"/>
      <c r="K1440" s="59"/>
    </row>
    <row r="1441" spans="1:11" ht="16.5" customHeight="1" x14ac:dyDescent="0.25">
      <c r="A1441" s="57" t="s">
        <v>121</v>
      </c>
      <c r="B1441" s="57" t="s">
        <v>207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20"/>
        <v>NOVEMBRE 2023</v>
      </c>
      <c r="F1441" s="57" t="str">
        <f t="shared" si="1221"/>
        <v>11 NOVEMBRE 2023</v>
      </c>
      <c r="G1441" s="59">
        <v>0.4</v>
      </c>
      <c r="H1441" s="1338" t="s">
        <v>777</v>
      </c>
      <c r="I1441" s="960"/>
      <c r="J1441" s="59"/>
      <c r="K1441" s="59"/>
    </row>
    <row r="1442" spans="1:11" ht="16.5" customHeight="1" x14ac:dyDescent="0.25">
      <c r="A1442" s="57" t="s">
        <v>79</v>
      </c>
      <c r="B1442" s="57" t="s">
        <v>207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20"/>
        <v>NOVEMBRE 2023</v>
      </c>
      <c r="F1442" s="57" t="str">
        <f t="shared" si="1221"/>
        <v>11 NOVEMBRE 2023</v>
      </c>
      <c r="G1442" s="59">
        <v>4.3899999999999997</v>
      </c>
      <c r="H1442" s="1338" t="s">
        <v>81</v>
      </c>
      <c r="I1442" s="960"/>
      <c r="J1442" s="59"/>
      <c r="K1442" s="59"/>
    </row>
    <row r="1443" spans="1:11" ht="16.5" customHeight="1" x14ac:dyDescent="0.25">
      <c r="A1443" s="57" t="s">
        <v>121</v>
      </c>
      <c r="B1443" s="57" t="s">
        <v>207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20"/>
        <v>NOVEMBRE 2023</v>
      </c>
      <c r="F1443" s="57" t="str">
        <f t="shared" si="1221"/>
        <v>11 NOVEMBRE 2023</v>
      </c>
      <c r="G1443" s="59">
        <v>0.4</v>
      </c>
      <c r="H1443" s="1338" t="s">
        <v>777</v>
      </c>
      <c r="I1443" s="960"/>
      <c r="J1443" s="59"/>
      <c r="K1443" s="59"/>
    </row>
    <row r="1444" spans="1:11" ht="16.5" customHeight="1" x14ac:dyDescent="0.25">
      <c r="A1444" s="57" t="s">
        <v>121</v>
      </c>
      <c r="B1444" s="57" t="s">
        <v>207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20"/>
        <v>NOVEMBRE 2023</v>
      </c>
      <c r="F1444" s="57" t="str">
        <f t="shared" si="1221"/>
        <v>11 NOVEMBRE 2023</v>
      </c>
      <c r="G1444" s="59">
        <v>0.4</v>
      </c>
      <c r="H1444" s="1338" t="s">
        <v>777</v>
      </c>
      <c r="I1444" s="960"/>
      <c r="J1444" s="59"/>
      <c r="K1444" s="59"/>
    </row>
    <row r="1445" spans="1:11" x14ac:dyDescent="0.25">
      <c r="A1445" s="57" t="s">
        <v>121</v>
      </c>
      <c r="B1445" s="57" t="s">
        <v>207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20"/>
        <v>NOVEMBRE 2023</v>
      </c>
      <c r="F1445" s="57" t="str">
        <f t="shared" si="1221"/>
        <v>11 NOVEMBRE 2023</v>
      </c>
      <c r="G1445" s="59">
        <v>0.4</v>
      </c>
      <c r="H1445" s="1338" t="s">
        <v>777</v>
      </c>
      <c r="I1445" s="960"/>
      <c r="J1445" s="59"/>
      <c r="K1445" s="59"/>
    </row>
    <row r="1446" spans="1:11" x14ac:dyDescent="0.25">
      <c r="A1446" s="57" t="s">
        <v>121</v>
      </c>
      <c r="B1446" s="57" t="s">
        <v>207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20"/>
        <v>NOVEMBRE 2023</v>
      </c>
      <c r="F1446" s="57" t="str">
        <f t="shared" si="1221"/>
        <v>11 NOVEMBRE 2023</v>
      </c>
      <c r="G1446" s="59">
        <v>0.4</v>
      </c>
      <c r="H1446" s="1338" t="s">
        <v>777</v>
      </c>
      <c r="I1446" s="960"/>
      <c r="J1446" s="59"/>
      <c r="K1446" s="59"/>
    </row>
    <row r="1447" spans="1:11" ht="18" customHeight="1" x14ac:dyDescent="0.25">
      <c r="A1447" s="57" t="s">
        <v>121</v>
      </c>
      <c r="B1447" s="57" t="s">
        <v>207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20"/>
        <v>NOVEMBRE 2023</v>
      </c>
      <c r="F1447" s="57" t="str">
        <f t="shared" si="1221"/>
        <v>11 NOVEMBRE 2023</v>
      </c>
      <c r="G1447" s="59">
        <v>0.4</v>
      </c>
      <c r="H1447" s="1338" t="s">
        <v>777</v>
      </c>
      <c r="I1447" s="960"/>
      <c r="J1447" s="59"/>
      <c r="K1447" s="59"/>
    </row>
    <row r="1448" spans="1:11" ht="16.5" customHeight="1" x14ac:dyDescent="0.25">
      <c r="A1448" s="57" t="s">
        <v>76</v>
      </c>
      <c r="B1448" s="57" t="s">
        <v>207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20"/>
        <v>NOVEMBRE 2023</v>
      </c>
      <c r="F1448" s="57" t="str">
        <f t="shared" si="1221"/>
        <v>11 NOVEMBRE 2023</v>
      </c>
      <c r="G1448" s="59">
        <v>9.82</v>
      </c>
      <c r="H1448" s="1338" t="s">
        <v>77</v>
      </c>
      <c r="I1448" s="960"/>
      <c r="J1448" s="59"/>
      <c r="K1448" s="59"/>
    </row>
    <row r="1449" spans="1:11" ht="18.75" customHeight="1" x14ac:dyDescent="0.25">
      <c r="A1449" s="57" t="s">
        <v>83</v>
      </c>
      <c r="B1449" s="57" t="s">
        <v>207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20"/>
        <v>NOVEMBRE 2023</v>
      </c>
      <c r="F1449" s="57" t="str">
        <f t="shared" si="1221"/>
        <v>11 NOVEMBRE 2023</v>
      </c>
      <c r="G1449" s="59">
        <v>12.75</v>
      </c>
      <c r="H1449" s="1338" t="s">
        <v>77</v>
      </c>
      <c r="I1449" s="960"/>
      <c r="J1449" s="59"/>
      <c r="K1449" s="59"/>
    </row>
    <row r="1450" spans="1:11" ht="16.5" customHeight="1" x14ac:dyDescent="0.25">
      <c r="A1450" s="57" t="s">
        <v>187</v>
      </c>
      <c r="B1450" s="57" t="s">
        <v>207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20"/>
        <v>NOVEMBRE 2023</v>
      </c>
      <c r="F1450" s="57" t="str">
        <f t="shared" si="1221"/>
        <v>11 NOVEMBRE 2023</v>
      </c>
      <c r="G1450" s="59">
        <v>16</v>
      </c>
      <c r="H1450" s="1338" t="s">
        <v>81</v>
      </c>
      <c r="I1450" s="960"/>
      <c r="J1450" s="59"/>
      <c r="K1450" s="59"/>
    </row>
    <row r="1451" spans="1:11" ht="16.5" customHeight="1" x14ac:dyDescent="0.25">
      <c r="A1451" s="57" t="s">
        <v>121</v>
      </c>
      <c r="B1451" s="57" t="s">
        <v>207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20"/>
        <v>NOVEMBRE 2023</v>
      </c>
      <c r="F1451" s="57" t="str">
        <f t="shared" si="1221"/>
        <v>11 NOVEMBRE 2023</v>
      </c>
      <c r="G1451" s="59">
        <v>0.4</v>
      </c>
      <c r="H1451" s="1338" t="s">
        <v>777</v>
      </c>
      <c r="I1451" s="960"/>
      <c r="J1451" s="59"/>
      <c r="K1451" s="59"/>
    </row>
    <row r="1452" spans="1:11" ht="18" customHeight="1" x14ac:dyDescent="0.25">
      <c r="A1452" s="57" t="s">
        <v>1017</v>
      </c>
      <c r="B1452" s="57" t="s">
        <v>207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20"/>
        <v>NOVEMBRE 2023</v>
      </c>
      <c r="F1452" s="57" t="str">
        <f t="shared" si="1221"/>
        <v>11 NOVEMBRE 2023</v>
      </c>
      <c r="G1452" s="59">
        <v>1</v>
      </c>
      <c r="H1452" s="1338" t="s">
        <v>185</v>
      </c>
      <c r="I1452" s="960"/>
      <c r="J1452" s="59" t="s">
        <v>768</v>
      </c>
      <c r="K1452" s="59"/>
    </row>
    <row r="1453" spans="1:11" ht="16.5" customHeight="1" x14ac:dyDescent="0.25">
      <c r="A1453" s="57" t="s">
        <v>121</v>
      </c>
      <c r="B1453" s="57" t="s">
        <v>207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20"/>
        <v>NOVEMBRE 2023</v>
      </c>
      <c r="F1453" s="57" t="str">
        <f t="shared" si="1221"/>
        <v>11 NOVEMBRE 2023</v>
      </c>
      <c r="G1453" s="59">
        <v>0.4</v>
      </c>
      <c r="H1453" s="1338" t="s">
        <v>777</v>
      </c>
      <c r="I1453" s="960"/>
      <c r="J1453" s="59"/>
      <c r="K1453" s="59"/>
    </row>
    <row r="1454" spans="1:11" ht="16.5" customHeight="1" x14ac:dyDescent="0.25">
      <c r="A1454" s="57" t="s">
        <v>212</v>
      </c>
      <c r="B1454" s="57" t="s">
        <v>207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20"/>
        <v>NOVEMBRE 2023</v>
      </c>
      <c r="F1454" s="57" t="str">
        <f t="shared" si="1221"/>
        <v>11 NOVEMBRE 2023</v>
      </c>
      <c r="G1454" s="59">
        <v>25</v>
      </c>
      <c r="H1454" s="1338" t="s">
        <v>69</v>
      </c>
      <c r="I1454" s="960"/>
      <c r="J1454" s="59"/>
      <c r="K1454" s="59"/>
    </row>
    <row r="1455" spans="1:11" ht="16.5" customHeight="1" x14ac:dyDescent="0.25">
      <c r="A1455" s="57" t="s">
        <v>213</v>
      </c>
      <c r="B1455" s="57" t="s">
        <v>207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20"/>
        <v>NOVEMBRE 2023</v>
      </c>
      <c r="F1455" s="57" t="str">
        <f t="shared" si="1221"/>
        <v>11 NOVEMBRE 2023</v>
      </c>
      <c r="G1455" s="59">
        <v>30.19</v>
      </c>
      <c r="H1455" s="1338" t="s">
        <v>81</v>
      </c>
      <c r="I1455" s="960"/>
      <c r="J1455" s="59"/>
      <c r="K1455" s="59"/>
    </row>
    <row r="1456" spans="1:11" ht="16.5" customHeight="1" x14ac:dyDescent="0.25">
      <c r="A1456" s="57" t="s">
        <v>121</v>
      </c>
      <c r="B1456" s="57" t="s">
        <v>207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20"/>
        <v>NOVEMBRE 2023</v>
      </c>
      <c r="F1456" s="57" t="str">
        <f t="shared" si="1221"/>
        <v>11 NOVEMBRE 2023</v>
      </c>
      <c r="G1456" s="59">
        <v>0.4</v>
      </c>
      <c r="H1456" s="1338" t="s">
        <v>777</v>
      </c>
      <c r="I1456" s="960"/>
      <c r="J1456" s="59"/>
      <c r="K1456" s="59"/>
    </row>
    <row r="1457" spans="1:11" ht="16.5" customHeight="1" x14ac:dyDescent="0.25">
      <c r="A1457" s="57" t="s">
        <v>121</v>
      </c>
      <c r="B1457" s="57" t="s">
        <v>207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20"/>
        <v>NOVEMBRE 2023</v>
      </c>
      <c r="F1457" s="57" t="str">
        <f t="shared" si="1221"/>
        <v>11 NOVEMBRE 2023</v>
      </c>
      <c r="G1457" s="59">
        <v>0.4</v>
      </c>
      <c r="H1457" s="1338" t="s">
        <v>777</v>
      </c>
      <c r="I1457" s="960"/>
      <c r="J1457" s="59"/>
      <c r="K1457" s="59"/>
    </row>
    <row r="1458" spans="1:11" x14ac:dyDescent="0.25">
      <c r="A1458" s="57" t="s">
        <v>121</v>
      </c>
      <c r="B1458" s="57" t="s">
        <v>207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20"/>
        <v>NOVEMBRE 2023</v>
      </c>
      <c r="F1458" s="57" t="str">
        <f t="shared" si="1221"/>
        <v>11 NOVEMBRE 2023</v>
      </c>
      <c r="G1458" s="59">
        <v>0.4</v>
      </c>
      <c r="H1458" s="1338" t="s">
        <v>777</v>
      </c>
      <c r="I1458" s="960"/>
      <c r="J1458" s="59"/>
      <c r="K1458" s="59"/>
    </row>
    <row r="1459" spans="1:11" ht="18" customHeight="1" x14ac:dyDescent="0.25">
      <c r="A1459" s="57" t="s">
        <v>121</v>
      </c>
      <c r="B1459" s="57" t="s">
        <v>207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20"/>
        <v>NOVEMBRE 2023</v>
      </c>
      <c r="F1459" s="57" t="str">
        <f t="shared" si="1221"/>
        <v>11 NOVEMBRE 2023</v>
      </c>
      <c r="G1459" s="59">
        <v>0.4</v>
      </c>
      <c r="H1459" s="1338" t="s">
        <v>777</v>
      </c>
      <c r="I1459" s="960"/>
      <c r="J1459" s="59"/>
      <c r="K1459" s="59"/>
    </row>
    <row r="1460" spans="1:11" ht="16.5" customHeight="1" x14ac:dyDescent="0.25">
      <c r="A1460" s="57" t="s">
        <v>121</v>
      </c>
      <c r="B1460" s="57" t="s">
        <v>207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20"/>
        <v>NOVEMBRE 2023</v>
      </c>
      <c r="F1460" s="57" t="str">
        <f t="shared" si="1221"/>
        <v>11 NOVEMBRE 2023</v>
      </c>
      <c r="G1460" s="59">
        <v>0.4</v>
      </c>
      <c r="H1460" s="1338" t="s">
        <v>777</v>
      </c>
      <c r="I1460" s="960"/>
      <c r="J1460" s="59"/>
      <c r="K1460" s="59"/>
    </row>
    <row r="1461" spans="1:11" ht="18.600000000000001" customHeight="1" x14ac:dyDescent="0.25">
      <c r="A1461" s="57" t="s">
        <v>76</v>
      </c>
      <c r="B1461" s="57" t="s">
        <v>207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20"/>
        <v>NOVEMBRE 2023</v>
      </c>
      <c r="F1461" s="57" t="str">
        <f t="shared" si="1221"/>
        <v>11 NOVEMBRE 2023</v>
      </c>
      <c r="G1461" s="59">
        <v>39.770000000000003</v>
      </c>
      <c r="H1461" s="1338" t="s">
        <v>77</v>
      </c>
      <c r="I1461" s="960"/>
      <c r="J1461" s="59"/>
      <c r="K1461" s="59"/>
    </row>
    <row r="1462" spans="1:11" ht="18" customHeight="1" x14ac:dyDescent="0.25">
      <c r="A1462" s="57" t="s">
        <v>1016</v>
      </c>
      <c r="B1462" s="57" t="s">
        <v>207</v>
      </c>
      <c r="C1462" s="57">
        <v>2023</v>
      </c>
      <c r="D1462" s="58">
        <f>MATCH(B1462,{"GENNAIO","FEBBRAIO","MARZO","APRILE","MAGGIO","GIUGNO","LUGLIO","AGOSTO","SETTEMBRE","OTTOBRE","NOVEMBRE","DICEMBRE"},0)</f>
        <v>11</v>
      </c>
      <c r="E1462" s="57" t="str">
        <f t="shared" si="1220"/>
        <v>NOVEMBRE 2023</v>
      </c>
      <c r="F1462" s="57" t="str">
        <f t="shared" si="1221"/>
        <v>11 NOVEMBRE 2023</v>
      </c>
      <c r="G1462" s="59">
        <v>43.27</v>
      </c>
      <c r="H1462" s="1338" t="s">
        <v>81</v>
      </c>
      <c r="I1462" s="960" t="s">
        <v>993</v>
      </c>
      <c r="J1462" s="59" t="s">
        <v>768</v>
      </c>
      <c r="K1462" s="59"/>
    </row>
    <row r="1463" spans="1:11" ht="18" customHeight="1" x14ac:dyDescent="0.25">
      <c r="A1463" s="57" t="s">
        <v>121</v>
      </c>
      <c r="B1463" s="57" t="s">
        <v>207</v>
      </c>
      <c r="C1463" s="57">
        <v>2023</v>
      </c>
      <c r="D1463" s="58">
        <f>MATCH(B1463,{"GENNAIO","FEBBRAIO","MARZO","APRILE","MAGGIO","GIUGNO","LUGLIO","AGOSTO","SETTEMBRE","OTTOBRE","NOVEMBRE","DICEMBRE"},0)</f>
        <v>11</v>
      </c>
      <c r="E1463" s="57" t="str">
        <f t="shared" si="1220"/>
        <v>NOVEMBRE 2023</v>
      </c>
      <c r="F1463" s="57" t="str">
        <f t="shared" si="1221"/>
        <v>11 NOVEMBRE 2023</v>
      </c>
      <c r="G1463" s="59">
        <v>0.4</v>
      </c>
      <c r="H1463" s="1338" t="s">
        <v>777</v>
      </c>
      <c r="I1463" s="960"/>
      <c r="J1463" s="59"/>
      <c r="K1463" s="59"/>
    </row>
    <row r="1464" spans="1:11" ht="16.5" customHeight="1" x14ac:dyDescent="0.25">
      <c r="A1464" s="57" t="s">
        <v>79</v>
      </c>
      <c r="B1464" s="57" t="s">
        <v>207</v>
      </c>
      <c r="C1464" s="57">
        <v>2023</v>
      </c>
      <c r="D1464" s="58">
        <f>MATCH(B1464,{"GENNAIO","FEBBRAIO","MARZO","APRILE","MAGGIO","GIUGNO","LUGLIO","AGOSTO","SETTEMBRE","OTTOBRE","NOVEMBRE","DICEMBRE"},0)</f>
        <v>11</v>
      </c>
      <c r="E1464" s="57" t="str">
        <f t="shared" si="1220"/>
        <v>NOVEMBRE 2023</v>
      </c>
      <c r="F1464" s="57" t="str">
        <f t="shared" si="1221"/>
        <v>11 NOVEMBRE 2023</v>
      </c>
      <c r="G1464" s="59">
        <v>17.29</v>
      </c>
      <c r="H1464" s="1338" t="s">
        <v>81</v>
      </c>
      <c r="I1464" s="960"/>
      <c r="J1464" s="59"/>
      <c r="K1464" s="59"/>
    </row>
    <row r="1465" spans="1:11" ht="16.5" customHeight="1" x14ac:dyDescent="0.25">
      <c r="A1465" s="57" t="s">
        <v>329</v>
      </c>
      <c r="B1465" s="57" t="s">
        <v>207</v>
      </c>
      <c r="C1465" s="57">
        <v>2023</v>
      </c>
      <c r="D1465" s="58">
        <f>MATCH(B1465,{"GENNAIO","FEBBRAIO","MARZO","APRILE","MAGGIO","GIUGNO","LUGLIO","AGOSTO","SETTEMBRE","OTTOBRE","NOVEMBRE","DICEMBRE"},0)</f>
        <v>11</v>
      </c>
      <c r="E1465" s="57" t="str">
        <f t="shared" si="1220"/>
        <v>NOVEMBRE 2023</v>
      </c>
      <c r="F1465" s="57" t="str">
        <f t="shared" si="1221"/>
        <v>11 NOVEMBRE 2023</v>
      </c>
      <c r="G1465" s="59">
        <v>30.32</v>
      </c>
      <c r="H1465" s="1338" t="s">
        <v>137</v>
      </c>
      <c r="I1465" s="960" t="s">
        <v>989</v>
      </c>
      <c r="J1465" s="59" t="s">
        <v>768</v>
      </c>
      <c r="K1465" s="59"/>
    </row>
    <row r="1466" spans="1:11" x14ac:dyDescent="0.25">
      <c r="A1466" s="57" t="s">
        <v>998</v>
      </c>
      <c r="B1466" s="57" t="s">
        <v>207</v>
      </c>
      <c r="C1466" s="57">
        <v>2023</v>
      </c>
      <c r="D1466" s="58">
        <f>MATCH(B1466,{"GENNAIO","FEBBRAIO","MARZO","APRILE","MAGGIO","GIUGNO","LUGLIO","AGOSTO","SETTEMBRE","OTTOBRE","NOVEMBRE","DICEMBRE"},0)</f>
        <v>11</v>
      </c>
      <c r="E1466" s="57" t="str">
        <f t="shared" si="1220"/>
        <v>NOVEMBRE 2023</v>
      </c>
      <c r="F1466" s="57" t="str">
        <f t="shared" si="1221"/>
        <v>11 NOVEMBRE 2023</v>
      </c>
      <c r="G1466" s="59">
        <v>34.78</v>
      </c>
      <c r="H1466" s="1338" t="s">
        <v>70</v>
      </c>
      <c r="I1466" s="960" t="s">
        <v>989</v>
      </c>
      <c r="J1466" s="59" t="s">
        <v>768</v>
      </c>
      <c r="K1466" s="59"/>
    </row>
    <row r="1467" spans="1:11" ht="16.5" customHeight="1" x14ac:dyDescent="0.25">
      <c r="A1467" s="57" t="s">
        <v>214</v>
      </c>
      <c r="B1467" s="57" t="s">
        <v>207</v>
      </c>
      <c r="C1467" s="57">
        <v>2023</v>
      </c>
      <c r="D1467" s="58">
        <f>MATCH(B1467,{"GENNAIO","FEBBRAIO","MARZO","APRILE","MAGGIO","GIUGNO","LUGLIO","AGOSTO","SETTEMBRE","OTTOBRE","NOVEMBRE","DICEMBRE"},0)</f>
        <v>11</v>
      </c>
      <c r="E1467" s="57" t="str">
        <f t="shared" si="1220"/>
        <v>NOVEMBRE 2023</v>
      </c>
      <c r="F1467" s="57" t="str">
        <f t="shared" si="1221"/>
        <v>11 NOVEMBRE 2023</v>
      </c>
      <c r="G1467" s="59">
        <v>29</v>
      </c>
      <c r="H1467" s="1338" t="s">
        <v>69</v>
      </c>
      <c r="I1467" s="960"/>
      <c r="J1467" s="59"/>
      <c r="K1467" s="59"/>
    </row>
    <row r="1468" spans="1:11" ht="16.5" customHeight="1" x14ac:dyDescent="0.25">
      <c r="A1468" s="57" t="s">
        <v>138</v>
      </c>
      <c r="B1468" s="57" t="s">
        <v>207</v>
      </c>
      <c r="C1468" s="57">
        <v>2023</v>
      </c>
      <c r="D1468" s="58">
        <f>MATCH(B1468,{"GENNAIO","FEBBRAIO","MARZO","APRILE","MAGGIO","GIUGNO","LUGLIO","AGOSTO","SETTEMBRE","OTTOBRE","NOVEMBRE","DICEMBRE"},0)</f>
        <v>11</v>
      </c>
      <c r="E1468" s="57" t="str">
        <f t="shared" si="1220"/>
        <v>NOVEMBRE 2023</v>
      </c>
      <c r="F1468" s="57" t="str">
        <f t="shared" si="1221"/>
        <v>11 NOVEMBRE 2023</v>
      </c>
      <c r="G1468" s="59">
        <v>22</v>
      </c>
      <c r="H1468" s="1338" t="s">
        <v>69</v>
      </c>
      <c r="I1468" s="960"/>
      <c r="J1468" s="59"/>
      <c r="K1468" s="59"/>
    </row>
    <row r="1469" spans="1:11" ht="16.5" customHeight="1" x14ac:dyDescent="0.25">
      <c r="A1469" s="57" t="s">
        <v>76</v>
      </c>
      <c r="B1469" s="57" t="s">
        <v>207</v>
      </c>
      <c r="C1469" s="57">
        <v>2023</v>
      </c>
      <c r="D1469" s="58">
        <f>MATCH(B1469,{"GENNAIO","FEBBRAIO","MARZO","APRILE","MAGGIO","GIUGNO","LUGLIO","AGOSTO","SETTEMBRE","OTTOBRE","NOVEMBRE","DICEMBRE"},0)</f>
        <v>11</v>
      </c>
      <c r="E1469" s="57" t="str">
        <f t="shared" si="1220"/>
        <v>NOVEMBRE 2023</v>
      </c>
      <c r="F1469" s="57" t="str">
        <f t="shared" si="1221"/>
        <v>11 NOVEMBRE 2023</v>
      </c>
      <c r="G1469" s="59">
        <v>8.14</v>
      </c>
      <c r="H1469" s="1338" t="s">
        <v>77</v>
      </c>
      <c r="I1469" s="960"/>
      <c r="J1469" s="59"/>
      <c r="K1469" s="59"/>
    </row>
    <row r="1470" spans="1:11" ht="16.5" customHeight="1" x14ac:dyDescent="0.25">
      <c r="A1470" s="57" t="s">
        <v>67</v>
      </c>
      <c r="B1470" s="57" t="s">
        <v>207</v>
      </c>
      <c r="C1470" s="57">
        <v>2023</v>
      </c>
      <c r="D1470" s="58">
        <f>MATCH(B1470,{"GENNAIO","FEBBRAIO","MARZO","APRILE","MAGGIO","GIUGNO","LUGLIO","AGOSTO","SETTEMBRE","OTTOBRE","NOVEMBRE","DICEMBRE"},0)</f>
        <v>11</v>
      </c>
      <c r="E1470" s="57" t="str">
        <f t="shared" si="1220"/>
        <v>NOVEMBRE 2023</v>
      </c>
      <c r="F1470" s="57" t="str">
        <f t="shared" si="1221"/>
        <v>11 NOVEMBRE 2023</v>
      </c>
      <c r="G1470" s="59">
        <v>5</v>
      </c>
      <c r="H1470" s="1338" t="s">
        <v>776</v>
      </c>
      <c r="I1470" s="960"/>
      <c r="J1470" s="59"/>
      <c r="K1470" s="59"/>
    </row>
    <row r="1471" spans="1:11" ht="16.5" customHeight="1" x14ac:dyDescent="0.25">
      <c r="A1471" s="57" t="s">
        <v>67</v>
      </c>
      <c r="B1471" s="57" t="s">
        <v>215</v>
      </c>
      <c r="C1471" s="57">
        <v>2023</v>
      </c>
      <c r="D1471" s="58">
        <f>MATCH(B1471,{"GENNAIO","FEBBRAIO","MARZO","APRILE","MAGGIO","GIUGNO","LUGLIO","AGOSTO","SETTEMBRE","OTTOBRE","NOVEMBRE","DICEMBRE"},0)</f>
        <v>10</v>
      </c>
      <c r="E1471" s="57" t="str">
        <f t="shared" si="1220"/>
        <v>OTTOBRE 2023</v>
      </c>
      <c r="F1471" s="57" t="str">
        <f t="shared" si="1221"/>
        <v>10 OTTOBRE 2023</v>
      </c>
      <c r="G1471" s="59">
        <v>2.6</v>
      </c>
      <c r="H1471" s="1338" t="s">
        <v>69</v>
      </c>
      <c r="I1471" s="960"/>
      <c r="J1471" s="59"/>
      <c r="K1471" s="59"/>
    </row>
    <row r="1472" spans="1:11" ht="16.5" customHeight="1" x14ac:dyDescent="0.25">
      <c r="A1472" s="57" t="s">
        <v>121</v>
      </c>
      <c r="B1472" s="57" t="s">
        <v>215</v>
      </c>
      <c r="C1472" s="57">
        <v>2023</v>
      </c>
      <c r="D1472" s="58">
        <f>MATCH(B1472,{"GENNAIO","FEBBRAIO","MARZO","APRILE","MAGGIO","GIUGNO","LUGLIO","AGOSTO","SETTEMBRE","OTTOBRE","NOVEMBRE","DICEMBRE"},0)</f>
        <v>10</v>
      </c>
      <c r="E1472" s="57" t="str">
        <f t="shared" si="1220"/>
        <v>OTTOBRE 2023</v>
      </c>
      <c r="F1472" s="57" t="str">
        <f t="shared" si="1221"/>
        <v>10 OTTOBRE 2023</v>
      </c>
      <c r="G1472" s="59">
        <v>0.4</v>
      </c>
      <c r="H1472" s="1338" t="s">
        <v>777</v>
      </c>
      <c r="I1472" s="960"/>
      <c r="J1472" s="59"/>
      <c r="K1472" s="59"/>
    </row>
    <row r="1473" spans="1:11" x14ac:dyDescent="0.25">
      <c r="A1473" s="57" t="s">
        <v>121</v>
      </c>
      <c r="B1473" s="57" t="s">
        <v>215</v>
      </c>
      <c r="C1473" s="57">
        <v>2023</v>
      </c>
      <c r="D1473" s="58">
        <f>MATCH(B1473,{"GENNAIO","FEBBRAIO","MARZO","APRILE","MAGGIO","GIUGNO","LUGLIO","AGOSTO","SETTEMBRE","OTTOBRE","NOVEMBRE","DICEMBRE"},0)</f>
        <v>10</v>
      </c>
      <c r="E1473" s="57" t="str">
        <f t="shared" si="1220"/>
        <v>OTTOBRE 2023</v>
      </c>
      <c r="F1473" s="57" t="str">
        <f t="shared" si="1221"/>
        <v>10 OTTOBRE 2023</v>
      </c>
      <c r="G1473" s="59">
        <v>0.4</v>
      </c>
      <c r="H1473" s="1338" t="s">
        <v>777</v>
      </c>
      <c r="I1473" s="960"/>
      <c r="J1473" s="59"/>
      <c r="K1473" s="59"/>
    </row>
    <row r="1474" spans="1:11" ht="16.5" customHeight="1" x14ac:dyDescent="0.25">
      <c r="A1474" s="57" t="s">
        <v>121</v>
      </c>
      <c r="B1474" s="57" t="s">
        <v>215</v>
      </c>
      <c r="C1474" s="57">
        <v>2023</v>
      </c>
      <c r="D1474" s="58">
        <f>MATCH(B1474,{"GENNAIO","FEBBRAIO","MARZO","APRILE","MAGGIO","GIUGNO","LUGLIO","AGOSTO","SETTEMBRE","OTTOBRE","NOVEMBRE","DICEMBRE"},0)</f>
        <v>10</v>
      </c>
      <c r="E1474" s="57" t="str">
        <f t="shared" si="1220"/>
        <v>OTTOBRE 2023</v>
      </c>
      <c r="F1474" s="57" t="str">
        <f t="shared" si="1221"/>
        <v>10 OTTOBRE 2023</v>
      </c>
      <c r="G1474" s="59">
        <v>0.4</v>
      </c>
      <c r="H1474" s="1338" t="s">
        <v>777</v>
      </c>
      <c r="I1474" s="960"/>
      <c r="J1474" s="59"/>
      <c r="K1474" s="59"/>
    </row>
    <row r="1475" spans="1:11" ht="16.5" customHeight="1" x14ac:dyDescent="0.25">
      <c r="A1475" s="57" t="s">
        <v>140</v>
      </c>
      <c r="B1475" s="57" t="s">
        <v>215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20"/>
        <v>OTTOBRE 2023</v>
      </c>
      <c r="F1475" s="57" t="str">
        <f t="shared" si="1221"/>
        <v>10 OTTOBRE 2023</v>
      </c>
      <c r="G1475" s="59">
        <v>54.3</v>
      </c>
      <c r="H1475" s="1338" t="s">
        <v>69</v>
      </c>
      <c r="I1475" s="960"/>
      <c r="J1475" s="59"/>
      <c r="K1475" s="59"/>
    </row>
    <row r="1476" spans="1:11" x14ac:dyDescent="0.25">
      <c r="A1476" s="57" t="s">
        <v>83</v>
      </c>
      <c r="B1476" s="57" t="s">
        <v>215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20"/>
        <v>OTTOBRE 2023</v>
      </c>
      <c r="F1476" s="57" t="str">
        <f t="shared" si="1221"/>
        <v>10 OTTOBRE 2023</v>
      </c>
      <c r="G1476" s="59">
        <v>9</v>
      </c>
      <c r="H1476" s="1338" t="s">
        <v>77</v>
      </c>
      <c r="I1476" s="960"/>
      <c r="J1476" s="59"/>
      <c r="K1476" s="59"/>
    </row>
    <row r="1477" spans="1:11" x14ac:dyDescent="0.25">
      <c r="A1477" s="57" t="s">
        <v>121</v>
      </c>
      <c r="B1477" s="57" t="s">
        <v>215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20"/>
        <v>OTTOBRE 2023</v>
      </c>
      <c r="F1477" s="57" t="str">
        <f t="shared" si="1221"/>
        <v>10 OTTOBRE 2023</v>
      </c>
      <c r="G1477" s="59">
        <v>0.4</v>
      </c>
      <c r="H1477" s="1338" t="s">
        <v>777</v>
      </c>
      <c r="I1477" s="960"/>
      <c r="J1477" s="59"/>
      <c r="K1477" s="59"/>
    </row>
    <row r="1478" spans="1:11" x14ac:dyDescent="0.25">
      <c r="A1478" s="57" t="s">
        <v>121</v>
      </c>
      <c r="B1478" s="57" t="s">
        <v>215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20"/>
        <v>OTTOBRE 2023</v>
      </c>
      <c r="F1478" s="57" t="str">
        <f t="shared" si="1221"/>
        <v>10 OTTOBRE 2023</v>
      </c>
      <c r="G1478" s="59">
        <v>0.4</v>
      </c>
      <c r="H1478" s="1338" t="s">
        <v>777</v>
      </c>
      <c r="I1478" s="960"/>
      <c r="J1478" s="59"/>
      <c r="K1478" s="59"/>
    </row>
    <row r="1479" spans="1:11" x14ac:dyDescent="0.25">
      <c r="A1479" s="57" t="s">
        <v>83</v>
      </c>
      <c r="B1479" s="57" t="s">
        <v>215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20"/>
        <v>OTTOBRE 2023</v>
      </c>
      <c r="F1479" s="57" t="str">
        <f t="shared" si="1221"/>
        <v>10 OTTOBRE 2023</v>
      </c>
      <c r="G1479" s="59">
        <v>26.12</v>
      </c>
      <c r="H1479" s="1338" t="s">
        <v>77</v>
      </c>
      <c r="I1479" s="960"/>
      <c r="J1479" s="59"/>
      <c r="K1479" s="59"/>
    </row>
    <row r="1480" spans="1:11" ht="16.5" customHeight="1" x14ac:dyDescent="0.25">
      <c r="A1480" s="57" t="s">
        <v>171</v>
      </c>
      <c r="B1480" s="57" t="s">
        <v>215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20"/>
        <v>OTTOBRE 2023</v>
      </c>
      <c r="F1480" s="57" t="str">
        <f t="shared" si="1221"/>
        <v>10 OTTOBRE 2023</v>
      </c>
      <c r="G1480" s="59">
        <v>5.5</v>
      </c>
      <c r="H1480" s="1338" t="s">
        <v>81</v>
      </c>
      <c r="I1480" s="960"/>
      <c r="J1480" s="59"/>
      <c r="K1480" s="59"/>
    </row>
    <row r="1481" spans="1:11" ht="16.5" customHeight="1" x14ac:dyDescent="0.25">
      <c r="A1481" s="57" t="s">
        <v>76</v>
      </c>
      <c r="B1481" s="57" t="s">
        <v>215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20"/>
        <v>OTTOBRE 2023</v>
      </c>
      <c r="F1481" s="57" t="str">
        <f t="shared" si="1221"/>
        <v>10 OTTOBRE 2023</v>
      </c>
      <c r="G1481" s="59">
        <v>17.989999999999998</v>
      </c>
      <c r="H1481" s="1338" t="s">
        <v>77</v>
      </c>
      <c r="I1481" s="960"/>
      <c r="J1481" s="59"/>
      <c r="K1481" s="59"/>
    </row>
    <row r="1482" spans="1:11" x14ac:dyDescent="0.25">
      <c r="A1482" s="57" t="s">
        <v>1017</v>
      </c>
      <c r="B1482" s="57" t="s">
        <v>215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20"/>
        <v>OTTOBRE 2023</v>
      </c>
      <c r="F1482" s="57" t="str">
        <f t="shared" si="1221"/>
        <v>10 OTTOBRE 2023</v>
      </c>
      <c r="G1482" s="59">
        <v>9.99</v>
      </c>
      <c r="H1482" s="1338" t="s">
        <v>185</v>
      </c>
      <c r="I1482" s="960"/>
      <c r="J1482" s="59" t="s">
        <v>768</v>
      </c>
      <c r="K1482" s="59"/>
    </row>
    <row r="1483" spans="1:11" x14ac:dyDescent="0.25">
      <c r="A1483" s="57" t="s">
        <v>121</v>
      </c>
      <c r="B1483" s="57" t="s">
        <v>215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20"/>
        <v>OTTOBRE 2023</v>
      </c>
      <c r="F1483" s="57" t="str">
        <f t="shared" si="1221"/>
        <v>10 OTTOBRE 2023</v>
      </c>
      <c r="G1483" s="59">
        <v>0.4</v>
      </c>
      <c r="H1483" s="1338" t="s">
        <v>777</v>
      </c>
      <c r="I1483" s="960"/>
      <c r="J1483" s="59"/>
      <c r="K1483" s="59"/>
    </row>
    <row r="1484" spans="1:11" x14ac:dyDescent="0.25">
      <c r="A1484" s="57" t="s">
        <v>216</v>
      </c>
      <c r="B1484" s="57" t="s">
        <v>215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20"/>
        <v>OTTOBRE 2023</v>
      </c>
      <c r="F1484" s="57" t="str">
        <f t="shared" si="1221"/>
        <v>10 OTTOBRE 2023</v>
      </c>
      <c r="G1484" s="59">
        <v>34</v>
      </c>
      <c r="H1484" s="1338" t="s">
        <v>69</v>
      </c>
      <c r="I1484" s="960"/>
      <c r="J1484" s="59"/>
      <c r="K1484" s="59"/>
    </row>
    <row r="1485" spans="1:11" x14ac:dyDescent="0.25">
      <c r="A1485" s="57" t="s">
        <v>171</v>
      </c>
      <c r="B1485" s="57" t="s">
        <v>215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20"/>
        <v>OTTOBRE 2023</v>
      </c>
      <c r="F1485" s="57" t="str">
        <f t="shared" si="1221"/>
        <v>10 OTTOBRE 2023</v>
      </c>
      <c r="G1485" s="59">
        <v>51.25</v>
      </c>
      <c r="H1485" s="1338" t="s">
        <v>81</v>
      </c>
      <c r="I1485" s="960"/>
      <c r="J1485" s="59"/>
      <c r="K1485" s="59"/>
    </row>
    <row r="1486" spans="1:11" ht="16.5" customHeight="1" x14ac:dyDescent="0.25">
      <c r="A1486" s="57" t="s">
        <v>217</v>
      </c>
      <c r="B1486" s="57" t="s">
        <v>215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20"/>
        <v>OTTOBRE 2023</v>
      </c>
      <c r="F1486" s="57" t="str">
        <f t="shared" si="1221"/>
        <v>10 OTTOBRE 2023</v>
      </c>
      <c r="G1486" s="59">
        <v>34</v>
      </c>
      <c r="H1486" s="1338" t="s">
        <v>137</v>
      </c>
      <c r="I1486" s="960"/>
      <c r="J1486" s="59"/>
      <c r="K1486" s="59"/>
    </row>
    <row r="1487" spans="1:11" x14ac:dyDescent="0.25">
      <c r="A1487" s="57" t="s">
        <v>218</v>
      </c>
      <c r="B1487" s="57" t="s">
        <v>215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20"/>
        <v>OTTOBRE 2023</v>
      </c>
      <c r="F1487" s="57" t="str">
        <f t="shared" si="1221"/>
        <v>10 OTTOBRE 2023</v>
      </c>
      <c r="G1487" s="59">
        <v>48.3</v>
      </c>
      <c r="H1487" s="1338" t="s">
        <v>137</v>
      </c>
      <c r="I1487" s="960"/>
      <c r="J1487" s="59"/>
      <c r="K1487" s="59"/>
    </row>
    <row r="1488" spans="1:11" x14ac:dyDescent="0.25">
      <c r="A1488" s="57" t="s">
        <v>171</v>
      </c>
      <c r="B1488" s="57" t="s">
        <v>215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20"/>
        <v>OTTOBRE 2023</v>
      </c>
      <c r="F1488" s="57" t="str">
        <f t="shared" si="1221"/>
        <v>10 OTTOBRE 2023</v>
      </c>
      <c r="G1488" s="59">
        <v>25.85</v>
      </c>
      <c r="H1488" s="1338" t="s">
        <v>81</v>
      </c>
      <c r="I1488" s="960"/>
      <c r="J1488" s="59"/>
      <c r="K1488" s="59"/>
    </row>
    <row r="1489" spans="1:11" x14ac:dyDescent="0.25">
      <c r="A1489" s="57" t="s">
        <v>67</v>
      </c>
      <c r="B1489" s="57" t="s">
        <v>215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si="1220"/>
        <v>OTTOBRE 2023</v>
      </c>
      <c r="F1489" s="57" t="str">
        <f t="shared" si="1221"/>
        <v>10 OTTOBRE 2023</v>
      </c>
      <c r="G1489" s="59">
        <v>7</v>
      </c>
      <c r="H1489" s="1338" t="s">
        <v>776</v>
      </c>
      <c r="I1489" s="960"/>
      <c r="J1489" s="59"/>
      <c r="K1489" s="59"/>
    </row>
    <row r="1490" spans="1:11" x14ac:dyDescent="0.25">
      <c r="A1490" s="57" t="s">
        <v>219</v>
      </c>
      <c r="B1490" s="57" t="s">
        <v>215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20"/>
        <v>OTTOBRE 2023</v>
      </c>
      <c r="F1490" s="57" t="str">
        <f t="shared" si="1221"/>
        <v>10 OTTOBRE 2023</v>
      </c>
      <c r="G1490" s="59">
        <v>9.81</v>
      </c>
      <c r="H1490" s="1338" t="s">
        <v>77</v>
      </c>
      <c r="I1490" s="960"/>
      <c r="J1490" s="59"/>
      <c r="K1490" s="59"/>
    </row>
    <row r="1491" spans="1:11" ht="18" customHeight="1" x14ac:dyDescent="0.25">
      <c r="A1491" s="57" t="s">
        <v>108</v>
      </c>
      <c r="B1491" s="57" t="s">
        <v>215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20"/>
        <v>OTTOBRE 2023</v>
      </c>
      <c r="F1491" s="57" t="str">
        <f t="shared" si="1221"/>
        <v>10 OTTOBRE 2023</v>
      </c>
      <c r="G1491" s="59">
        <v>34.799999999999997</v>
      </c>
      <c r="H1491" s="1338" t="s">
        <v>75</v>
      </c>
      <c r="I1491" s="960"/>
      <c r="J1491" s="57" t="s">
        <v>108</v>
      </c>
      <c r="K1491" s="59"/>
    </row>
    <row r="1492" spans="1:11" x14ac:dyDescent="0.25">
      <c r="A1492" s="57" t="s">
        <v>329</v>
      </c>
      <c r="B1492" s="57" t="s">
        <v>215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20"/>
        <v>OTTOBRE 2023</v>
      </c>
      <c r="F1492" s="57" t="str">
        <f t="shared" si="1221"/>
        <v>10 OTTOBRE 2023</v>
      </c>
      <c r="G1492" s="59">
        <v>19.989999999999998</v>
      </c>
      <c r="H1492" s="1338" t="s">
        <v>137</v>
      </c>
      <c r="I1492" s="960"/>
      <c r="J1492" s="59" t="s">
        <v>768</v>
      </c>
      <c r="K1492" s="59"/>
    </row>
    <row r="1493" spans="1:11" ht="18.600000000000001" customHeight="1" x14ac:dyDescent="0.25">
      <c r="A1493" s="57" t="s">
        <v>113</v>
      </c>
      <c r="B1493" s="57" t="s">
        <v>215</v>
      </c>
      <c r="C1493" s="57">
        <v>2023</v>
      </c>
      <c r="D1493" s="58">
        <f>MATCH(B1493,{"GENNAIO","FEBBRAIO","MARZO","APRILE","MAGGIO","GIUGNO","LUGLIO","AGOSTO","SETTEMBRE","OTTOBRE","NOVEMBRE","DICEMBRE"},0)</f>
        <v>10</v>
      </c>
      <c r="E1493" s="57" t="str">
        <f t="shared" si="1220"/>
        <v>OTTOBRE 2023</v>
      </c>
      <c r="F1493" s="57" t="str">
        <f t="shared" si="1221"/>
        <v>10 OTTOBRE 2023</v>
      </c>
      <c r="G1493" s="59">
        <v>33</v>
      </c>
      <c r="H1493" s="1338" t="s">
        <v>114</v>
      </c>
      <c r="I1493" s="960"/>
      <c r="J1493" s="59"/>
      <c r="K1493" s="59"/>
    </row>
    <row r="1494" spans="1:11" ht="16.5" customHeight="1" x14ac:dyDescent="0.25">
      <c r="A1494" s="57" t="s">
        <v>329</v>
      </c>
      <c r="B1494" s="57" t="s">
        <v>215</v>
      </c>
      <c r="C1494" s="57">
        <v>2023</v>
      </c>
      <c r="D1494" s="58">
        <f>MATCH(B1494,{"GENNAIO","FEBBRAIO","MARZO","APRILE","MAGGIO","GIUGNO","LUGLIO","AGOSTO","SETTEMBRE","OTTOBRE","NOVEMBRE","DICEMBRE"},0)</f>
        <v>10</v>
      </c>
      <c r="E1494" s="57" t="str">
        <f t="shared" si="1220"/>
        <v>OTTOBRE 2023</v>
      </c>
      <c r="F1494" s="57" t="str">
        <f t="shared" si="1221"/>
        <v>10 OTTOBRE 2023</v>
      </c>
      <c r="G1494" s="59">
        <v>30.33</v>
      </c>
      <c r="H1494" s="1338" t="s">
        <v>137</v>
      </c>
      <c r="I1494" s="960" t="s">
        <v>988</v>
      </c>
      <c r="J1494" s="59" t="s">
        <v>768</v>
      </c>
      <c r="K1494" s="59"/>
    </row>
    <row r="1495" spans="1:11" x14ac:dyDescent="0.25">
      <c r="A1495" s="57" t="s">
        <v>83</v>
      </c>
      <c r="B1495" s="57" t="s">
        <v>215</v>
      </c>
      <c r="C1495" s="57">
        <v>2023</v>
      </c>
      <c r="D1495" s="58">
        <f>MATCH(B1495,{"GENNAIO","FEBBRAIO","MARZO","APRILE","MAGGIO","GIUGNO","LUGLIO","AGOSTO","SETTEMBRE","OTTOBRE","NOVEMBRE","DICEMBRE"},0)</f>
        <v>10</v>
      </c>
      <c r="E1495" s="57" t="str">
        <f t="shared" si="1220"/>
        <v>OTTOBRE 2023</v>
      </c>
      <c r="F1495" s="57" t="str">
        <f t="shared" si="1221"/>
        <v>10 OTTOBRE 2023</v>
      </c>
      <c r="G1495" s="59">
        <v>16.79</v>
      </c>
      <c r="H1495" s="1338" t="s">
        <v>77</v>
      </c>
      <c r="I1495" s="960"/>
      <c r="J1495" s="59"/>
      <c r="K1495" s="59"/>
    </row>
    <row r="1496" spans="1:11" ht="16.5" customHeight="1" x14ac:dyDescent="0.25">
      <c r="A1496" s="57" t="s">
        <v>79</v>
      </c>
      <c r="B1496" s="57" t="s">
        <v>215</v>
      </c>
      <c r="C1496" s="57">
        <v>2023</v>
      </c>
      <c r="D1496" s="58">
        <f>MATCH(B1496,{"GENNAIO","FEBBRAIO","MARZO","APRILE","MAGGIO","GIUGNO","LUGLIO","AGOSTO","SETTEMBRE","OTTOBRE","NOVEMBRE","DICEMBRE"},0)</f>
        <v>10</v>
      </c>
      <c r="E1496" s="57" t="str">
        <f t="shared" si="1220"/>
        <v>OTTOBRE 2023</v>
      </c>
      <c r="F1496" s="57" t="str">
        <f t="shared" si="1221"/>
        <v>10 OTTOBRE 2023</v>
      </c>
      <c r="G1496" s="59">
        <v>26.51</v>
      </c>
      <c r="H1496" s="1338" t="s">
        <v>81</v>
      </c>
      <c r="I1496" s="960"/>
      <c r="J1496" s="59"/>
      <c r="K1496" s="59"/>
    </row>
    <row r="1497" spans="1:11" x14ac:dyDescent="0.25">
      <c r="A1497" s="57" t="s">
        <v>220</v>
      </c>
      <c r="B1497" s="57" t="s">
        <v>215</v>
      </c>
      <c r="C1497" s="57">
        <v>2023</v>
      </c>
      <c r="D1497" s="58">
        <f>MATCH(B1497,{"GENNAIO","FEBBRAIO","MARZO","APRILE","MAGGIO","GIUGNO","LUGLIO","AGOSTO","SETTEMBRE","OTTOBRE","NOVEMBRE","DICEMBRE"},0)</f>
        <v>10</v>
      </c>
      <c r="E1497" s="57" t="str">
        <f t="shared" si="1220"/>
        <v>OTTOBRE 2023</v>
      </c>
      <c r="F1497" s="57" t="str">
        <f t="shared" si="1221"/>
        <v>10 OTTOBRE 2023</v>
      </c>
      <c r="G1497" s="59">
        <v>5</v>
      </c>
      <c r="H1497" s="1338" t="s">
        <v>69</v>
      </c>
      <c r="I1497" s="960"/>
      <c r="J1497" s="59"/>
      <c r="K1497" s="59"/>
    </row>
    <row r="1498" spans="1:11" ht="18" customHeight="1" x14ac:dyDescent="0.25">
      <c r="A1498" s="57" t="s">
        <v>76</v>
      </c>
      <c r="B1498" s="57" t="s">
        <v>215</v>
      </c>
      <c r="C1498" s="57">
        <v>2023</v>
      </c>
      <c r="D1498" s="58">
        <f>MATCH(B1498,{"GENNAIO","FEBBRAIO","MARZO","APRILE","MAGGIO","GIUGNO","LUGLIO","AGOSTO","SETTEMBRE","OTTOBRE","NOVEMBRE","DICEMBRE"},0)</f>
        <v>10</v>
      </c>
      <c r="E1498" s="57" t="str">
        <f t="shared" ref="E1498:E1561" si="1222">CONCATENATE(,B1498," ",C1498)</f>
        <v>OTTOBRE 2023</v>
      </c>
      <c r="F1498" s="57" t="str">
        <f t="shared" ref="F1498:F1561" si="1223">CONCATENATE(D1498," ",E1498)</f>
        <v>10 OTTOBRE 2023</v>
      </c>
      <c r="G1498" s="59">
        <v>20.059999999999999</v>
      </c>
      <c r="H1498" s="1338" t="s">
        <v>77</v>
      </c>
      <c r="I1498" s="960"/>
      <c r="J1498" s="59"/>
      <c r="K1498" s="59"/>
    </row>
    <row r="1499" spans="1:11" x14ac:dyDescent="0.25">
      <c r="A1499" s="57" t="s">
        <v>67</v>
      </c>
      <c r="B1499" s="57" t="s">
        <v>215</v>
      </c>
      <c r="C1499" s="57">
        <v>2023</v>
      </c>
      <c r="D1499" s="58">
        <f>MATCH(B1499,{"GENNAIO","FEBBRAIO","MARZO","APRILE","MAGGIO","GIUGNO","LUGLIO","AGOSTO","SETTEMBRE","OTTOBRE","NOVEMBRE","DICEMBRE"},0)</f>
        <v>10</v>
      </c>
      <c r="E1499" s="57" t="str">
        <f t="shared" si="1222"/>
        <v>OTTOBRE 2023</v>
      </c>
      <c r="F1499" s="57" t="str">
        <f t="shared" si="1223"/>
        <v>10 OTTOBRE 2023</v>
      </c>
      <c r="G1499" s="59">
        <v>7</v>
      </c>
      <c r="H1499" s="1338" t="s">
        <v>776</v>
      </c>
      <c r="I1499" s="960"/>
      <c r="J1499" s="59"/>
      <c r="K1499" s="59"/>
    </row>
    <row r="1500" spans="1:11" ht="16.5" customHeight="1" x14ac:dyDescent="0.25">
      <c r="A1500" s="57" t="s">
        <v>108</v>
      </c>
      <c r="B1500" s="57" t="s">
        <v>215</v>
      </c>
      <c r="C1500" s="57">
        <v>2023</v>
      </c>
      <c r="D1500" s="58">
        <f>MATCH(B1500,{"GENNAIO","FEBBRAIO","MARZO","APRILE","MAGGIO","GIUGNO","LUGLIO","AGOSTO","SETTEMBRE","OTTOBRE","NOVEMBRE","DICEMBRE"},0)</f>
        <v>10</v>
      </c>
      <c r="E1500" s="57" t="str">
        <f t="shared" si="1222"/>
        <v>OTTOBRE 2023</v>
      </c>
      <c r="F1500" s="57" t="str">
        <f t="shared" si="1223"/>
        <v>10 OTTOBRE 2023</v>
      </c>
      <c r="G1500" s="59">
        <v>39.9</v>
      </c>
      <c r="H1500" s="1338" t="s">
        <v>75</v>
      </c>
      <c r="I1500" s="960"/>
      <c r="J1500" s="57" t="s">
        <v>108</v>
      </c>
      <c r="K1500" s="59"/>
    </row>
    <row r="1501" spans="1:11" ht="16.5" customHeight="1" x14ac:dyDescent="0.25">
      <c r="A1501" s="57" t="s">
        <v>998</v>
      </c>
      <c r="B1501" s="57" t="s">
        <v>215</v>
      </c>
      <c r="C1501" s="57">
        <v>2023</v>
      </c>
      <c r="D1501" s="58">
        <f>MATCH(B1501,{"GENNAIO","FEBBRAIO","MARZO","APRILE","MAGGIO","GIUGNO","LUGLIO","AGOSTO","SETTEMBRE","OTTOBRE","NOVEMBRE","DICEMBRE"},0)</f>
        <v>10</v>
      </c>
      <c r="E1501" s="57" t="str">
        <f t="shared" si="1222"/>
        <v>OTTOBRE 2023</v>
      </c>
      <c r="F1501" s="57" t="str">
        <f t="shared" si="1223"/>
        <v>10 OTTOBRE 2023</v>
      </c>
      <c r="G1501" s="59">
        <v>34.78</v>
      </c>
      <c r="H1501" s="1338" t="s">
        <v>70</v>
      </c>
      <c r="I1501" s="960" t="s">
        <v>988</v>
      </c>
      <c r="J1501" s="59" t="s">
        <v>768</v>
      </c>
      <c r="K1501" s="59"/>
    </row>
    <row r="1502" spans="1:11" ht="16.5" customHeight="1" x14ac:dyDescent="0.25">
      <c r="A1502" s="57" t="s">
        <v>175</v>
      </c>
      <c r="B1502" s="57" t="s">
        <v>68</v>
      </c>
      <c r="C1502" s="57">
        <v>2023</v>
      </c>
      <c r="D1502" s="58">
        <f>MATCH(B1502,{"GENNAIO","FEBBRAIO","MARZO","APRILE","MAGGIO","GIUGNO","LUGLIO","AGOSTO","SETTEMBRE","OTTOBRE","NOVEMBRE","DICEMBRE"},0)</f>
        <v>9</v>
      </c>
      <c r="E1502" s="57" t="str">
        <f t="shared" si="1222"/>
        <v>SETTEMBRE 2023</v>
      </c>
      <c r="F1502" s="57" t="str">
        <f t="shared" si="1223"/>
        <v>9 SETTEMBRE 2023</v>
      </c>
      <c r="G1502" s="59">
        <v>9</v>
      </c>
      <c r="H1502" s="1338" t="s">
        <v>70</v>
      </c>
      <c r="I1502" s="960"/>
      <c r="J1502" s="59"/>
      <c r="K1502" s="59"/>
    </row>
    <row r="1503" spans="1:11" ht="16.5" customHeight="1" x14ac:dyDescent="0.25">
      <c r="A1503" s="57" t="s">
        <v>121</v>
      </c>
      <c r="B1503" s="57" t="s">
        <v>68</v>
      </c>
      <c r="C1503" s="57">
        <v>2023</v>
      </c>
      <c r="D1503" s="58">
        <f>MATCH(B1503,{"GENNAIO","FEBBRAIO","MARZO","APRILE","MAGGIO","GIUGNO","LUGLIO","AGOSTO","SETTEMBRE","OTTOBRE","NOVEMBRE","DICEMBRE"},0)</f>
        <v>9</v>
      </c>
      <c r="E1503" s="57" t="str">
        <f t="shared" si="1222"/>
        <v>SETTEMBRE 2023</v>
      </c>
      <c r="F1503" s="57" t="str">
        <f t="shared" si="1223"/>
        <v>9 SETTEMBRE 2023</v>
      </c>
      <c r="G1503" s="59">
        <v>0.7</v>
      </c>
      <c r="H1503" s="1338" t="s">
        <v>777</v>
      </c>
      <c r="I1503" s="960"/>
      <c r="J1503" s="59"/>
      <c r="K1503" s="59"/>
    </row>
    <row r="1504" spans="1:11" ht="16.5" customHeight="1" x14ac:dyDescent="0.25">
      <c r="A1504" s="57" t="s">
        <v>121</v>
      </c>
      <c r="B1504" s="57" t="s">
        <v>68</v>
      </c>
      <c r="C1504" s="57">
        <v>2023</v>
      </c>
      <c r="D1504" s="58">
        <f>MATCH(B1504,{"GENNAIO","FEBBRAIO","MARZO","APRILE","MAGGIO","GIUGNO","LUGLIO","AGOSTO","SETTEMBRE","OTTOBRE","NOVEMBRE","DICEMBRE"},0)</f>
        <v>9</v>
      </c>
      <c r="E1504" s="57" t="str">
        <f t="shared" si="1222"/>
        <v>SETTEMBRE 2023</v>
      </c>
      <c r="F1504" s="57" t="str">
        <f t="shared" si="1223"/>
        <v>9 SETTEMBRE 2023</v>
      </c>
      <c r="G1504" s="59">
        <v>0.4</v>
      </c>
      <c r="H1504" s="1338" t="s">
        <v>777</v>
      </c>
      <c r="I1504" s="960"/>
      <c r="J1504" s="59"/>
      <c r="K1504" s="59"/>
    </row>
    <row r="1505" spans="1:11" ht="16.5" customHeight="1" x14ac:dyDescent="0.25">
      <c r="A1505" s="57" t="s">
        <v>121</v>
      </c>
      <c r="B1505" s="57" t="s">
        <v>68</v>
      </c>
      <c r="C1505" s="57">
        <v>2023</v>
      </c>
      <c r="D1505" s="58">
        <f>MATCH(B1505,{"GENNAIO","FEBBRAIO","MARZO","APRILE","MAGGIO","GIUGNO","LUGLIO","AGOSTO","SETTEMBRE","OTTOBRE","NOVEMBRE","DICEMBRE"},0)</f>
        <v>9</v>
      </c>
      <c r="E1505" s="57" t="str">
        <f t="shared" si="1222"/>
        <v>SETTEMBRE 2023</v>
      </c>
      <c r="F1505" s="57" t="str">
        <f t="shared" si="1223"/>
        <v>9 SETTEMBRE 2023</v>
      </c>
      <c r="G1505" s="59">
        <v>0.4</v>
      </c>
      <c r="H1505" s="1338" t="s">
        <v>777</v>
      </c>
      <c r="I1505" s="960"/>
      <c r="J1505" s="59"/>
      <c r="K1505" s="59"/>
    </row>
    <row r="1506" spans="1:11" ht="16.5" customHeight="1" x14ac:dyDescent="0.25">
      <c r="A1506" s="57" t="s">
        <v>121</v>
      </c>
      <c r="B1506" s="57" t="s">
        <v>68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22"/>
        <v>SETTEMBRE 2023</v>
      </c>
      <c r="F1506" s="57" t="str">
        <f t="shared" si="1223"/>
        <v>9 SETTEMBRE 2023</v>
      </c>
      <c r="G1506" s="59">
        <v>0.4</v>
      </c>
      <c r="H1506" s="1338" t="s">
        <v>777</v>
      </c>
      <c r="I1506" s="960"/>
      <c r="J1506" s="59"/>
      <c r="K1506" s="59"/>
    </row>
    <row r="1507" spans="1:11" ht="18" customHeight="1" x14ac:dyDescent="0.25">
      <c r="A1507" s="57" t="s">
        <v>67</v>
      </c>
      <c r="B1507" s="57" t="s">
        <v>68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22"/>
        <v>SETTEMBRE 2023</v>
      </c>
      <c r="F1507" s="57" t="str">
        <f t="shared" si="1223"/>
        <v>9 SETTEMBRE 2023</v>
      </c>
      <c r="G1507" s="59">
        <v>5.2</v>
      </c>
      <c r="H1507" s="1338" t="s">
        <v>69</v>
      </c>
      <c r="I1507" s="960"/>
      <c r="J1507" s="59"/>
      <c r="K1507" s="59"/>
    </row>
    <row r="1508" spans="1:11" x14ac:dyDescent="0.25">
      <c r="A1508" s="57" t="s">
        <v>121</v>
      </c>
      <c r="B1508" s="57" t="s">
        <v>68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22"/>
        <v>SETTEMBRE 2023</v>
      </c>
      <c r="F1508" s="57" t="str">
        <f t="shared" si="1223"/>
        <v>9 SETTEMBRE 2023</v>
      </c>
      <c r="G1508" s="59">
        <v>0.4</v>
      </c>
      <c r="H1508" s="1338" t="s">
        <v>777</v>
      </c>
      <c r="I1508" s="960"/>
      <c r="J1508" s="59"/>
      <c r="K1508" s="59"/>
    </row>
    <row r="1509" spans="1:11" ht="16.5" customHeight="1" x14ac:dyDescent="0.25">
      <c r="A1509" s="57" t="s">
        <v>121</v>
      </c>
      <c r="B1509" s="57" t="s">
        <v>68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22"/>
        <v>SETTEMBRE 2023</v>
      </c>
      <c r="F1509" s="57" t="str">
        <f t="shared" si="1223"/>
        <v>9 SETTEMBRE 2023</v>
      </c>
      <c r="G1509" s="59">
        <v>0.7</v>
      </c>
      <c r="H1509" s="1338" t="s">
        <v>777</v>
      </c>
      <c r="I1509" s="960"/>
      <c r="J1509" s="59"/>
      <c r="K1509" s="59"/>
    </row>
    <row r="1510" spans="1:11" ht="16.5" customHeight="1" x14ac:dyDescent="0.25">
      <c r="A1510" s="57" t="s">
        <v>1009</v>
      </c>
      <c r="B1510" s="57" t="s">
        <v>68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22"/>
        <v>SETTEMBRE 2023</v>
      </c>
      <c r="F1510" s="57" t="str">
        <f t="shared" si="1223"/>
        <v>9 SETTEMBRE 2023</v>
      </c>
      <c r="G1510" s="59">
        <v>8.49</v>
      </c>
      <c r="H1510" s="1338" t="s">
        <v>174</v>
      </c>
      <c r="I1510" s="960"/>
      <c r="J1510" s="59" t="s">
        <v>768</v>
      </c>
      <c r="K1510" s="59"/>
    </row>
    <row r="1511" spans="1:11" x14ac:dyDescent="0.25">
      <c r="A1511" s="57" t="s">
        <v>76</v>
      </c>
      <c r="B1511" s="57" t="s">
        <v>68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22"/>
        <v>SETTEMBRE 2023</v>
      </c>
      <c r="F1511" s="57" t="str">
        <f t="shared" si="1223"/>
        <v>9 SETTEMBRE 2023</v>
      </c>
      <c r="G1511" s="59">
        <v>17.68</v>
      </c>
      <c r="H1511" s="1338" t="s">
        <v>77</v>
      </c>
      <c r="I1511" s="960"/>
      <c r="J1511" s="59"/>
      <c r="K1511" s="59"/>
    </row>
    <row r="1512" spans="1:11" x14ac:dyDescent="0.25">
      <c r="A1512" s="57" t="s">
        <v>121</v>
      </c>
      <c r="B1512" s="57" t="s">
        <v>68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22"/>
        <v>SETTEMBRE 2023</v>
      </c>
      <c r="F1512" s="57" t="str">
        <f t="shared" si="1223"/>
        <v>9 SETTEMBRE 2023</v>
      </c>
      <c r="G1512" s="59">
        <v>0.4</v>
      </c>
      <c r="H1512" s="1338" t="s">
        <v>777</v>
      </c>
      <c r="I1512" s="960"/>
      <c r="J1512" s="59"/>
      <c r="K1512" s="59"/>
    </row>
    <row r="1513" spans="1:11" ht="16.5" customHeight="1" x14ac:dyDescent="0.25">
      <c r="A1513" s="57" t="s">
        <v>67</v>
      </c>
      <c r="B1513" s="57" t="s">
        <v>68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22"/>
        <v>SETTEMBRE 2023</v>
      </c>
      <c r="F1513" s="57" t="str">
        <f t="shared" si="1223"/>
        <v>9 SETTEMBRE 2023</v>
      </c>
      <c r="G1513" s="59">
        <v>5</v>
      </c>
      <c r="H1513" s="1338" t="s">
        <v>776</v>
      </c>
      <c r="I1513" s="960"/>
      <c r="J1513" s="59"/>
      <c r="K1513" s="59"/>
    </row>
    <row r="1514" spans="1:11" ht="16.5" customHeight="1" x14ac:dyDescent="0.25">
      <c r="A1514" s="57" t="s">
        <v>76</v>
      </c>
      <c r="B1514" s="57" t="s">
        <v>68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22"/>
        <v>SETTEMBRE 2023</v>
      </c>
      <c r="F1514" s="57" t="str">
        <f t="shared" si="1223"/>
        <v>9 SETTEMBRE 2023</v>
      </c>
      <c r="G1514" s="59">
        <v>11.03</v>
      </c>
      <c r="H1514" s="1338" t="s">
        <v>77</v>
      </c>
      <c r="I1514" s="960"/>
      <c r="J1514" s="59"/>
      <c r="K1514" s="59"/>
    </row>
    <row r="1515" spans="1:11" ht="18" customHeight="1" x14ac:dyDescent="0.25">
      <c r="A1515" s="57" t="s">
        <v>83</v>
      </c>
      <c r="B1515" s="57" t="s">
        <v>68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22"/>
        <v>SETTEMBRE 2023</v>
      </c>
      <c r="F1515" s="57" t="str">
        <f t="shared" si="1223"/>
        <v>9 SETTEMBRE 2023</v>
      </c>
      <c r="G1515" s="59">
        <v>10.76</v>
      </c>
      <c r="H1515" s="1338" t="s">
        <v>77</v>
      </c>
      <c r="I1515" s="960"/>
      <c r="J1515" s="59"/>
      <c r="K1515" s="59"/>
    </row>
    <row r="1516" spans="1:11" ht="16.5" customHeight="1" x14ac:dyDescent="0.25">
      <c r="A1516" s="57" t="s">
        <v>67</v>
      </c>
      <c r="B1516" s="57" t="s">
        <v>68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22"/>
        <v>SETTEMBRE 2023</v>
      </c>
      <c r="F1516" s="57" t="str">
        <f t="shared" si="1223"/>
        <v>9 SETTEMBRE 2023</v>
      </c>
      <c r="G1516" s="59">
        <v>3.9</v>
      </c>
      <c r="H1516" s="1338" t="s">
        <v>69</v>
      </c>
      <c r="I1516" s="960"/>
      <c r="J1516" s="59"/>
      <c r="K1516" s="59"/>
    </row>
    <row r="1517" spans="1:11" x14ac:dyDescent="0.25">
      <c r="A1517" s="57" t="s">
        <v>86</v>
      </c>
      <c r="B1517" s="57" t="s">
        <v>68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22"/>
        <v>SETTEMBRE 2023</v>
      </c>
      <c r="F1517" s="57" t="str">
        <f t="shared" si="1223"/>
        <v>9 SETTEMBRE 2023</v>
      </c>
      <c r="G1517" s="59">
        <v>48</v>
      </c>
      <c r="H1517" s="1338" t="s">
        <v>69</v>
      </c>
      <c r="I1517" s="960"/>
      <c r="J1517" s="59"/>
      <c r="K1517" s="59"/>
    </row>
    <row r="1518" spans="1:11" ht="16.5" customHeight="1" x14ac:dyDescent="0.25">
      <c r="A1518" s="57" t="s">
        <v>329</v>
      </c>
      <c r="B1518" s="57" t="s">
        <v>68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22"/>
        <v>SETTEMBRE 2023</v>
      </c>
      <c r="F1518" s="57" t="str">
        <f t="shared" si="1223"/>
        <v>9 SETTEMBRE 2023</v>
      </c>
      <c r="G1518" s="59">
        <v>30.32</v>
      </c>
      <c r="H1518" s="1338" t="s">
        <v>137</v>
      </c>
      <c r="I1518" s="960" t="s">
        <v>993</v>
      </c>
      <c r="J1518" s="59" t="s">
        <v>768</v>
      </c>
      <c r="K1518" s="59"/>
    </row>
    <row r="1519" spans="1:11" ht="16.5" customHeight="1" x14ac:dyDescent="0.25">
      <c r="A1519" s="57" t="s">
        <v>67</v>
      </c>
      <c r="B1519" s="57" t="s">
        <v>68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22"/>
        <v>SETTEMBRE 2023</v>
      </c>
      <c r="F1519" s="57" t="str">
        <f t="shared" si="1223"/>
        <v>9 SETTEMBRE 2023</v>
      </c>
      <c r="G1519" s="59">
        <v>5</v>
      </c>
      <c r="H1519" s="1338" t="s">
        <v>776</v>
      </c>
      <c r="I1519" s="960"/>
      <c r="J1519" s="59"/>
      <c r="K1519" s="59"/>
    </row>
    <row r="1520" spans="1:11" ht="16.5" customHeight="1" x14ac:dyDescent="0.25">
      <c r="A1520" s="57" t="s">
        <v>221</v>
      </c>
      <c r="B1520" s="57" t="s">
        <v>68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22"/>
        <v>SETTEMBRE 2023</v>
      </c>
      <c r="F1520" s="57" t="str">
        <f t="shared" si="1223"/>
        <v>9 SETTEMBRE 2023</v>
      </c>
      <c r="G1520" s="59">
        <v>70</v>
      </c>
      <c r="H1520" s="1338" t="s">
        <v>137</v>
      </c>
      <c r="I1520" s="960"/>
      <c r="J1520" s="59"/>
      <c r="K1520" s="59"/>
    </row>
    <row r="1521" spans="1:11" ht="16.5" customHeight="1" x14ac:dyDescent="0.25">
      <c r="A1521" s="57" t="s">
        <v>121</v>
      </c>
      <c r="B1521" s="57" t="s">
        <v>68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22"/>
        <v>SETTEMBRE 2023</v>
      </c>
      <c r="F1521" s="57" t="str">
        <f t="shared" si="1223"/>
        <v>9 SETTEMBRE 2023</v>
      </c>
      <c r="G1521" s="59">
        <v>1</v>
      </c>
      <c r="H1521" s="1338" t="s">
        <v>777</v>
      </c>
      <c r="I1521" s="960"/>
      <c r="J1521" s="59"/>
      <c r="K1521" s="59"/>
    </row>
    <row r="1522" spans="1:11" ht="16.5" customHeight="1" x14ac:dyDescent="0.25">
      <c r="A1522" s="57" t="s">
        <v>121</v>
      </c>
      <c r="B1522" s="57" t="s">
        <v>68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22"/>
        <v>SETTEMBRE 2023</v>
      </c>
      <c r="F1522" s="57" t="str">
        <f t="shared" si="1223"/>
        <v>9 SETTEMBRE 2023</v>
      </c>
      <c r="G1522" s="59">
        <v>0.4</v>
      </c>
      <c r="H1522" s="1338" t="s">
        <v>777</v>
      </c>
      <c r="I1522" s="960"/>
      <c r="J1522" s="59"/>
      <c r="K1522" s="59"/>
    </row>
    <row r="1523" spans="1:11" ht="16.5" customHeight="1" x14ac:dyDescent="0.25">
      <c r="A1523" s="57" t="s">
        <v>121</v>
      </c>
      <c r="B1523" s="57" t="s">
        <v>68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22"/>
        <v>SETTEMBRE 2023</v>
      </c>
      <c r="F1523" s="57" t="str">
        <f t="shared" si="1223"/>
        <v>9 SETTEMBRE 2023</v>
      </c>
      <c r="G1523" s="59">
        <v>0.4</v>
      </c>
      <c r="H1523" s="1338" t="s">
        <v>777</v>
      </c>
      <c r="I1523" s="960"/>
      <c r="J1523" s="59"/>
      <c r="K1523" s="59"/>
    </row>
    <row r="1524" spans="1:11" x14ac:dyDescent="0.25">
      <c r="A1524" s="57" t="s">
        <v>121</v>
      </c>
      <c r="B1524" s="57" t="s">
        <v>68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22"/>
        <v>SETTEMBRE 2023</v>
      </c>
      <c r="F1524" s="57" t="str">
        <f t="shared" si="1223"/>
        <v>9 SETTEMBRE 2023</v>
      </c>
      <c r="G1524" s="59">
        <v>0.4</v>
      </c>
      <c r="H1524" s="1338" t="s">
        <v>777</v>
      </c>
      <c r="I1524" s="960"/>
      <c r="J1524" s="59"/>
      <c r="K1524" s="59"/>
    </row>
    <row r="1525" spans="1:11" ht="18.600000000000001" customHeight="1" x14ac:dyDescent="0.25">
      <c r="A1525" s="57" t="s">
        <v>121</v>
      </c>
      <c r="B1525" s="57" t="s">
        <v>68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22"/>
        <v>SETTEMBRE 2023</v>
      </c>
      <c r="F1525" s="57" t="str">
        <f t="shared" si="1223"/>
        <v>9 SETTEMBRE 2023</v>
      </c>
      <c r="G1525" s="59">
        <v>0.4</v>
      </c>
      <c r="H1525" s="1338" t="s">
        <v>777</v>
      </c>
      <c r="I1525" s="960"/>
      <c r="J1525" s="59"/>
      <c r="K1525" s="59"/>
    </row>
    <row r="1526" spans="1:11" x14ac:dyDescent="0.25">
      <c r="A1526" s="57" t="s">
        <v>121</v>
      </c>
      <c r="B1526" s="57" t="s">
        <v>68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22"/>
        <v>SETTEMBRE 2023</v>
      </c>
      <c r="F1526" s="57" t="str">
        <f t="shared" si="1223"/>
        <v>9 SETTEMBRE 2023</v>
      </c>
      <c r="G1526" s="59">
        <v>0.4</v>
      </c>
      <c r="H1526" s="1338" t="s">
        <v>777</v>
      </c>
      <c r="I1526" s="960"/>
      <c r="J1526" s="59"/>
      <c r="K1526" s="59"/>
    </row>
    <row r="1527" spans="1:11" ht="16.5" customHeight="1" x14ac:dyDescent="0.25">
      <c r="A1527" s="57" t="s">
        <v>76</v>
      </c>
      <c r="B1527" s="57" t="s">
        <v>68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22"/>
        <v>SETTEMBRE 2023</v>
      </c>
      <c r="F1527" s="57" t="str">
        <f t="shared" si="1223"/>
        <v>9 SETTEMBRE 2023</v>
      </c>
      <c r="G1527" s="59">
        <v>21.26</v>
      </c>
      <c r="H1527" s="1338" t="s">
        <v>77</v>
      </c>
      <c r="I1527" s="960"/>
      <c r="J1527" s="59"/>
      <c r="K1527" s="59"/>
    </row>
    <row r="1528" spans="1:11" x14ac:dyDescent="0.25">
      <c r="A1528" s="57" t="s">
        <v>79</v>
      </c>
      <c r="B1528" s="57" t="s">
        <v>68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22"/>
        <v>SETTEMBRE 2023</v>
      </c>
      <c r="F1528" s="57" t="str">
        <f t="shared" si="1223"/>
        <v>9 SETTEMBRE 2023</v>
      </c>
      <c r="G1528" s="59">
        <v>25.52</v>
      </c>
      <c r="H1528" s="1338" t="s">
        <v>81</v>
      </c>
      <c r="I1528" s="960"/>
      <c r="J1528" s="59"/>
      <c r="K1528" s="59"/>
    </row>
    <row r="1529" spans="1:11" ht="16.5" customHeight="1" x14ac:dyDescent="0.25">
      <c r="A1529" s="57" t="s">
        <v>83</v>
      </c>
      <c r="B1529" s="57" t="s">
        <v>68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22"/>
        <v>SETTEMBRE 2023</v>
      </c>
      <c r="F1529" s="57" t="str">
        <f t="shared" si="1223"/>
        <v>9 SETTEMBRE 2023</v>
      </c>
      <c r="G1529" s="59">
        <v>13.52</v>
      </c>
      <c r="H1529" s="1338" t="s">
        <v>77</v>
      </c>
      <c r="I1529" s="960"/>
      <c r="J1529" s="59"/>
      <c r="K1529" s="59"/>
    </row>
    <row r="1530" spans="1:11" ht="16.5" customHeight="1" x14ac:dyDescent="0.25">
      <c r="A1530" s="57" t="s">
        <v>67</v>
      </c>
      <c r="B1530" s="57" t="s">
        <v>68</v>
      </c>
      <c r="C1530" s="57">
        <v>2023</v>
      </c>
      <c r="D1530" s="58">
        <f>MATCH(B1530,{"GENNAIO","FEBBRAIO","MARZO","APRILE","MAGGIO","GIUGNO","LUGLIO","AGOSTO","SETTEMBRE","OTTOBRE","NOVEMBRE","DICEMBRE"},0)</f>
        <v>9</v>
      </c>
      <c r="E1530" s="57" t="str">
        <f t="shared" si="1222"/>
        <v>SETTEMBRE 2023</v>
      </c>
      <c r="F1530" s="57" t="str">
        <f t="shared" si="1223"/>
        <v>9 SETTEMBRE 2023</v>
      </c>
      <c r="G1530" s="59">
        <v>3.9</v>
      </c>
      <c r="H1530" s="1338" t="s">
        <v>69</v>
      </c>
      <c r="I1530" s="960"/>
      <c r="J1530" s="59"/>
      <c r="K1530" s="59"/>
    </row>
    <row r="1531" spans="1:11" ht="16.5" customHeight="1" x14ac:dyDescent="0.25">
      <c r="A1531" s="57" t="s">
        <v>76</v>
      </c>
      <c r="B1531" s="57" t="s">
        <v>68</v>
      </c>
      <c r="C1531" s="57">
        <v>2023</v>
      </c>
      <c r="D1531" s="58">
        <f>MATCH(B1531,{"GENNAIO","FEBBRAIO","MARZO","APRILE","MAGGIO","GIUGNO","LUGLIO","AGOSTO","SETTEMBRE","OTTOBRE","NOVEMBRE","DICEMBRE"},0)</f>
        <v>9</v>
      </c>
      <c r="E1531" s="57" t="str">
        <f t="shared" si="1222"/>
        <v>SETTEMBRE 2023</v>
      </c>
      <c r="F1531" s="57" t="str">
        <f t="shared" si="1223"/>
        <v>9 SETTEMBRE 2023</v>
      </c>
      <c r="G1531" s="59">
        <v>7.94</v>
      </c>
      <c r="H1531" s="1338" t="s">
        <v>77</v>
      </c>
      <c r="I1531" s="960"/>
      <c r="J1531" s="59"/>
      <c r="K1531" s="59"/>
    </row>
    <row r="1532" spans="1:11" ht="18" customHeight="1" x14ac:dyDescent="0.25">
      <c r="A1532" s="57" t="s">
        <v>121</v>
      </c>
      <c r="B1532" s="57" t="s">
        <v>68</v>
      </c>
      <c r="C1532" s="57">
        <v>2023</v>
      </c>
      <c r="D1532" s="58">
        <f>MATCH(B1532,{"GENNAIO","FEBBRAIO","MARZO","APRILE","MAGGIO","GIUGNO","LUGLIO","AGOSTO","SETTEMBRE","OTTOBRE","NOVEMBRE","DICEMBRE"},0)</f>
        <v>9</v>
      </c>
      <c r="E1532" s="57" t="str">
        <f t="shared" si="1222"/>
        <v>SETTEMBRE 2023</v>
      </c>
      <c r="F1532" s="57" t="str">
        <f t="shared" si="1223"/>
        <v>9 SETTEMBRE 2023</v>
      </c>
      <c r="G1532" s="59">
        <v>0.4</v>
      </c>
      <c r="H1532" s="1338" t="s">
        <v>777</v>
      </c>
      <c r="I1532" s="960"/>
      <c r="J1532" s="59"/>
      <c r="K1532" s="59"/>
    </row>
    <row r="1533" spans="1:11" x14ac:dyDescent="0.25">
      <c r="A1533" s="57" t="s">
        <v>121</v>
      </c>
      <c r="B1533" s="57" t="s">
        <v>68</v>
      </c>
      <c r="C1533" s="57">
        <v>2023</v>
      </c>
      <c r="D1533" s="58">
        <f>MATCH(B1533,{"GENNAIO","FEBBRAIO","MARZO","APRILE","MAGGIO","GIUGNO","LUGLIO","AGOSTO","SETTEMBRE","OTTOBRE","NOVEMBRE","DICEMBRE"},0)</f>
        <v>9</v>
      </c>
      <c r="E1533" s="57" t="str">
        <f t="shared" si="1222"/>
        <v>SETTEMBRE 2023</v>
      </c>
      <c r="F1533" s="57" t="str">
        <f t="shared" si="1223"/>
        <v>9 SETTEMBRE 2023</v>
      </c>
      <c r="G1533" s="59">
        <v>0.4</v>
      </c>
      <c r="H1533" s="1338" t="s">
        <v>777</v>
      </c>
      <c r="I1533" s="960"/>
      <c r="J1533" s="59"/>
      <c r="K1533" s="59"/>
    </row>
    <row r="1534" spans="1:11" x14ac:dyDescent="0.25">
      <c r="A1534" s="57" t="s">
        <v>121</v>
      </c>
      <c r="B1534" s="57" t="s">
        <v>68</v>
      </c>
      <c r="C1534" s="57">
        <v>2023</v>
      </c>
      <c r="D1534" s="58">
        <f>MATCH(B1534,{"GENNAIO","FEBBRAIO","MARZO","APRILE","MAGGIO","GIUGNO","LUGLIO","AGOSTO","SETTEMBRE","OTTOBRE","NOVEMBRE","DICEMBRE"},0)</f>
        <v>9</v>
      </c>
      <c r="E1534" s="57" t="str">
        <f t="shared" si="1222"/>
        <v>SETTEMBRE 2023</v>
      </c>
      <c r="F1534" s="57" t="str">
        <f t="shared" si="1223"/>
        <v>9 SETTEMBRE 2023</v>
      </c>
      <c r="G1534" s="59">
        <v>0.4</v>
      </c>
      <c r="H1534" s="1338" t="s">
        <v>777</v>
      </c>
      <c r="I1534" s="960"/>
      <c r="J1534" s="59"/>
      <c r="K1534" s="59"/>
    </row>
    <row r="1535" spans="1:11" ht="18" customHeight="1" x14ac:dyDescent="0.25">
      <c r="A1535" s="57" t="s">
        <v>998</v>
      </c>
      <c r="B1535" s="57" t="s">
        <v>68</v>
      </c>
      <c r="C1535" s="57">
        <v>2023</v>
      </c>
      <c r="D1535" s="58">
        <f>MATCH(B1535,{"GENNAIO","FEBBRAIO","MARZO","APRILE","MAGGIO","GIUGNO","LUGLIO","AGOSTO","SETTEMBRE","OTTOBRE","NOVEMBRE","DICEMBRE"},0)</f>
        <v>9</v>
      </c>
      <c r="E1535" s="57" t="str">
        <f t="shared" si="1222"/>
        <v>SETTEMBRE 2023</v>
      </c>
      <c r="F1535" s="57" t="str">
        <f t="shared" si="1223"/>
        <v>9 SETTEMBRE 2023</v>
      </c>
      <c r="G1535" s="59">
        <v>34.78</v>
      </c>
      <c r="H1535" s="1338" t="s">
        <v>70</v>
      </c>
      <c r="I1535" s="960" t="s">
        <v>993</v>
      </c>
      <c r="J1535" s="59" t="s">
        <v>768</v>
      </c>
      <c r="K1535" s="59"/>
    </row>
    <row r="1536" spans="1:11" x14ac:dyDescent="0.25">
      <c r="A1536" s="57" t="s">
        <v>76</v>
      </c>
      <c r="B1536" s="57" t="s">
        <v>68</v>
      </c>
      <c r="C1536" s="57">
        <v>2023</v>
      </c>
      <c r="D1536" s="58">
        <f>MATCH(B1536,{"GENNAIO","FEBBRAIO","MARZO","APRILE","MAGGIO","GIUGNO","LUGLIO","AGOSTO","SETTEMBRE","OTTOBRE","NOVEMBRE","DICEMBRE"},0)</f>
        <v>9</v>
      </c>
      <c r="E1536" s="57" t="str">
        <f t="shared" si="1222"/>
        <v>SETTEMBRE 2023</v>
      </c>
      <c r="F1536" s="57" t="str">
        <f t="shared" si="1223"/>
        <v>9 SETTEMBRE 2023</v>
      </c>
      <c r="G1536" s="59">
        <v>17.98</v>
      </c>
      <c r="H1536" s="1338" t="s">
        <v>77</v>
      </c>
      <c r="I1536" s="960"/>
      <c r="J1536" s="59"/>
      <c r="K1536" s="59"/>
    </row>
    <row r="1537" spans="1:11" ht="16.5" customHeight="1" x14ac:dyDescent="0.25">
      <c r="A1537" s="57" t="s">
        <v>83</v>
      </c>
      <c r="B1537" s="57" t="s">
        <v>68</v>
      </c>
      <c r="C1537" s="57">
        <v>2023</v>
      </c>
      <c r="D1537" s="58">
        <f>MATCH(B1537,{"GENNAIO","FEBBRAIO","MARZO","APRILE","MAGGIO","GIUGNO","LUGLIO","AGOSTO","SETTEMBRE","OTTOBRE","NOVEMBRE","DICEMBRE"},0)</f>
        <v>9</v>
      </c>
      <c r="E1537" s="57" t="str">
        <f t="shared" si="1222"/>
        <v>SETTEMBRE 2023</v>
      </c>
      <c r="F1537" s="57" t="str">
        <f t="shared" si="1223"/>
        <v>9 SETTEMBRE 2023</v>
      </c>
      <c r="G1537" s="59">
        <v>20.12</v>
      </c>
      <c r="H1537" s="1338" t="s">
        <v>77</v>
      </c>
      <c r="I1537" s="960"/>
      <c r="J1537" s="59"/>
      <c r="K1537" s="59"/>
    </row>
    <row r="1538" spans="1:11" ht="16.5" customHeight="1" x14ac:dyDescent="0.25">
      <c r="A1538" s="57" t="s">
        <v>998</v>
      </c>
      <c r="B1538" s="57" t="s">
        <v>68</v>
      </c>
      <c r="C1538" s="57">
        <v>2023</v>
      </c>
      <c r="D1538" s="58">
        <f>MATCH(B1538,{"GENNAIO","FEBBRAIO","MARZO","APRILE","MAGGIO","GIUGNO","LUGLIO","AGOSTO","SETTEMBRE","OTTOBRE","NOVEMBRE","DICEMBRE"},0)</f>
        <v>9</v>
      </c>
      <c r="E1538" s="57" t="str">
        <f t="shared" si="1222"/>
        <v>SETTEMBRE 2023</v>
      </c>
      <c r="F1538" s="57" t="str">
        <f t="shared" si="1223"/>
        <v>9 SETTEMBRE 2023</v>
      </c>
      <c r="G1538" s="59">
        <v>40.9</v>
      </c>
      <c r="H1538" s="1338" t="s">
        <v>70</v>
      </c>
      <c r="I1538" s="960" t="s">
        <v>989</v>
      </c>
      <c r="J1538" s="59" t="s">
        <v>768</v>
      </c>
      <c r="K1538" s="59"/>
    </row>
    <row r="1539" spans="1:11" ht="16.5" customHeight="1" x14ac:dyDescent="0.25">
      <c r="A1539" s="57" t="s">
        <v>76</v>
      </c>
      <c r="B1539" s="57" t="s">
        <v>80</v>
      </c>
      <c r="C1539" s="57">
        <v>2023</v>
      </c>
      <c r="D1539" s="58">
        <f>MATCH(B1539,{"GENNAIO","FEBBRAIO","MARZO","APRILE","MAGGIO","GIUGNO","LUGLIO","AGOSTO","SETTEMBRE","OTTOBRE","NOVEMBRE","DICEMBRE"},0)</f>
        <v>8</v>
      </c>
      <c r="E1539" s="57" t="str">
        <f t="shared" si="1222"/>
        <v>AGOSTO 2023</v>
      </c>
      <c r="F1539" s="57" t="str">
        <f t="shared" si="1223"/>
        <v>8 AGOSTO 2023</v>
      </c>
      <c r="G1539" s="59">
        <v>16.899999999999999</v>
      </c>
      <c r="H1539" s="1338" t="s">
        <v>77</v>
      </c>
      <c r="I1539" s="960"/>
      <c r="J1539" s="59"/>
      <c r="K1539" s="59"/>
    </row>
    <row r="1540" spans="1:11" x14ac:dyDescent="0.25">
      <c r="A1540" s="57" t="s">
        <v>115</v>
      </c>
      <c r="B1540" s="57" t="s">
        <v>80</v>
      </c>
      <c r="C1540" s="57">
        <v>2023</v>
      </c>
      <c r="D1540" s="58">
        <f>MATCH(B1540,{"GENNAIO","FEBBRAIO","MARZO","APRILE","MAGGIO","GIUGNO","LUGLIO","AGOSTO","SETTEMBRE","OTTOBRE","NOVEMBRE","DICEMBRE"},0)</f>
        <v>8</v>
      </c>
      <c r="E1540" s="57" t="str">
        <f t="shared" si="1222"/>
        <v>AGOSTO 2023</v>
      </c>
      <c r="F1540" s="57" t="str">
        <f t="shared" si="1223"/>
        <v>8 AGOSTO 2023</v>
      </c>
      <c r="G1540" s="59">
        <v>3.2</v>
      </c>
      <c r="H1540" s="1338" t="s">
        <v>69</v>
      </c>
      <c r="I1540" s="960"/>
      <c r="J1540" s="59"/>
      <c r="K1540" s="59"/>
    </row>
    <row r="1541" spans="1:11" ht="16.5" customHeight="1" x14ac:dyDescent="0.25">
      <c r="A1541" s="57" t="s">
        <v>115</v>
      </c>
      <c r="B1541" s="57" t="s">
        <v>80</v>
      </c>
      <c r="C1541" s="57">
        <v>2023</v>
      </c>
      <c r="D1541" s="58">
        <f>MATCH(B1541,{"GENNAIO","FEBBRAIO","MARZO","APRILE","MAGGIO","GIUGNO","LUGLIO","AGOSTO","SETTEMBRE","OTTOBRE","NOVEMBRE","DICEMBRE"},0)</f>
        <v>8</v>
      </c>
      <c r="E1541" s="57" t="str">
        <f t="shared" si="1222"/>
        <v>AGOSTO 2023</v>
      </c>
      <c r="F1541" s="57" t="str">
        <f t="shared" si="1223"/>
        <v>8 AGOSTO 2023</v>
      </c>
      <c r="G1541" s="59">
        <v>6.9</v>
      </c>
      <c r="H1541" s="1338" t="s">
        <v>69</v>
      </c>
      <c r="I1541" s="960"/>
      <c r="J1541" s="59"/>
      <c r="K1541" s="59"/>
    </row>
    <row r="1542" spans="1:11" ht="16.5" customHeight="1" x14ac:dyDescent="0.25">
      <c r="A1542" s="57" t="s">
        <v>222</v>
      </c>
      <c r="B1542" s="57" t="s">
        <v>80</v>
      </c>
      <c r="C1542" s="57">
        <v>2023</v>
      </c>
      <c r="D1542" s="58">
        <f>MATCH(B1542,{"GENNAIO","FEBBRAIO","MARZO","APRILE","MAGGIO","GIUGNO","LUGLIO","AGOSTO","SETTEMBRE","OTTOBRE","NOVEMBRE","DICEMBRE"},0)</f>
        <v>8</v>
      </c>
      <c r="E1542" s="57" t="str">
        <f t="shared" si="1222"/>
        <v>AGOSTO 2023</v>
      </c>
      <c r="F1542" s="57" t="str">
        <f t="shared" si="1223"/>
        <v>8 AGOSTO 2023</v>
      </c>
      <c r="G1542" s="59">
        <v>238.9</v>
      </c>
      <c r="H1542" s="1338" t="s">
        <v>772</v>
      </c>
      <c r="I1542" s="960"/>
      <c r="J1542" s="59"/>
      <c r="K1542" s="59"/>
    </row>
    <row r="1543" spans="1:11" ht="16.5" customHeight="1" x14ac:dyDescent="0.25">
      <c r="A1543" s="57" t="s">
        <v>223</v>
      </c>
      <c r="B1543" s="57" t="s">
        <v>80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22"/>
        <v>AGOSTO 2023</v>
      </c>
      <c r="F1543" s="57" t="str">
        <f t="shared" si="1223"/>
        <v>8 AGOSTO 2023</v>
      </c>
      <c r="G1543" s="59">
        <v>5.85</v>
      </c>
      <c r="H1543" s="1338" t="s">
        <v>91</v>
      </c>
      <c r="I1543" s="960"/>
      <c r="J1543" s="59"/>
      <c r="K1543" s="59"/>
    </row>
    <row r="1544" spans="1:11" x14ac:dyDescent="0.25">
      <c r="A1544" s="57" t="s">
        <v>224</v>
      </c>
      <c r="B1544" s="57" t="s">
        <v>80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22"/>
        <v>AGOSTO 2023</v>
      </c>
      <c r="F1544" s="57" t="str">
        <f t="shared" si="1223"/>
        <v>8 AGOSTO 2023</v>
      </c>
      <c r="G1544" s="59">
        <v>322</v>
      </c>
      <c r="H1544" s="1338" t="s">
        <v>772</v>
      </c>
      <c r="I1544" s="960"/>
      <c r="J1544" s="59"/>
      <c r="K1544" s="59"/>
    </row>
    <row r="1545" spans="1:11" ht="18.600000000000001" customHeight="1" x14ac:dyDescent="0.25">
      <c r="A1545" s="57" t="s">
        <v>225</v>
      </c>
      <c r="B1545" s="57" t="s">
        <v>80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22"/>
        <v>AGOSTO 2023</v>
      </c>
      <c r="F1545" s="57" t="str">
        <f t="shared" si="1223"/>
        <v>8 AGOSTO 2023</v>
      </c>
      <c r="G1545" s="59">
        <v>63.4</v>
      </c>
      <c r="H1545" s="1338" t="s">
        <v>69</v>
      </c>
      <c r="I1545" s="960"/>
      <c r="J1545" s="59"/>
      <c r="K1545" s="59"/>
    </row>
    <row r="1546" spans="1:11" x14ac:dyDescent="0.25">
      <c r="A1546" s="57" t="s">
        <v>226</v>
      </c>
      <c r="B1546" s="57" t="s">
        <v>80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22"/>
        <v>AGOSTO 2023</v>
      </c>
      <c r="F1546" s="57" t="str">
        <f t="shared" si="1223"/>
        <v>8 AGOSTO 2023</v>
      </c>
      <c r="G1546" s="59">
        <v>49.5</v>
      </c>
      <c r="H1546" s="1338" t="s">
        <v>69</v>
      </c>
      <c r="I1546" s="960"/>
      <c r="J1546" s="59"/>
      <c r="K1546" s="59"/>
    </row>
    <row r="1547" spans="1:11" x14ac:dyDescent="0.25">
      <c r="A1547" s="57" t="s">
        <v>76</v>
      </c>
      <c r="B1547" s="57" t="s">
        <v>80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22"/>
        <v>AGOSTO 2023</v>
      </c>
      <c r="F1547" s="57" t="str">
        <f t="shared" si="1223"/>
        <v>8 AGOSTO 2023</v>
      </c>
      <c r="G1547" s="59">
        <v>8.93</v>
      </c>
      <c r="H1547" s="1338" t="s">
        <v>77</v>
      </c>
      <c r="I1547" s="960"/>
      <c r="J1547" s="59"/>
      <c r="K1547" s="59"/>
    </row>
    <row r="1548" spans="1:11" ht="16.5" customHeight="1" x14ac:dyDescent="0.25">
      <c r="A1548" s="57" t="s">
        <v>79</v>
      </c>
      <c r="B1548" s="57" t="s">
        <v>80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22"/>
        <v>AGOSTO 2023</v>
      </c>
      <c r="F1548" s="57" t="str">
        <f t="shared" si="1223"/>
        <v>8 AGOSTO 2023</v>
      </c>
      <c r="G1548" s="59">
        <v>8.39</v>
      </c>
      <c r="H1548" s="1338" t="s">
        <v>81</v>
      </c>
      <c r="I1548" s="960"/>
      <c r="J1548" s="59"/>
      <c r="K1548" s="59"/>
    </row>
    <row r="1549" spans="1:11" x14ac:dyDescent="0.25">
      <c r="A1549" s="57" t="s">
        <v>227</v>
      </c>
      <c r="B1549" s="57" t="s">
        <v>80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22"/>
        <v>AGOSTO 2023</v>
      </c>
      <c r="F1549" s="57" t="str">
        <f t="shared" si="1223"/>
        <v>8 AGOSTO 2023</v>
      </c>
      <c r="G1549" s="59">
        <v>2.9</v>
      </c>
      <c r="H1549" s="1338" t="s">
        <v>81</v>
      </c>
      <c r="I1549" s="960"/>
      <c r="J1549" s="59"/>
      <c r="K1549" s="59"/>
    </row>
    <row r="1550" spans="1:11" ht="16.5" customHeight="1" x14ac:dyDescent="0.25">
      <c r="A1550" s="57" t="s">
        <v>154</v>
      </c>
      <c r="B1550" s="57" t="s">
        <v>80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22"/>
        <v>AGOSTO 2023</v>
      </c>
      <c r="F1550" s="57" t="str">
        <f t="shared" si="1223"/>
        <v>8 AGOSTO 2023</v>
      </c>
      <c r="G1550" s="59">
        <v>10.9</v>
      </c>
      <c r="H1550" s="1338" t="s">
        <v>155</v>
      </c>
      <c r="I1550" s="960"/>
      <c r="J1550" s="59"/>
      <c r="K1550" s="59"/>
    </row>
    <row r="1551" spans="1:11" ht="16.5" customHeight="1" x14ac:dyDescent="0.25">
      <c r="A1551" s="57" t="s">
        <v>228</v>
      </c>
      <c r="B1551" s="57" t="s">
        <v>80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si="1222"/>
        <v>AGOSTO 2023</v>
      </c>
      <c r="F1551" s="57" t="str">
        <f t="shared" si="1223"/>
        <v>8 AGOSTO 2023</v>
      </c>
      <c r="G1551" s="59">
        <v>29</v>
      </c>
      <c r="H1551" s="1338" t="s">
        <v>69</v>
      </c>
      <c r="I1551" s="960"/>
      <c r="J1551" s="59"/>
      <c r="K1551" s="59"/>
    </row>
    <row r="1552" spans="1:11" ht="16.5" customHeight="1" x14ac:dyDescent="0.25">
      <c r="A1552" s="57" t="s">
        <v>76</v>
      </c>
      <c r="B1552" s="57" t="s">
        <v>80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22"/>
        <v>AGOSTO 2023</v>
      </c>
      <c r="F1552" s="57" t="str">
        <f t="shared" si="1223"/>
        <v>8 AGOSTO 2023</v>
      </c>
      <c r="G1552" s="59">
        <v>4.26</v>
      </c>
      <c r="H1552" s="1338" t="s">
        <v>77</v>
      </c>
      <c r="I1552" s="960"/>
      <c r="J1552" s="59"/>
      <c r="K1552" s="59"/>
    </row>
    <row r="1553" spans="1:11" x14ac:dyDescent="0.25">
      <c r="A1553" s="57" t="s">
        <v>229</v>
      </c>
      <c r="B1553" s="57" t="s">
        <v>80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si="1222"/>
        <v>AGOSTO 2023</v>
      </c>
      <c r="F1553" s="57" t="str">
        <f t="shared" si="1223"/>
        <v>8 AGOSTO 2023</v>
      </c>
      <c r="G1553" s="59">
        <v>79.7</v>
      </c>
      <c r="H1553" s="1338" t="s">
        <v>69</v>
      </c>
      <c r="I1553" s="960"/>
      <c r="J1553" s="59"/>
      <c r="K1553" s="59"/>
    </row>
    <row r="1554" spans="1:11" x14ac:dyDescent="0.25">
      <c r="A1554" s="57" t="s">
        <v>67</v>
      </c>
      <c r="B1554" s="57" t="s">
        <v>80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22"/>
        <v>AGOSTO 2023</v>
      </c>
      <c r="F1554" s="57" t="str">
        <f t="shared" si="1223"/>
        <v>8 AGOSTO 2023</v>
      </c>
      <c r="G1554" s="59">
        <v>16</v>
      </c>
      <c r="H1554" s="1338" t="s">
        <v>69</v>
      </c>
      <c r="I1554" s="960"/>
      <c r="J1554" s="59"/>
      <c r="K1554" s="59"/>
    </row>
    <row r="1555" spans="1:11" x14ac:dyDescent="0.25">
      <c r="A1555" s="57" t="s">
        <v>67</v>
      </c>
      <c r="B1555" s="57" t="s">
        <v>80</v>
      </c>
      <c r="C1555" s="57">
        <v>2023</v>
      </c>
      <c r="D1555" s="58">
        <f>MATCH(B1555,{"GENNAIO","FEBBRAIO","MARZO","APRILE","MAGGIO","GIUGNO","LUGLIO","AGOSTO","SETTEMBRE","OTTOBRE","NOVEMBRE","DICEMBRE"},0)</f>
        <v>8</v>
      </c>
      <c r="E1555" s="57" t="str">
        <f t="shared" si="1222"/>
        <v>AGOSTO 2023</v>
      </c>
      <c r="F1555" s="57" t="str">
        <f t="shared" si="1223"/>
        <v>8 AGOSTO 2023</v>
      </c>
      <c r="G1555" s="59">
        <v>5</v>
      </c>
      <c r="H1555" s="1338" t="s">
        <v>776</v>
      </c>
      <c r="I1555" s="960"/>
      <c r="J1555" s="59"/>
      <c r="K1555" s="59"/>
    </row>
    <row r="1556" spans="1:11" x14ac:dyDescent="0.25">
      <c r="A1556" s="57" t="s">
        <v>113</v>
      </c>
      <c r="B1556" s="57" t="s">
        <v>80</v>
      </c>
      <c r="C1556" s="57">
        <v>2023</v>
      </c>
      <c r="D1556" s="58">
        <f>MATCH(B1556,{"GENNAIO","FEBBRAIO","MARZO","APRILE","MAGGIO","GIUGNO","LUGLIO","AGOSTO","SETTEMBRE","OTTOBRE","NOVEMBRE","DICEMBRE"},0)</f>
        <v>8</v>
      </c>
      <c r="E1556" s="57" t="str">
        <f t="shared" si="1222"/>
        <v>AGOSTO 2023</v>
      </c>
      <c r="F1556" s="57" t="str">
        <f t="shared" si="1223"/>
        <v>8 AGOSTO 2023</v>
      </c>
      <c r="G1556" s="59">
        <v>33</v>
      </c>
      <c r="H1556" s="1338" t="s">
        <v>114</v>
      </c>
      <c r="I1556" s="960"/>
      <c r="J1556" s="59"/>
      <c r="K1556" s="59"/>
    </row>
    <row r="1557" spans="1:11" ht="16.5" customHeight="1" x14ac:dyDescent="0.25">
      <c r="A1557" s="57" t="s">
        <v>108</v>
      </c>
      <c r="B1557" s="57" t="s">
        <v>80</v>
      </c>
      <c r="C1557" s="57">
        <v>2023</v>
      </c>
      <c r="D1557" s="58">
        <f>MATCH(B1557,{"GENNAIO","FEBBRAIO","MARZO","APRILE","MAGGIO","GIUGNO","LUGLIO","AGOSTO","SETTEMBRE","OTTOBRE","NOVEMBRE","DICEMBRE"},0)</f>
        <v>8</v>
      </c>
      <c r="E1557" s="57" t="str">
        <f t="shared" si="1222"/>
        <v>AGOSTO 2023</v>
      </c>
      <c r="F1557" s="57" t="str">
        <f t="shared" si="1223"/>
        <v>8 AGOSTO 2023</v>
      </c>
      <c r="G1557" s="59">
        <v>8.07</v>
      </c>
      <c r="H1557" s="1338" t="s">
        <v>75</v>
      </c>
      <c r="I1557" s="960"/>
      <c r="J1557" s="57" t="s">
        <v>108</v>
      </c>
      <c r="K1557" s="59"/>
    </row>
    <row r="1558" spans="1:11" ht="18" customHeight="1" x14ac:dyDescent="0.25">
      <c r="A1558" s="57" t="s">
        <v>76</v>
      </c>
      <c r="B1558" s="57" t="s">
        <v>80</v>
      </c>
      <c r="C1558" s="57">
        <v>2023</v>
      </c>
      <c r="D1558" s="58">
        <f>MATCH(B1558,{"GENNAIO","FEBBRAIO","MARZO","APRILE","MAGGIO","GIUGNO","LUGLIO","AGOSTO","SETTEMBRE","OTTOBRE","NOVEMBRE","DICEMBRE"},0)</f>
        <v>8</v>
      </c>
      <c r="E1558" s="57" t="str">
        <f t="shared" si="1222"/>
        <v>AGOSTO 2023</v>
      </c>
      <c r="F1558" s="57" t="str">
        <f t="shared" si="1223"/>
        <v>8 AGOSTO 2023</v>
      </c>
      <c r="G1558" s="59">
        <v>24.11</v>
      </c>
      <c r="H1558" s="1338" t="s">
        <v>77</v>
      </c>
      <c r="I1558" s="960"/>
      <c r="J1558" s="59"/>
      <c r="K1558" s="59"/>
    </row>
    <row r="1559" spans="1:11" ht="18" customHeight="1" x14ac:dyDescent="0.25">
      <c r="A1559" s="57" t="s">
        <v>83</v>
      </c>
      <c r="B1559" s="57" t="s">
        <v>80</v>
      </c>
      <c r="C1559" s="57">
        <v>2023</v>
      </c>
      <c r="D1559" s="58">
        <f>MATCH(B1559,{"GENNAIO","FEBBRAIO","MARZO","APRILE","MAGGIO","GIUGNO","LUGLIO","AGOSTO","SETTEMBRE","OTTOBRE","NOVEMBRE","DICEMBRE"},0)</f>
        <v>8</v>
      </c>
      <c r="E1559" s="57" t="str">
        <f t="shared" si="1222"/>
        <v>AGOSTO 2023</v>
      </c>
      <c r="F1559" s="57" t="str">
        <f t="shared" si="1223"/>
        <v>8 AGOSTO 2023</v>
      </c>
      <c r="G1559" s="59">
        <v>13.49</v>
      </c>
      <c r="H1559" s="1338" t="s">
        <v>77</v>
      </c>
      <c r="I1559" s="960"/>
      <c r="J1559" s="59"/>
      <c r="K1559" s="59"/>
    </row>
    <row r="1560" spans="1:11" ht="18" customHeight="1" x14ac:dyDescent="0.25">
      <c r="A1560" s="57" t="s">
        <v>182</v>
      </c>
      <c r="B1560" s="57" t="s">
        <v>80</v>
      </c>
      <c r="C1560" s="57">
        <v>2023</v>
      </c>
      <c r="D1560" s="58">
        <f>MATCH(B1560,{"GENNAIO","FEBBRAIO","MARZO","APRILE","MAGGIO","GIUGNO","LUGLIO","AGOSTO","SETTEMBRE","OTTOBRE","NOVEMBRE","DICEMBRE"},0)</f>
        <v>8</v>
      </c>
      <c r="E1560" s="57" t="str">
        <f t="shared" si="1222"/>
        <v>AGOSTO 2023</v>
      </c>
      <c r="F1560" s="57" t="str">
        <f t="shared" si="1223"/>
        <v>8 AGOSTO 2023</v>
      </c>
      <c r="G1560" s="59">
        <v>11.5</v>
      </c>
      <c r="H1560" s="1338" t="s">
        <v>69</v>
      </c>
      <c r="I1560" s="960"/>
      <c r="J1560" s="59"/>
      <c r="K1560" s="59"/>
    </row>
    <row r="1561" spans="1:11" ht="16.5" customHeight="1" x14ac:dyDescent="0.25">
      <c r="A1561" s="57" t="s">
        <v>230</v>
      </c>
      <c r="B1561" s="57" t="s">
        <v>80</v>
      </c>
      <c r="C1561" s="57">
        <v>2023</v>
      </c>
      <c r="D1561" s="58">
        <f>MATCH(B1561,{"GENNAIO","FEBBRAIO","MARZO","APRILE","MAGGIO","GIUGNO","LUGLIO","AGOSTO","SETTEMBRE","OTTOBRE","NOVEMBRE","DICEMBRE"},0)</f>
        <v>8</v>
      </c>
      <c r="E1561" s="57" t="str">
        <f t="shared" si="1222"/>
        <v>AGOSTO 2023</v>
      </c>
      <c r="F1561" s="57" t="str">
        <f t="shared" si="1223"/>
        <v>8 AGOSTO 2023</v>
      </c>
      <c r="G1561" s="59">
        <v>380</v>
      </c>
      <c r="H1561" s="1338" t="s">
        <v>74</v>
      </c>
      <c r="I1561" s="960"/>
      <c r="J1561" s="59"/>
      <c r="K1561" s="59"/>
    </row>
    <row r="1562" spans="1:11" ht="16.5" customHeight="1" x14ac:dyDescent="0.25">
      <c r="A1562" s="57" t="s">
        <v>1018</v>
      </c>
      <c r="B1562" s="57" t="s">
        <v>80</v>
      </c>
      <c r="C1562" s="57">
        <v>2023</v>
      </c>
      <c r="D1562" s="58">
        <f>MATCH(B1562,{"GENNAIO","FEBBRAIO","MARZO","APRILE","MAGGIO","GIUGNO","LUGLIO","AGOSTO","SETTEMBRE","OTTOBRE","NOVEMBRE","DICEMBRE"},0)</f>
        <v>8</v>
      </c>
      <c r="E1562" s="57" t="str">
        <f t="shared" ref="E1562:E1625" si="1224">CONCATENATE(,B1562," ",C1562)</f>
        <v>AGOSTO 2023</v>
      </c>
      <c r="F1562" s="57" t="str">
        <f t="shared" ref="F1562:F1625" si="1225">CONCATENATE(D1562," ",E1562)</f>
        <v>8 AGOSTO 2023</v>
      </c>
      <c r="G1562" s="59">
        <v>15.11</v>
      </c>
      <c r="H1562" s="1338" t="s">
        <v>231</v>
      </c>
      <c r="I1562" s="960" t="s">
        <v>989</v>
      </c>
      <c r="J1562" s="59" t="s">
        <v>768</v>
      </c>
      <c r="K1562" s="59"/>
    </row>
    <row r="1563" spans="1:11" ht="16.5" customHeight="1" x14ac:dyDescent="0.25">
      <c r="A1563" s="57" t="s">
        <v>998</v>
      </c>
      <c r="B1563" s="57" t="s">
        <v>80</v>
      </c>
      <c r="C1563" s="57">
        <v>2023</v>
      </c>
      <c r="D1563" s="58">
        <f>MATCH(B1563,{"GENNAIO","FEBBRAIO","MARZO","APRILE","MAGGIO","GIUGNO","LUGLIO","AGOSTO","SETTEMBRE","OTTOBRE","NOVEMBRE","DICEMBRE"},0)</f>
        <v>8</v>
      </c>
      <c r="E1563" s="57" t="str">
        <f t="shared" si="1224"/>
        <v>AGOSTO 2023</v>
      </c>
      <c r="F1563" s="57" t="str">
        <f t="shared" si="1225"/>
        <v>8 AGOSTO 2023</v>
      </c>
      <c r="G1563" s="59">
        <v>40.909999999999997</v>
      </c>
      <c r="H1563" s="1338" t="s">
        <v>70</v>
      </c>
      <c r="I1563" s="960" t="s">
        <v>988</v>
      </c>
      <c r="J1563" s="59" t="s">
        <v>768</v>
      </c>
      <c r="K1563" s="59"/>
    </row>
    <row r="1564" spans="1:11" ht="16.5" customHeight="1" x14ac:dyDescent="0.25">
      <c r="A1564" s="57" t="s">
        <v>139</v>
      </c>
      <c r="B1564" s="57" t="s">
        <v>119</v>
      </c>
      <c r="C1564" s="57">
        <v>2023</v>
      </c>
      <c r="D1564" s="58">
        <f>MATCH(B1564,{"GENNAIO","FEBBRAIO","MARZO","APRILE","MAGGIO","GIUGNO","LUGLIO","AGOSTO","SETTEMBRE","OTTOBRE","NOVEMBRE","DICEMBRE"},0)</f>
        <v>7</v>
      </c>
      <c r="E1564" s="57" t="str">
        <f t="shared" si="1224"/>
        <v>LUGLIO 2023</v>
      </c>
      <c r="F1564" s="57" t="str">
        <f t="shared" si="1225"/>
        <v>7 LUGLIO 2023</v>
      </c>
      <c r="G1564" s="59">
        <v>66.8</v>
      </c>
      <c r="H1564" s="1338" t="s">
        <v>69</v>
      </c>
      <c r="I1564" s="960"/>
      <c r="J1564" s="59"/>
      <c r="K1564" s="59"/>
    </row>
    <row r="1565" spans="1:11" ht="18.600000000000001" customHeight="1" x14ac:dyDescent="0.25">
      <c r="A1565" s="57" t="s">
        <v>232</v>
      </c>
      <c r="B1565" s="57" t="s">
        <v>119</v>
      </c>
      <c r="C1565" s="57">
        <v>2023</v>
      </c>
      <c r="D1565" s="58">
        <f>MATCH(B1565,{"GENNAIO","FEBBRAIO","MARZO","APRILE","MAGGIO","GIUGNO","LUGLIO","AGOSTO","SETTEMBRE","OTTOBRE","NOVEMBRE","DICEMBRE"},0)</f>
        <v>7</v>
      </c>
      <c r="E1565" s="57" t="str">
        <f t="shared" si="1224"/>
        <v>LUGLIO 2023</v>
      </c>
      <c r="F1565" s="57" t="str">
        <f t="shared" si="1225"/>
        <v>7 LUGLIO 2023</v>
      </c>
      <c r="G1565" s="59">
        <v>1.7</v>
      </c>
      <c r="H1565" s="1338" t="s">
        <v>91</v>
      </c>
      <c r="I1565" s="960"/>
      <c r="J1565" s="59"/>
      <c r="K1565" s="59"/>
    </row>
    <row r="1566" spans="1:11" x14ac:dyDescent="0.25">
      <c r="A1566" s="57" t="s">
        <v>232</v>
      </c>
      <c r="B1566" s="57" t="s">
        <v>119</v>
      </c>
      <c r="C1566" s="57">
        <v>2023</v>
      </c>
      <c r="D1566" s="58">
        <f>MATCH(B1566,{"GENNAIO","FEBBRAIO","MARZO","APRILE","MAGGIO","GIUGNO","LUGLIO","AGOSTO","SETTEMBRE","OTTOBRE","NOVEMBRE","DICEMBRE"},0)</f>
        <v>7</v>
      </c>
      <c r="E1566" s="57" t="str">
        <f t="shared" si="1224"/>
        <v>LUGLIO 2023</v>
      </c>
      <c r="F1566" s="57" t="str">
        <f t="shared" si="1225"/>
        <v>7 LUGLIO 2023</v>
      </c>
      <c r="G1566" s="59">
        <v>7.8</v>
      </c>
      <c r="H1566" s="1338" t="s">
        <v>91</v>
      </c>
      <c r="I1566" s="960"/>
      <c r="J1566" s="59"/>
      <c r="K1566" s="59"/>
    </row>
    <row r="1567" spans="1:11" x14ac:dyDescent="0.25">
      <c r="A1567" s="57" t="s">
        <v>232</v>
      </c>
      <c r="B1567" s="57" t="s">
        <v>119</v>
      </c>
      <c r="C1567" s="57">
        <v>2023</v>
      </c>
      <c r="D1567" s="58">
        <f>MATCH(B1567,{"GENNAIO","FEBBRAIO","MARZO","APRILE","MAGGIO","GIUGNO","LUGLIO","AGOSTO","SETTEMBRE","OTTOBRE","NOVEMBRE","DICEMBRE"},0)</f>
        <v>7</v>
      </c>
      <c r="E1567" s="57" t="str">
        <f t="shared" si="1224"/>
        <v>LUGLIO 2023</v>
      </c>
      <c r="F1567" s="57" t="str">
        <f t="shared" si="1225"/>
        <v>7 LUGLIO 2023</v>
      </c>
      <c r="G1567" s="59">
        <v>1.7</v>
      </c>
      <c r="H1567" s="1338" t="s">
        <v>91</v>
      </c>
      <c r="I1567" s="960"/>
      <c r="J1567" s="59"/>
      <c r="K1567" s="59"/>
    </row>
    <row r="1568" spans="1:11" ht="16.5" customHeight="1" x14ac:dyDescent="0.25">
      <c r="A1568" s="57" t="s">
        <v>79</v>
      </c>
      <c r="B1568" s="57" t="s">
        <v>119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24"/>
        <v>LUGLIO 2023</v>
      </c>
      <c r="F1568" s="57" t="str">
        <f t="shared" si="1225"/>
        <v>7 LUGLIO 2023</v>
      </c>
      <c r="G1568" s="59">
        <v>4.49</v>
      </c>
      <c r="H1568" s="1338" t="s">
        <v>81</v>
      </c>
      <c r="I1568" s="960"/>
      <c r="J1568" s="59"/>
      <c r="K1568" s="59"/>
    </row>
    <row r="1569" spans="1:11" ht="16.5" customHeight="1" x14ac:dyDescent="0.25">
      <c r="A1569" s="57" t="s">
        <v>83</v>
      </c>
      <c r="B1569" s="57" t="s">
        <v>119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24"/>
        <v>LUGLIO 2023</v>
      </c>
      <c r="F1569" s="57" t="str">
        <f t="shared" si="1225"/>
        <v>7 LUGLIO 2023</v>
      </c>
      <c r="G1569" s="59">
        <v>6.4</v>
      </c>
      <c r="H1569" s="1338" t="s">
        <v>77</v>
      </c>
      <c r="I1569" s="960"/>
      <c r="J1569" s="59"/>
      <c r="K1569" s="59"/>
    </row>
    <row r="1570" spans="1:11" x14ac:dyDescent="0.25">
      <c r="A1570" s="57" t="s">
        <v>76</v>
      </c>
      <c r="B1570" s="57" t="s">
        <v>119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24"/>
        <v>LUGLIO 2023</v>
      </c>
      <c r="F1570" s="57" t="str">
        <f t="shared" si="1225"/>
        <v>7 LUGLIO 2023</v>
      </c>
      <c r="G1570" s="59">
        <v>18.27</v>
      </c>
      <c r="H1570" s="1338" t="s">
        <v>77</v>
      </c>
      <c r="I1570" s="960"/>
      <c r="J1570" s="59"/>
      <c r="K1570" s="59"/>
    </row>
    <row r="1571" spans="1:11" ht="14.25" customHeight="1" x14ac:dyDescent="0.25">
      <c r="A1571" s="57" t="s">
        <v>67</v>
      </c>
      <c r="B1571" s="57" t="s">
        <v>119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24"/>
        <v>LUGLIO 2023</v>
      </c>
      <c r="F1571" s="57" t="str">
        <f t="shared" si="1225"/>
        <v>7 LUGLIO 2023</v>
      </c>
      <c r="G1571" s="59">
        <v>5</v>
      </c>
      <c r="H1571" s="1338" t="s">
        <v>776</v>
      </c>
      <c r="I1571" s="960"/>
      <c r="J1571" s="59"/>
      <c r="K1571" s="59"/>
    </row>
    <row r="1572" spans="1:11" ht="18.600000000000001" customHeight="1" x14ac:dyDescent="0.25">
      <c r="A1572" s="57" t="s">
        <v>233</v>
      </c>
      <c r="B1572" s="57" t="s">
        <v>119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24"/>
        <v>LUGLIO 2023</v>
      </c>
      <c r="F1572" s="57" t="str">
        <f t="shared" si="1225"/>
        <v>7 LUGLIO 2023</v>
      </c>
      <c r="G1572" s="59">
        <v>20.9</v>
      </c>
      <c r="H1572" s="1338" t="s">
        <v>231</v>
      </c>
      <c r="I1572" s="960"/>
      <c r="J1572" s="59"/>
      <c r="K1572" s="59"/>
    </row>
    <row r="1573" spans="1:11" x14ac:dyDescent="0.25">
      <c r="A1573" s="57" t="s">
        <v>108</v>
      </c>
      <c r="B1573" s="57" t="s">
        <v>119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24"/>
        <v>LUGLIO 2023</v>
      </c>
      <c r="F1573" s="57" t="str">
        <f t="shared" si="1225"/>
        <v>7 LUGLIO 2023</v>
      </c>
      <c r="G1573" s="59">
        <v>20.47</v>
      </c>
      <c r="H1573" s="1338" t="s">
        <v>75</v>
      </c>
      <c r="I1573" s="960"/>
      <c r="J1573" s="57" t="s">
        <v>108</v>
      </c>
      <c r="K1573" s="59"/>
    </row>
    <row r="1574" spans="1:11" x14ac:dyDescent="0.25">
      <c r="A1574" s="57" t="s">
        <v>234</v>
      </c>
      <c r="B1574" s="57" t="s">
        <v>119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24"/>
        <v>LUGLIO 2023</v>
      </c>
      <c r="F1574" s="57" t="str">
        <f t="shared" si="1225"/>
        <v>7 LUGLIO 2023</v>
      </c>
      <c r="G1574" s="59">
        <v>30.88</v>
      </c>
      <c r="H1574" s="1338" t="s">
        <v>137</v>
      </c>
      <c r="I1574" s="960"/>
      <c r="J1574" s="59"/>
      <c r="K1574" s="59"/>
    </row>
    <row r="1575" spans="1:11" ht="16.5" customHeight="1" x14ac:dyDescent="0.25">
      <c r="A1575" s="57" t="s">
        <v>79</v>
      </c>
      <c r="B1575" s="57" t="s">
        <v>119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24"/>
        <v>LUGLIO 2023</v>
      </c>
      <c r="F1575" s="57" t="str">
        <f t="shared" si="1225"/>
        <v>7 LUGLIO 2023</v>
      </c>
      <c r="G1575" s="59">
        <v>12.86</v>
      </c>
      <c r="H1575" s="1338" t="s">
        <v>81</v>
      </c>
      <c r="I1575" s="960"/>
      <c r="J1575" s="59"/>
      <c r="K1575" s="59"/>
    </row>
    <row r="1576" spans="1:11" x14ac:dyDescent="0.25">
      <c r="A1576" s="57" t="s">
        <v>76</v>
      </c>
      <c r="B1576" s="57" t="s">
        <v>119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24"/>
        <v>LUGLIO 2023</v>
      </c>
      <c r="F1576" s="57" t="str">
        <f t="shared" si="1225"/>
        <v>7 LUGLIO 2023</v>
      </c>
      <c r="G1576" s="59">
        <v>18.899999999999999</v>
      </c>
      <c r="H1576" s="1338" t="s">
        <v>77</v>
      </c>
      <c r="I1576" s="960"/>
      <c r="J1576" s="59"/>
      <c r="K1576" s="59"/>
    </row>
    <row r="1577" spans="1:11" x14ac:dyDescent="0.25">
      <c r="A1577" s="57" t="s">
        <v>83</v>
      </c>
      <c r="B1577" s="57" t="s">
        <v>119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24"/>
        <v>LUGLIO 2023</v>
      </c>
      <c r="F1577" s="57" t="str">
        <f t="shared" si="1225"/>
        <v>7 LUGLIO 2023</v>
      </c>
      <c r="G1577" s="59">
        <v>8.41</v>
      </c>
      <c r="H1577" s="1338" t="s">
        <v>77</v>
      </c>
      <c r="I1577" s="960"/>
      <c r="J1577" s="59"/>
      <c r="K1577" s="59"/>
    </row>
    <row r="1578" spans="1:11" x14ac:dyDescent="0.25">
      <c r="A1578" s="57" t="s">
        <v>86</v>
      </c>
      <c r="B1578" s="57" t="s">
        <v>119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24"/>
        <v>LUGLIO 2023</v>
      </c>
      <c r="F1578" s="57" t="str">
        <f t="shared" si="1225"/>
        <v>7 LUGLIO 2023</v>
      </c>
      <c r="G1578" s="59">
        <v>12</v>
      </c>
      <c r="H1578" s="1338" t="s">
        <v>69</v>
      </c>
      <c r="I1578" s="960"/>
      <c r="J1578" s="59"/>
      <c r="K1578" s="59"/>
    </row>
    <row r="1579" spans="1:11" x14ac:dyDescent="0.25">
      <c r="A1579" s="57" t="s">
        <v>76</v>
      </c>
      <c r="B1579" s="57" t="s">
        <v>119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24"/>
        <v>LUGLIO 2023</v>
      </c>
      <c r="F1579" s="57" t="str">
        <f t="shared" si="1225"/>
        <v>7 LUGLIO 2023</v>
      </c>
      <c r="G1579" s="59">
        <v>16.38</v>
      </c>
      <c r="H1579" s="1338" t="s">
        <v>77</v>
      </c>
      <c r="I1579" s="960"/>
      <c r="J1579" s="59"/>
      <c r="K1579" s="59"/>
    </row>
    <row r="1580" spans="1:11" x14ac:dyDescent="0.25">
      <c r="A1580" s="57" t="s">
        <v>108</v>
      </c>
      <c r="B1580" s="57" t="s">
        <v>119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24"/>
        <v>LUGLIO 2023</v>
      </c>
      <c r="F1580" s="57" t="str">
        <f t="shared" si="1225"/>
        <v>7 LUGLIO 2023</v>
      </c>
      <c r="G1580" s="59">
        <v>20.99</v>
      </c>
      <c r="H1580" s="1338" t="s">
        <v>75</v>
      </c>
      <c r="I1580" s="960"/>
      <c r="J1580" s="57" t="s">
        <v>108</v>
      </c>
      <c r="K1580" s="59"/>
    </row>
    <row r="1581" spans="1:11" x14ac:dyDescent="0.25">
      <c r="A1581" s="57" t="s">
        <v>165</v>
      </c>
      <c r="B1581" s="57" t="s">
        <v>119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24"/>
        <v>LUGLIO 2023</v>
      </c>
      <c r="F1581" s="57" t="str">
        <f t="shared" si="1225"/>
        <v>7 LUGLIO 2023</v>
      </c>
      <c r="G1581" s="59">
        <v>21.77</v>
      </c>
      <c r="H1581" s="1338" t="s">
        <v>166</v>
      </c>
      <c r="I1581" s="960"/>
      <c r="J1581" s="59"/>
      <c r="K1581" s="59"/>
    </row>
    <row r="1582" spans="1:11" ht="16.5" customHeight="1" x14ac:dyDescent="0.25">
      <c r="A1582" s="57" t="s">
        <v>83</v>
      </c>
      <c r="B1582" s="57" t="s">
        <v>119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24"/>
        <v>LUGLIO 2023</v>
      </c>
      <c r="F1582" s="57" t="str">
        <f t="shared" si="1225"/>
        <v>7 LUGLIO 2023</v>
      </c>
      <c r="G1582" s="59">
        <v>11.77</v>
      </c>
      <c r="H1582" s="1338" t="s">
        <v>77</v>
      </c>
      <c r="I1582" s="960"/>
      <c r="J1582" s="59"/>
      <c r="K1582" s="59"/>
    </row>
    <row r="1583" spans="1:11" ht="18.600000000000001" customHeight="1" x14ac:dyDescent="0.25">
      <c r="A1583" s="57" t="s">
        <v>108</v>
      </c>
      <c r="B1583" s="57" t="s">
        <v>119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24"/>
        <v>LUGLIO 2023</v>
      </c>
      <c r="F1583" s="57" t="str">
        <f t="shared" si="1225"/>
        <v>7 LUGLIO 2023</v>
      </c>
      <c r="G1583" s="59">
        <v>24</v>
      </c>
      <c r="H1583" s="1338" t="s">
        <v>75</v>
      </c>
      <c r="I1583" s="960"/>
      <c r="J1583" s="57" t="s">
        <v>108</v>
      </c>
      <c r="K1583" s="59"/>
    </row>
    <row r="1584" spans="1:11" x14ac:dyDescent="0.25">
      <c r="A1584" s="57" t="s">
        <v>108</v>
      </c>
      <c r="B1584" s="57" t="s">
        <v>119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24"/>
        <v>LUGLIO 2023</v>
      </c>
      <c r="F1584" s="57" t="str">
        <f t="shared" si="1225"/>
        <v>7 LUGLIO 2023</v>
      </c>
      <c r="G1584" s="59">
        <v>13.6</v>
      </c>
      <c r="H1584" s="1338" t="s">
        <v>75</v>
      </c>
      <c r="I1584" s="960"/>
      <c r="J1584" s="57" t="s">
        <v>108</v>
      </c>
      <c r="K1584" s="59"/>
    </row>
    <row r="1585" spans="1:11" ht="16.5" customHeight="1" x14ac:dyDescent="0.25">
      <c r="A1585" s="57" t="s">
        <v>109</v>
      </c>
      <c r="B1585" s="57" t="s">
        <v>119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24"/>
        <v>LUGLIO 2023</v>
      </c>
      <c r="F1585" s="57" t="str">
        <f t="shared" si="1225"/>
        <v>7 LUGLIO 2023</v>
      </c>
      <c r="G1585" s="59">
        <v>10</v>
      </c>
      <c r="H1585" s="1338" t="s">
        <v>69</v>
      </c>
      <c r="I1585" s="960"/>
      <c r="J1585" s="59"/>
      <c r="K1585" s="59"/>
    </row>
    <row r="1586" spans="1:11" ht="16.5" customHeight="1" x14ac:dyDescent="0.25">
      <c r="A1586" s="57" t="s">
        <v>79</v>
      </c>
      <c r="B1586" s="57" t="s">
        <v>119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24"/>
        <v>LUGLIO 2023</v>
      </c>
      <c r="F1586" s="57" t="str">
        <f t="shared" si="1225"/>
        <v>7 LUGLIO 2023</v>
      </c>
      <c r="G1586" s="59">
        <v>7.79</v>
      </c>
      <c r="H1586" s="1338" t="s">
        <v>81</v>
      </c>
      <c r="I1586" s="960"/>
      <c r="J1586" s="59"/>
      <c r="K1586" s="59"/>
    </row>
    <row r="1587" spans="1:11" ht="16.5" customHeight="1" x14ac:dyDescent="0.25">
      <c r="A1587" s="57" t="s">
        <v>76</v>
      </c>
      <c r="B1587" s="57" t="s">
        <v>119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24"/>
        <v>LUGLIO 2023</v>
      </c>
      <c r="F1587" s="57" t="str">
        <f t="shared" si="1225"/>
        <v>7 LUGLIO 2023</v>
      </c>
      <c r="G1587" s="59">
        <v>13.06</v>
      </c>
      <c r="H1587" s="1338" t="s">
        <v>77</v>
      </c>
      <c r="I1587" s="960"/>
      <c r="J1587" s="59"/>
      <c r="K1587" s="59"/>
    </row>
    <row r="1588" spans="1:11" ht="16.5" customHeight="1" x14ac:dyDescent="0.25">
      <c r="A1588" s="57" t="s">
        <v>67</v>
      </c>
      <c r="B1588" s="57" t="s">
        <v>119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24"/>
        <v>LUGLIO 2023</v>
      </c>
      <c r="F1588" s="57" t="str">
        <f t="shared" si="1225"/>
        <v>7 LUGLIO 2023</v>
      </c>
      <c r="G1588" s="59">
        <v>5</v>
      </c>
      <c r="H1588" s="1338" t="s">
        <v>776</v>
      </c>
      <c r="I1588" s="960"/>
      <c r="J1588" s="59"/>
      <c r="K1588" s="59"/>
    </row>
    <row r="1589" spans="1:11" ht="16.5" customHeight="1" x14ac:dyDescent="0.25">
      <c r="A1589" s="57" t="s">
        <v>121</v>
      </c>
      <c r="B1589" s="57" t="s">
        <v>119</v>
      </c>
      <c r="C1589" s="57">
        <v>2023</v>
      </c>
      <c r="D1589" s="58">
        <f>MATCH(B1589,{"GENNAIO","FEBBRAIO","MARZO","APRILE","MAGGIO","GIUGNO","LUGLIO","AGOSTO","SETTEMBRE","OTTOBRE","NOVEMBRE","DICEMBRE"},0)</f>
        <v>7</v>
      </c>
      <c r="E1589" s="57" t="str">
        <f t="shared" si="1224"/>
        <v>LUGLIO 2023</v>
      </c>
      <c r="F1589" s="57" t="str">
        <f t="shared" si="1225"/>
        <v>7 LUGLIO 2023</v>
      </c>
      <c r="G1589" s="59">
        <v>0.4</v>
      </c>
      <c r="H1589" s="1338" t="s">
        <v>777</v>
      </c>
      <c r="I1589" s="960"/>
      <c r="J1589" s="59"/>
      <c r="K1589" s="59"/>
    </row>
    <row r="1590" spans="1:11" ht="18" customHeight="1" x14ac:dyDescent="0.25">
      <c r="A1590" s="57" t="s">
        <v>235</v>
      </c>
      <c r="B1590" s="57" t="s">
        <v>119</v>
      </c>
      <c r="C1590" s="57">
        <v>2023</v>
      </c>
      <c r="D1590" s="58">
        <f>MATCH(B1590,{"GENNAIO","FEBBRAIO","MARZO","APRILE","MAGGIO","GIUGNO","LUGLIO","AGOSTO","SETTEMBRE","OTTOBRE","NOVEMBRE","DICEMBRE"},0)</f>
        <v>7</v>
      </c>
      <c r="E1590" s="57" t="str">
        <f t="shared" si="1224"/>
        <v>LUGLIO 2023</v>
      </c>
      <c r="F1590" s="57" t="str">
        <f t="shared" si="1225"/>
        <v>7 LUGLIO 2023</v>
      </c>
      <c r="G1590" s="59">
        <v>59</v>
      </c>
      <c r="H1590" s="1338" t="s">
        <v>69</v>
      </c>
      <c r="I1590" s="960"/>
      <c r="J1590" s="59"/>
      <c r="K1590" s="59"/>
    </row>
    <row r="1591" spans="1:11" ht="18" customHeight="1" x14ac:dyDescent="0.25">
      <c r="A1591" s="57" t="s">
        <v>121</v>
      </c>
      <c r="B1591" s="57" t="s">
        <v>119</v>
      </c>
      <c r="C1591" s="57">
        <v>2023</v>
      </c>
      <c r="D1591" s="58">
        <f>MATCH(B1591,{"GENNAIO","FEBBRAIO","MARZO","APRILE","MAGGIO","GIUGNO","LUGLIO","AGOSTO","SETTEMBRE","OTTOBRE","NOVEMBRE","DICEMBRE"},0)</f>
        <v>7</v>
      </c>
      <c r="E1591" s="57" t="str">
        <f t="shared" si="1224"/>
        <v>LUGLIO 2023</v>
      </c>
      <c r="F1591" s="57" t="str">
        <f t="shared" si="1225"/>
        <v>7 LUGLIO 2023</v>
      </c>
      <c r="G1591" s="59">
        <v>0.7</v>
      </c>
      <c r="H1591" s="1338" t="s">
        <v>777</v>
      </c>
      <c r="I1591" s="960"/>
      <c r="J1591" s="59"/>
      <c r="K1591" s="59"/>
    </row>
    <row r="1592" spans="1:11" ht="18" customHeight="1" x14ac:dyDescent="0.25">
      <c r="A1592" s="57" t="s">
        <v>121</v>
      </c>
      <c r="B1592" s="57" t="s">
        <v>119</v>
      </c>
      <c r="C1592" s="57">
        <v>2023</v>
      </c>
      <c r="D1592" s="58">
        <f>MATCH(B1592,{"GENNAIO","FEBBRAIO","MARZO","APRILE","MAGGIO","GIUGNO","LUGLIO","AGOSTO","SETTEMBRE","OTTOBRE","NOVEMBRE","DICEMBRE"},0)</f>
        <v>7</v>
      </c>
      <c r="E1592" s="57" t="str">
        <f t="shared" si="1224"/>
        <v>LUGLIO 2023</v>
      </c>
      <c r="F1592" s="57" t="str">
        <f t="shared" si="1225"/>
        <v>7 LUGLIO 2023</v>
      </c>
      <c r="G1592" s="59">
        <v>0.4</v>
      </c>
      <c r="H1592" s="1338" t="s">
        <v>777</v>
      </c>
      <c r="I1592" s="960"/>
      <c r="J1592" s="59"/>
      <c r="K1592" s="59"/>
    </row>
    <row r="1593" spans="1:11" ht="18" customHeight="1" x14ac:dyDescent="0.25">
      <c r="A1593" s="57" t="s">
        <v>141</v>
      </c>
      <c r="B1593" s="57" t="s">
        <v>119</v>
      </c>
      <c r="C1593" s="57">
        <v>2023</v>
      </c>
      <c r="D1593" s="58">
        <f>MATCH(B1593,{"GENNAIO","FEBBRAIO","MARZO","APRILE","MAGGIO","GIUGNO","LUGLIO","AGOSTO","SETTEMBRE","OTTOBRE","NOVEMBRE","DICEMBRE"},0)</f>
        <v>7</v>
      </c>
      <c r="E1593" s="57" t="str">
        <f t="shared" si="1224"/>
        <v>LUGLIO 2023</v>
      </c>
      <c r="F1593" s="57" t="str">
        <f t="shared" si="1225"/>
        <v>7 LUGLIO 2023</v>
      </c>
      <c r="G1593" s="59">
        <v>15.54</v>
      </c>
      <c r="H1593" s="1338" t="s">
        <v>75</v>
      </c>
      <c r="I1593" s="960"/>
      <c r="J1593" s="59" t="s">
        <v>768</v>
      </c>
      <c r="K1593" s="59"/>
    </row>
    <row r="1594" spans="1:11" ht="18.75" customHeight="1" x14ac:dyDescent="0.25">
      <c r="A1594" s="57" t="s">
        <v>998</v>
      </c>
      <c r="B1594" s="57" t="s">
        <v>119</v>
      </c>
      <c r="C1594" s="57">
        <v>2023</v>
      </c>
      <c r="D1594" s="58">
        <f>MATCH(B1594,{"GENNAIO","FEBBRAIO","MARZO","APRILE","MAGGIO","GIUGNO","LUGLIO","AGOSTO","SETTEMBRE","OTTOBRE","NOVEMBRE","DICEMBRE"},0)</f>
        <v>7</v>
      </c>
      <c r="E1594" s="57" t="str">
        <f t="shared" si="1224"/>
        <v>LUGLIO 2023</v>
      </c>
      <c r="F1594" s="57" t="str">
        <f t="shared" si="1225"/>
        <v>7 LUGLIO 2023</v>
      </c>
      <c r="G1594" s="59">
        <v>40.909999999999997</v>
      </c>
      <c r="H1594" s="1338" t="s">
        <v>70</v>
      </c>
      <c r="I1594" s="960" t="s">
        <v>993</v>
      </c>
      <c r="J1594" s="59" t="s">
        <v>768</v>
      </c>
      <c r="K1594" s="59"/>
    </row>
    <row r="1595" spans="1:11" x14ac:dyDescent="0.25">
      <c r="A1595" s="57" t="s">
        <v>1018</v>
      </c>
      <c r="B1595" s="57" t="s">
        <v>119</v>
      </c>
      <c r="C1595" s="57">
        <v>2023</v>
      </c>
      <c r="D1595" s="58">
        <f>MATCH(B1595,{"GENNAIO","FEBBRAIO","MARZO","APRILE","MAGGIO","GIUGNO","LUGLIO","AGOSTO","SETTEMBRE","OTTOBRE","NOVEMBRE","DICEMBRE"},0)</f>
        <v>7</v>
      </c>
      <c r="E1595" s="57" t="str">
        <f t="shared" si="1224"/>
        <v>LUGLIO 2023</v>
      </c>
      <c r="F1595" s="57" t="str">
        <f t="shared" si="1225"/>
        <v>7 LUGLIO 2023</v>
      </c>
      <c r="G1595" s="59">
        <v>15.12</v>
      </c>
      <c r="H1595" s="1338" t="s">
        <v>231</v>
      </c>
      <c r="I1595" s="960" t="s">
        <v>988</v>
      </c>
      <c r="J1595" s="59" t="s">
        <v>768</v>
      </c>
      <c r="K1595" s="59"/>
    </row>
    <row r="1596" spans="1:11" ht="16.5" customHeight="1" x14ac:dyDescent="0.25">
      <c r="A1596" s="57" t="s">
        <v>998</v>
      </c>
      <c r="B1596" s="57" t="s">
        <v>119</v>
      </c>
      <c r="C1596" s="57">
        <v>2023</v>
      </c>
      <c r="D1596" s="58">
        <f>MATCH(B1596,{"GENNAIO","FEBBRAIO","MARZO","APRILE","MAGGIO","GIUGNO","LUGLIO","AGOSTO","SETTEMBRE","OTTOBRE","NOVEMBRE","DICEMBRE"},0)</f>
        <v>7</v>
      </c>
      <c r="E1596" s="57" t="str">
        <f t="shared" si="1224"/>
        <v>LUGLIO 2023</v>
      </c>
      <c r="F1596" s="57" t="str">
        <f t="shared" si="1225"/>
        <v>7 LUGLIO 2023</v>
      </c>
      <c r="G1596" s="59">
        <v>37.700000000000003</v>
      </c>
      <c r="H1596" s="1338" t="s">
        <v>70</v>
      </c>
      <c r="I1596" s="960" t="s">
        <v>989</v>
      </c>
      <c r="J1596" s="59" t="s">
        <v>768</v>
      </c>
      <c r="K1596" s="59"/>
    </row>
    <row r="1597" spans="1:11" ht="16.5" customHeight="1" x14ac:dyDescent="0.25">
      <c r="A1597" s="57" t="s">
        <v>108</v>
      </c>
      <c r="B1597" s="57" t="s">
        <v>119</v>
      </c>
      <c r="C1597" s="57">
        <v>2023</v>
      </c>
      <c r="D1597" s="58">
        <f>MATCH(B1597,{"GENNAIO","FEBBRAIO","MARZO","APRILE","MAGGIO","GIUGNO","LUGLIO","AGOSTO","SETTEMBRE","OTTOBRE","NOVEMBRE","DICEMBRE"},0)</f>
        <v>7</v>
      </c>
      <c r="E1597" s="57" t="str">
        <f t="shared" si="1224"/>
        <v>LUGLIO 2023</v>
      </c>
      <c r="F1597" s="57" t="str">
        <f t="shared" si="1225"/>
        <v>7 LUGLIO 2023</v>
      </c>
      <c r="G1597" s="59">
        <v>55.84</v>
      </c>
      <c r="H1597" s="1338" t="s">
        <v>185</v>
      </c>
      <c r="I1597" s="960" t="s">
        <v>1045</v>
      </c>
      <c r="J1597" s="57" t="s">
        <v>108</v>
      </c>
      <c r="K1597" s="59" t="s">
        <v>1032</v>
      </c>
    </row>
    <row r="1598" spans="1:11" ht="16.5" customHeight="1" x14ac:dyDescent="0.25">
      <c r="A1598" s="57" t="s">
        <v>76</v>
      </c>
      <c r="B1598" s="57" t="s">
        <v>131</v>
      </c>
      <c r="C1598" s="57">
        <v>2023</v>
      </c>
      <c r="D1598" s="58">
        <f>MATCH(B1598,{"GENNAIO","FEBBRAIO","MARZO","APRILE","MAGGIO","GIUGNO","LUGLIO","AGOSTO","SETTEMBRE","OTTOBRE","NOVEMBRE","DICEMBRE"},0)</f>
        <v>6</v>
      </c>
      <c r="E1598" s="57" t="str">
        <f t="shared" si="1224"/>
        <v>GIUGNO 2023</v>
      </c>
      <c r="F1598" s="57" t="str">
        <f t="shared" si="1225"/>
        <v>6 GIUGNO 2023</v>
      </c>
      <c r="G1598" s="59">
        <v>4.84</v>
      </c>
      <c r="H1598" s="1338" t="s">
        <v>77</v>
      </c>
      <c r="I1598" s="960"/>
      <c r="J1598" s="59"/>
      <c r="K1598" s="59"/>
    </row>
    <row r="1599" spans="1:11" ht="16.5" customHeight="1" x14ac:dyDescent="0.25">
      <c r="A1599" s="57" t="s">
        <v>67</v>
      </c>
      <c r="B1599" s="57" t="s">
        <v>131</v>
      </c>
      <c r="C1599" s="57">
        <v>2023</v>
      </c>
      <c r="D1599" s="58">
        <f>MATCH(B1599,{"GENNAIO","FEBBRAIO","MARZO","APRILE","MAGGIO","GIUGNO","LUGLIO","AGOSTO","SETTEMBRE","OTTOBRE","NOVEMBRE","DICEMBRE"},0)</f>
        <v>6</v>
      </c>
      <c r="E1599" s="57" t="str">
        <f t="shared" si="1224"/>
        <v>GIUGNO 2023</v>
      </c>
      <c r="F1599" s="57" t="str">
        <f t="shared" si="1225"/>
        <v>6 GIUGNO 2023</v>
      </c>
      <c r="G1599" s="59">
        <v>5</v>
      </c>
      <c r="H1599" s="1338" t="s">
        <v>776</v>
      </c>
      <c r="I1599" s="960"/>
      <c r="J1599" s="59"/>
      <c r="K1599" s="59"/>
    </row>
    <row r="1600" spans="1:11" ht="16.5" customHeight="1" x14ac:dyDescent="0.25">
      <c r="A1600" s="57" t="s">
        <v>121</v>
      </c>
      <c r="B1600" s="57" t="s">
        <v>131</v>
      </c>
      <c r="C1600" s="57">
        <v>2023</v>
      </c>
      <c r="D1600" s="58">
        <f>MATCH(B1600,{"GENNAIO","FEBBRAIO","MARZO","APRILE","MAGGIO","GIUGNO","LUGLIO","AGOSTO","SETTEMBRE","OTTOBRE","NOVEMBRE","DICEMBRE"},0)</f>
        <v>6</v>
      </c>
      <c r="E1600" s="57" t="str">
        <f t="shared" si="1224"/>
        <v>GIUGNO 2023</v>
      </c>
      <c r="F1600" s="57" t="str">
        <f t="shared" si="1225"/>
        <v>6 GIUGNO 2023</v>
      </c>
      <c r="G1600" s="59">
        <v>0.4</v>
      </c>
      <c r="H1600" s="1338" t="s">
        <v>777</v>
      </c>
      <c r="I1600" s="960"/>
      <c r="J1600" s="59"/>
      <c r="K1600" s="59"/>
    </row>
    <row r="1601" spans="1:11" ht="16.5" customHeight="1" x14ac:dyDescent="0.25">
      <c r="A1601" s="57" t="s">
        <v>123</v>
      </c>
      <c r="B1601" s="57" t="s">
        <v>131</v>
      </c>
      <c r="C1601" s="57">
        <v>2023</v>
      </c>
      <c r="D1601" s="58">
        <f>MATCH(B1601,{"GENNAIO","FEBBRAIO","MARZO","APRILE","MAGGIO","GIUGNO","LUGLIO","AGOSTO","SETTEMBRE","OTTOBRE","NOVEMBRE","DICEMBRE"},0)</f>
        <v>6</v>
      </c>
      <c r="E1601" s="57" t="str">
        <f t="shared" si="1224"/>
        <v>GIUGNO 2023</v>
      </c>
      <c r="F1601" s="57" t="str">
        <f t="shared" si="1225"/>
        <v>6 GIUGNO 2023</v>
      </c>
      <c r="G1601" s="59">
        <v>17</v>
      </c>
      <c r="H1601" s="1338" t="s">
        <v>69</v>
      </c>
      <c r="I1601" s="960"/>
      <c r="J1601" s="59"/>
      <c r="K1601" s="59"/>
    </row>
    <row r="1602" spans="1:11" ht="18" customHeight="1" x14ac:dyDescent="0.25">
      <c r="A1602" s="57" t="s">
        <v>67</v>
      </c>
      <c r="B1602" s="57" t="s">
        <v>131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24"/>
        <v>GIUGNO 2023</v>
      </c>
      <c r="F1602" s="57" t="str">
        <f t="shared" si="1225"/>
        <v>6 GIUGNO 2023</v>
      </c>
      <c r="G1602" s="59">
        <v>3.6</v>
      </c>
      <c r="H1602" s="1338" t="s">
        <v>69</v>
      </c>
      <c r="I1602" s="960"/>
      <c r="J1602" s="59"/>
      <c r="K1602" s="59"/>
    </row>
    <row r="1603" spans="1:11" ht="16.5" customHeight="1" x14ac:dyDescent="0.25">
      <c r="A1603" s="57" t="s">
        <v>121</v>
      </c>
      <c r="B1603" s="57" t="s">
        <v>131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24"/>
        <v>GIUGNO 2023</v>
      </c>
      <c r="F1603" s="57" t="str">
        <f t="shared" si="1225"/>
        <v>6 GIUGNO 2023</v>
      </c>
      <c r="G1603" s="59">
        <v>0.4</v>
      </c>
      <c r="H1603" s="1338" t="s">
        <v>777</v>
      </c>
      <c r="I1603" s="960"/>
      <c r="J1603" s="59"/>
      <c r="K1603" s="59"/>
    </row>
    <row r="1604" spans="1:11" ht="16.5" customHeight="1" x14ac:dyDescent="0.25">
      <c r="A1604" s="57" t="s">
        <v>121</v>
      </c>
      <c r="B1604" s="57" t="s">
        <v>131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24"/>
        <v>GIUGNO 2023</v>
      </c>
      <c r="F1604" s="57" t="str">
        <f t="shared" si="1225"/>
        <v>6 GIUGNO 2023</v>
      </c>
      <c r="G1604" s="59">
        <v>0.4</v>
      </c>
      <c r="H1604" s="1338" t="s">
        <v>777</v>
      </c>
      <c r="I1604" s="960"/>
      <c r="J1604" s="59"/>
      <c r="K1604" s="59"/>
    </row>
    <row r="1605" spans="1:11" x14ac:dyDescent="0.25">
      <c r="A1605" s="57" t="s">
        <v>236</v>
      </c>
      <c r="B1605" s="57" t="s">
        <v>131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24"/>
        <v>GIUGNO 2023</v>
      </c>
      <c r="F1605" s="57" t="str">
        <f t="shared" si="1225"/>
        <v>6 GIUGNO 2023</v>
      </c>
      <c r="G1605" s="59">
        <v>9.99</v>
      </c>
      <c r="H1605" s="1338" t="s">
        <v>174</v>
      </c>
      <c r="I1605" s="960"/>
      <c r="J1605" s="59"/>
      <c r="K1605" s="59"/>
    </row>
    <row r="1606" spans="1:11" ht="16.5" customHeight="1" x14ac:dyDescent="0.25">
      <c r="A1606" s="57" t="s">
        <v>237</v>
      </c>
      <c r="B1606" s="57" t="s">
        <v>131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24"/>
        <v>GIUGNO 2023</v>
      </c>
      <c r="F1606" s="57" t="str">
        <f t="shared" si="1225"/>
        <v>6 GIUGNO 2023</v>
      </c>
      <c r="G1606" s="59">
        <v>7.5</v>
      </c>
      <c r="H1606" s="1338" t="s">
        <v>69</v>
      </c>
      <c r="I1606" s="960"/>
      <c r="J1606" s="59"/>
      <c r="K1606" s="59"/>
    </row>
    <row r="1607" spans="1:11" ht="16.5" customHeight="1" x14ac:dyDescent="0.25">
      <c r="A1607" s="57" t="s">
        <v>86</v>
      </c>
      <c r="B1607" s="57" t="s">
        <v>131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24"/>
        <v>GIUGNO 2023</v>
      </c>
      <c r="F1607" s="57" t="str">
        <f t="shared" si="1225"/>
        <v>6 GIUGNO 2023</v>
      </c>
      <c r="G1607" s="59">
        <v>20</v>
      </c>
      <c r="H1607" s="1338" t="s">
        <v>69</v>
      </c>
      <c r="I1607" s="960"/>
      <c r="J1607" s="59"/>
      <c r="K1607" s="59"/>
    </row>
    <row r="1608" spans="1:11" x14ac:dyDescent="0.25">
      <c r="A1608" s="57" t="s">
        <v>76</v>
      </c>
      <c r="B1608" s="57" t="s">
        <v>131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24"/>
        <v>GIUGNO 2023</v>
      </c>
      <c r="F1608" s="57" t="str">
        <f t="shared" si="1225"/>
        <v>6 GIUGNO 2023</v>
      </c>
      <c r="G1608" s="59">
        <v>23.23</v>
      </c>
      <c r="H1608" s="1338" t="s">
        <v>77</v>
      </c>
      <c r="I1608" s="960"/>
      <c r="J1608" s="59"/>
      <c r="K1608" s="59"/>
    </row>
    <row r="1609" spans="1:11" x14ac:dyDescent="0.25">
      <c r="A1609" s="57" t="s">
        <v>67</v>
      </c>
      <c r="B1609" s="57" t="s">
        <v>131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24"/>
        <v>GIUGNO 2023</v>
      </c>
      <c r="F1609" s="57" t="str">
        <f t="shared" si="1225"/>
        <v>6 GIUGNO 2023</v>
      </c>
      <c r="G1609" s="59">
        <v>15.5</v>
      </c>
      <c r="H1609" s="1338" t="s">
        <v>69</v>
      </c>
      <c r="I1609" s="960"/>
      <c r="J1609" s="59"/>
      <c r="K1609" s="59"/>
    </row>
    <row r="1610" spans="1:11" ht="16.5" customHeight="1" x14ac:dyDescent="0.25">
      <c r="A1610" s="57" t="s">
        <v>238</v>
      </c>
      <c r="B1610" s="57" t="s">
        <v>131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24"/>
        <v>GIUGNO 2023</v>
      </c>
      <c r="F1610" s="57" t="str">
        <f t="shared" si="1225"/>
        <v>6 GIUGNO 2023</v>
      </c>
      <c r="G1610" s="59">
        <v>29.6</v>
      </c>
      <c r="H1610" s="1338" t="s">
        <v>69</v>
      </c>
      <c r="I1610" s="960"/>
      <c r="J1610" s="59"/>
      <c r="K1610" s="59"/>
    </row>
    <row r="1611" spans="1:11" ht="18" customHeight="1" x14ac:dyDescent="0.25">
      <c r="A1611" s="57" t="s">
        <v>76</v>
      </c>
      <c r="B1611" s="57" t="s">
        <v>131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24"/>
        <v>GIUGNO 2023</v>
      </c>
      <c r="F1611" s="57" t="str">
        <f t="shared" si="1225"/>
        <v>6 GIUGNO 2023</v>
      </c>
      <c r="G1611" s="59">
        <v>15.48</v>
      </c>
      <c r="H1611" s="1338" t="s">
        <v>77</v>
      </c>
      <c r="I1611" s="960"/>
      <c r="J1611" s="59"/>
      <c r="K1611" s="59"/>
    </row>
    <row r="1612" spans="1:11" x14ac:dyDescent="0.25">
      <c r="A1612" s="57" t="s">
        <v>120</v>
      </c>
      <c r="B1612" s="57" t="s">
        <v>131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24"/>
        <v>GIUGNO 2023</v>
      </c>
      <c r="F1612" s="57" t="str">
        <f t="shared" si="1225"/>
        <v>6 GIUGNO 2023</v>
      </c>
      <c r="G1612" s="59">
        <v>81.16</v>
      </c>
      <c r="H1612" s="1338" t="s">
        <v>77</v>
      </c>
      <c r="I1612" s="960"/>
      <c r="J1612" s="59"/>
      <c r="K1612" s="59"/>
    </row>
    <row r="1613" spans="1:11" ht="16.5" customHeight="1" x14ac:dyDescent="0.25">
      <c r="A1613" s="57" t="s">
        <v>121</v>
      </c>
      <c r="B1613" s="57" t="s">
        <v>131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24"/>
        <v>GIUGNO 2023</v>
      </c>
      <c r="F1613" s="57" t="str">
        <f t="shared" si="1225"/>
        <v>6 GIUGNO 2023</v>
      </c>
      <c r="G1613" s="59">
        <v>0.4</v>
      </c>
      <c r="H1613" s="1338" t="s">
        <v>777</v>
      </c>
      <c r="I1613" s="960"/>
      <c r="J1613" s="59"/>
      <c r="K1613" s="59"/>
    </row>
    <row r="1614" spans="1:11" x14ac:dyDescent="0.25">
      <c r="A1614" s="57" t="s">
        <v>1018</v>
      </c>
      <c r="B1614" s="57" t="s">
        <v>131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24"/>
        <v>GIUGNO 2023</v>
      </c>
      <c r="F1614" s="57" t="str">
        <f t="shared" si="1225"/>
        <v>6 GIUGNO 2023</v>
      </c>
      <c r="G1614" s="59">
        <v>15.12</v>
      </c>
      <c r="H1614" s="1338" t="s">
        <v>75</v>
      </c>
      <c r="I1614" s="960" t="s">
        <v>993</v>
      </c>
      <c r="J1614" s="59" t="s">
        <v>768</v>
      </c>
      <c r="K1614" s="59"/>
    </row>
    <row r="1615" spans="1:11" ht="18" customHeight="1" x14ac:dyDescent="0.25">
      <c r="A1615" s="57" t="s">
        <v>1050</v>
      </c>
      <c r="B1615" s="57" t="s">
        <v>131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24"/>
        <v>GIUGNO 2023</v>
      </c>
      <c r="F1615" s="57" t="str">
        <f t="shared" si="1225"/>
        <v>6 GIUGNO 2023</v>
      </c>
      <c r="G1615" s="59">
        <v>39.950000000000003</v>
      </c>
      <c r="H1615" s="1338" t="s">
        <v>185</v>
      </c>
      <c r="I1615" s="960"/>
      <c r="J1615" s="59"/>
      <c r="K1615" s="59" t="s">
        <v>1048</v>
      </c>
    </row>
    <row r="1616" spans="1:11" ht="16.5" customHeight="1" x14ac:dyDescent="0.25">
      <c r="A1616" s="57" t="s">
        <v>239</v>
      </c>
      <c r="B1616" s="57" t="s">
        <v>131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24"/>
        <v>GIUGNO 2023</v>
      </c>
      <c r="F1616" s="57" t="str">
        <f t="shared" si="1225"/>
        <v>6 GIUGNO 2023</v>
      </c>
      <c r="G1616" s="59">
        <v>18</v>
      </c>
      <c r="H1616" s="1338" t="s">
        <v>69</v>
      </c>
      <c r="I1616" s="960"/>
      <c r="J1616" s="59"/>
      <c r="K1616" s="59"/>
    </row>
    <row r="1617" spans="1:11" ht="16.5" customHeight="1" x14ac:dyDescent="0.25">
      <c r="A1617" s="57" t="s">
        <v>240</v>
      </c>
      <c r="B1617" s="57" t="s">
        <v>131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si="1224"/>
        <v>GIUGNO 2023</v>
      </c>
      <c r="F1617" s="57" t="str">
        <f t="shared" si="1225"/>
        <v>6 GIUGNO 2023</v>
      </c>
      <c r="G1617" s="60">
        <v>12.6</v>
      </c>
      <c r="H1617" s="1338" t="s">
        <v>85</v>
      </c>
      <c r="I1617" s="960"/>
      <c r="J1617" s="59"/>
      <c r="K1617" s="59"/>
    </row>
    <row r="1618" spans="1:11" ht="18.600000000000001" customHeight="1" x14ac:dyDescent="0.25">
      <c r="A1618" s="57" t="s">
        <v>108</v>
      </c>
      <c r="B1618" s="57" t="s">
        <v>131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24"/>
        <v>GIUGNO 2023</v>
      </c>
      <c r="F1618" s="57" t="str">
        <f t="shared" si="1225"/>
        <v>6 GIUGNO 2023</v>
      </c>
      <c r="G1618" s="59">
        <v>23</v>
      </c>
      <c r="H1618" s="1338" t="s">
        <v>75</v>
      </c>
      <c r="I1618" s="960"/>
      <c r="J1618" s="57" t="s">
        <v>108</v>
      </c>
      <c r="K1618" s="59"/>
    </row>
    <row r="1619" spans="1:11" ht="16.5" customHeight="1" x14ac:dyDescent="0.25">
      <c r="A1619" s="57" t="s">
        <v>241</v>
      </c>
      <c r="B1619" s="57" t="s">
        <v>131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24"/>
        <v>GIUGNO 2023</v>
      </c>
      <c r="F1619" s="57" t="str">
        <f t="shared" si="1225"/>
        <v>6 GIUGNO 2023</v>
      </c>
      <c r="G1619" s="59">
        <v>20</v>
      </c>
      <c r="H1619" s="1338" t="s">
        <v>69</v>
      </c>
      <c r="I1619" s="960"/>
      <c r="J1619" s="59"/>
      <c r="K1619" s="59"/>
    </row>
    <row r="1620" spans="1:11" ht="16.5" customHeight="1" x14ac:dyDescent="0.25">
      <c r="A1620" s="57" t="s">
        <v>121</v>
      </c>
      <c r="B1620" s="57" t="s">
        <v>131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24"/>
        <v>GIUGNO 2023</v>
      </c>
      <c r="F1620" s="57" t="str">
        <f t="shared" si="1225"/>
        <v>6 GIUGNO 2023</v>
      </c>
      <c r="G1620" s="59">
        <v>0.4</v>
      </c>
      <c r="H1620" s="1338" t="s">
        <v>777</v>
      </c>
      <c r="I1620" s="960"/>
      <c r="J1620" s="59"/>
      <c r="K1620" s="59"/>
    </row>
    <row r="1621" spans="1:11" ht="16.5" customHeight="1" x14ac:dyDescent="0.25">
      <c r="A1621" s="57" t="s">
        <v>79</v>
      </c>
      <c r="B1621" s="57" t="s">
        <v>131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24"/>
        <v>GIUGNO 2023</v>
      </c>
      <c r="F1621" s="57" t="str">
        <f t="shared" si="1225"/>
        <v>6 GIUGNO 2023</v>
      </c>
      <c r="G1621" s="59">
        <v>20.51</v>
      </c>
      <c r="H1621" s="1338" t="s">
        <v>81</v>
      </c>
      <c r="I1621" s="960"/>
      <c r="J1621" s="59"/>
      <c r="K1621" s="59"/>
    </row>
    <row r="1622" spans="1:11" x14ac:dyDescent="0.25">
      <c r="A1622" s="57" t="s">
        <v>121</v>
      </c>
      <c r="B1622" s="57" t="s">
        <v>131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24"/>
        <v>GIUGNO 2023</v>
      </c>
      <c r="F1622" s="57" t="str">
        <f t="shared" si="1225"/>
        <v>6 GIUGNO 2023</v>
      </c>
      <c r="G1622" s="59">
        <v>0.4</v>
      </c>
      <c r="H1622" s="1338" t="s">
        <v>777</v>
      </c>
      <c r="I1622" s="960"/>
      <c r="J1622" s="59"/>
      <c r="K1622" s="59"/>
    </row>
    <row r="1623" spans="1:11" ht="16.5" customHeight="1" x14ac:dyDescent="0.25">
      <c r="A1623" s="57" t="s">
        <v>121</v>
      </c>
      <c r="B1623" s="57" t="s">
        <v>131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24"/>
        <v>GIUGNO 2023</v>
      </c>
      <c r="F1623" s="57" t="str">
        <f t="shared" si="1225"/>
        <v>6 GIUGNO 2023</v>
      </c>
      <c r="G1623" s="59">
        <v>0.4</v>
      </c>
      <c r="H1623" s="1338" t="s">
        <v>777</v>
      </c>
      <c r="I1623" s="960"/>
      <c r="J1623" s="59"/>
      <c r="K1623" s="59"/>
    </row>
    <row r="1624" spans="1:11" ht="16.5" customHeight="1" x14ac:dyDescent="0.25">
      <c r="A1624" s="57" t="s">
        <v>121</v>
      </c>
      <c r="B1624" s="57" t="s">
        <v>131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24"/>
        <v>GIUGNO 2023</v>
      </c>
      <c r="F1624" s="57" t="str">
        <f t="shared" si="1225"/>
        <v>6 GIUGNO 2023</v>
      </c>
      <c r="G1624" s="59">
        <v>0.4</v>
      </c>
      <c r="H1624" s="1338" t="s">
        <v>777</v>
      </c>
      <c r="I1624" s="960"/>
      <c r="J1624" s="59"/>
      <c r="K1624" s="59"/>
    </row>
    <row r="1625" spans="1:11" ht="16.5" customHeight="1" x14ac:dyDescent="0.25">
      <c r="A1625" s="57" t="s">
        <v>113</v>
      </c>
      <c r="B1625" s="57" t="s">
        <v>131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24"/>
        <v>GIUGNO 2023</v>
      </c>
      <c r="F1625" s="57" t="str">
        <f t="shared" si="1225"/>
        <v>6 GIUGNO 2023</v>
      </c>
      <c r="G1625" s="59">
        <v>33</v>
      </c>
      <c r="H1625" s="1338" t="s">
        <v>114</v>
      </c>
      <c r="I1625" s="960"/>
      <c r="J1625" s="59"/>
      <c r="K1625" s="59"/>
    </row>
    <row r="1626" spans="1:11" x14ac:dyDescent="0.25">
      <c r="A1626" s="57" t="s">
        <v>121</v>
      </c>
      <c r="B1626" s="57" t="s">
        <v>131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ref="E1626:E1689" si="1226">CONCATENATE(,B1626," ",C1626)</f>
        <v>GIUGNO 2023</v>
      </c>
      <c r="F1626" s="57" t="str">
        <f t="shared" ref="F1626:F1689" si="1227">CONCATENATE(D1626," ",E1626)</f>
        <v>6 GIUGNO 2023</v>
      </c>
      <c r="G1626" s="59">
        <v>0.4</v>
      </c>
      <c r="H1626" s="1338" t="s">
        <v>777</v>
      </c>
      <c r="I1626" s="960"/>
      <c r="J1626" s="59"/>
      <c r="K1626" s="59"/>
    </row>
    <row r="1627" spans="1:11" x14ac:dyDescent="0.25">
      <c r="A1627" s="57" t="s">
        <v>121</v>
      </c>
      <c r="B1627" s="57" t="s">
        <v>131</v>
      </c>
      <c r="C1627" s="57">
        <v>2023</v>
      </c>
      <c r="D1627" s="58">
        <f>MATCH(B1627,{"GENNAIO","FEBBRAIO","MARZO","APRILE","MAGGIO","GIUGNO","LUGLIO","AGOSTO","SETTEMBRE","OTTOBRE","NOVEMBRE","DICEMBRE"},0)</f>
        <v>6</v>
      </c>
      <c r="E1627" s="57" t="str">
        <f t="shared" si="1226"/>
        <v>GIUGNO 2023</v>
      </c>
      <c r="F1627" s="57" t="str">
        <f t="shared" si="1227"/>
        <v>6 GIUGNO 2023</v>
      </c>
      <c r="G1627" s="59">
        <v>0.4</v>
      </c>
      <c r="H1627" s="1338" t="s">
        <v>777</v>
      </c>
      <c r="I1627" s="960"/>
      <c r="J1627" s="59"/>
      <c r="K1627" s="59"/>
    </row>
    <row r="1628" spans="1:11" ht="18" customHeight="1" x14ac:dyDescent="0.25">
      <c r="A1628" s="57" t="s">
        <v>121</v>
      </c>
      <c r="B1628" s="57" t="s">
        <v>131</v>
      </c>
      <c r="C1628" s="57">
        <v>2023</v>
      </c>
      <c r="D1628" s="58">
        <f>MATCH(B1628,{"GENNAIO","FEBBRAIO","MARZO","APRILE","MAGGIO","GIUGNO","LUGLIO","AGOSTO","SETTEMBRE","OTTOBRE","NOVEMBRE","DICEMBRE"},0)</f>
        <v>6</v>
      </c>
      <c r="E1628" s="57" t="str">
        <f t="shared" si="1226"/>
        <v>GIUGNO 2023</v>
      </c>
      <c r="F1628" s="57" t="str">
        <f t="shared" si="1227"/>
        <v>6 GIUGNO 2023</v>
      </c>
      <c r="G1628" s="59">
        <v>0.4</v>
      </c>
      <c r="H1628" s="1338" t="s">
        <v>777</v>
      </c>
      <c r="I1628" s="960"/>
      <c r="J1628" s="59"/>
      <c r="K1628" s="59"/>
    </row>
    <row r="1629" spans="1:11" ht="18" customHeight="1" x14ac:dyDescent="0.25">
      <c r="A1629" s="57" t="s">
        <v>83</v>
      </c>
      <c r="B1629" s="57" t="s">
        <v>131</v>
      </c>
      <c r="C1629" s="57">
        <v>2023</v>
      </c>
      <c r="D1629" s="58">
        <f>MATCH(B1629,{"GENNAIO","FEBBRAIO","MARZO","APRILE","MAGGIO","GIUGNO","LUGLIO","AGOSTO","SETTEMBRE","OTTOBRE","NOVEMBRE","DICEMBRE"},0)</f>
        <v>6</v>
      </c>
      <c r="E1629" s="57" t="str">
        <f t="shared" si="1226"/>
        <v>GIUGNO 2023</v>
      </c>
      <c r="F1629" s="57" t="str">
        <f t="shared" si="1227"/>
        <v>6 GIUGNO 2023</v>
      </c>
      <c r="G1629" s="59">
        <v>29.68</v>
      </c>
      <c r="H1629" s="1338" t="s">
        <v>77</v>
      </c>
      <c r="I1629" s="960"/>
      <c r="J1629" s="59"/>
      <c r="K1629" s="59"/>
    </row>
    <row r="1630" spans="1:11" ht="18" customHeight="1" x14ac:dyDescent="0.25">
      <c r="A1630" s="57" t="s">
        <v>76</v>
      </c>
      <c r="B1630" s="57" t="s">
        <v>131</v>
      </c>
      <c r="C1630" s="57">
        <v>2023</v>
      </c>
      <c r="D1630" s="58">
        <f>MATCH(B1630,{"GENNAIO","FEBBRAIO","MARZO","APRILE","MAGGIO","GIUGNO","LUGLIO","AGOSTO","SETTEMBRE","OTTOBRE","NOVEMBRE","DICEMBRE"},0)</f>
        <v>6</v>
      </c>
      <c r="E1630" s="57" t="str">
        <f t="shared" si="1226"/>
        <v>GIUGNO 2023</v>
      </c>
      <c r="F1630" s="57" t="str">
        <f t="shared" si="1227"/>
        <v>6 GIUGNO 2023</v>
      </c>
      <c r="G1630" s="59">
        <v>15.7</v>
      </c>
      <c r="H1630" s="1338" t="s">
        <v>77</v>
      </c>
      <c r="I1630" s="960"/>
      <c r="J1630" s="59"/>
      <c r="K1630" s="59"/>
    </row>
    <row r="1631" spans="1:11" ht="16.5" customHeight="1" x14ac:dyDescent="0.25">
      <c r="A1631" s="57" t="s">
        <v>998</v>
      </c>
      <c r="B1631" s="57" t="s">
        <v>131</v>
      </c>
      <c r="C1631" s="57">
        <v>2023</v>
      </c>
      <c r="D1631" s="58">
        <f>MATCH(B1631,{"GENNAIO","FEBBRAIO","MARZO","APRILE","MAGGIO","GIUGNO","LUGLIO","AGOSTO","SETTEMBRE","OTTOBRE","NOVEMBRE","DICEMBRE"},0)</f>
        <v>6</v>
      </c>
      <c r="E1631" s="57" t="str">
        <f t="shared" si="1226"/>
        <v>GIUGNO 2023</v>
      </c>
      <c r="F1631" s="57" t="str">
        <f t="shared" si="1227"/>
        <v>6 GIUGNO 2023</v>
      </c>
      <c r="G1631" s="59">
        <v>37.71</v>
      </c>
      <c r="H1631" s="1338" t="s">
        <v>70</v>
      </c>
      <c r="I1631" s="960" t="s">
        <v>988</v>
      </c>
      <c r="J1631" s="59" t="s">
        <v>768</v>
      </c>
      <c r="K1631" s="59"/>
    </row>
    <row r="1632" spans="1:11" ht="16.5" customHeight="1" x14ac:dyDescent="0.25">
      <c r="A1632" s="57" t="s">
        <v>329</v>
      </c>
      <c r="B1632" s="57" t="s">
        <v>131</v>
      </c>
      <c r="C1632" s="57">
        <v>2023</v>
      </c>
      <c r="D1632" s="58">
        <f>MATCH(B1632,{"GENNAIO","FEBBRAIO","MARZO","APRILE","MAGGIO","GIUGNO","LUGLIO","AGOSTO","SETTEMBRE","OTTOBRE","NOVEMBRE","DICEMBRE"},0)</f>
        <v>6</v>
      </c>
      <c r="E1632" s="57" t="str">
        <f t="shared" si="1226"/>
        <v>GIUGNO 2023</v>
      </c>
      <c r="F1632" s="57" t="str">
        <f t="shared" si="1227"/>
        <v>6 GIUGNO 2023</v>
      </c>
      <c r="G1632" s="59">
        <v>10.49</v>
      </c>
      <c r="H1632" s="1338" t="s">
        <v>137</v>
      </c>
      <c r="I1632" s="960" t="s">
        <v>989</v>
      </c>
      <c r="J1632" s="59" t="s">
        <v>768</v>
      </c>
      <c r="K1632" s="59"/>
    </row>
    <row r="1633" spans="1:11" ht="16.5" customHeight="1" x14ac:dyDescent="0.25">
      <c r="A1633" s="57" t="s">
        <v>108</v>
      </c>
      <c r="B1633" s="57" t="s">
        <v>131</v>
      </c>
      <c r="C1633" s="57">
        <v>2023</v>
      </c>
      <c r="D1633" s="58">
        <f>MATCH(B1633,{"GENNAIO","FEBBRAIO","MARZO","APRILE","MAGGIO","GIUGNO","LUGLIO","AGOSTO","SETTEMBRE","OTTOBRE","NOVEMBRE","DICEMBRE"},0)</f>
        <v>6</v>
      </c>
      <c r="E1633" s="57" t="str">
        <f t="shared" si="1226"/>
        <v>GIUGNO 2023</v>
      </c>
      <c r="F1633" s="57" t="str">
        <f t="shared" si="1227"/>
        <v>6 GIUGNO 2023</v>
      </c>
      <c r="G1633" s="59">
        <v>55.86</v>
      </c>
      <c r="H1633" s="1338" t="s">
        <v>185</v>
      </c>
      <c r="I1633" s="960" t="s">
        <v>1043</v>
      </c>
      <c r="J1633" s="57" t="s">
        <v>108</v>
      </c>
      <c r="K1633" s="59" t="s">
        <v>1032</v>
      </c>
    </row>
    <row r="1634" spans="1:11" ht="16.5" customHeight="1" x14ac:dyDescent="0.25">
      <c r="A1634" s="57" t="s">
        <v>67</v>
      </c>
      <c r="B1634" s="57" t="s">
        <v>131</v>
      </c>
      <c r="C1634" s="57">
        <v>2023</v>
      </c>
      <c r="D1634" s="58">
        <f>MATCH(B1634,{"GENNAIO","FEBBRAIO","MARZO","APRILE","MAGGIO","GIUGNO","LUGLIO","AGOSTO","SETTEMBRE","OTTOBRE","NOVEMBRE","DICEMBRE"},0)</f>
        <v>6</v>
      </c>
      <c r="E1634" s="57" t="str">
        <f t="shared" si="1226"/>
        <v>GIUGNO 2023</v>
      </c>
      <c r="F1634" s="57" t="str">
        <f t="shared" si="1227"/>
        <v>6 GIUGNO 2023</v>
      </c>
      <c r="G1634" s="59">
        <v>3.6</v>
      </c>
      <c r="H1634" s="1338" t="s">
        <v>69</v>
      </c>
      <c r="I1634" s="960"/>
      <c r="J1634" s="59"/>
      <c r="K1634" s="59"/>
    </row>
    <row r="1635" spans="1:11" x14ac:dyDescent="0.25">
      <c r="A1635" s="57" t="s">
        <v>86</v>
      </c>
      <c r="B1635" s="57" t="s">
        <v>131</v>
      </c>
      <c r="C1635" s="57">
        <v>2023</v>
      </c>
      <c r="D1635" s="58">
        <f>MATCH(B1635,{"GENNAIO","FEBBRAIO","MARZO","APRILE","MAGGIO","GIUGNO","LUGLIO","AGOSTO","SETTEMBRE","OTTOBRE","NOVEMBRE","DICEMBRE"},0)</f>
        <v>6</v>
      </c>
      <c r="E1635" s="57" t="str">
        <f t="shared" si="1226"/>
        <v>GIUGNO 2023</v>
      </c>
      <c r="F1635" s="57" t="str">
        <f t="shared" si="1227"/>
        <v>6 GIUGNO 2023</v>
      </c>
      <c r="G1635" s="59">
        <v>30</v>
      </c>
      <c r="H1635" s="1338" t="s">
        <v>69</v>
      </c>
      <c r="I1635" s="960"/>
      <c r="J1635" s="59"/>
      <c r="K1635" s="59"/>
    </row>
    <row r="1636" spans="1:11" ht="16.5" customHeight="1" x14ac:dyDescent="0.25">
      <c r="A1636" s="57" t="s">
        <v>121</v>
      </c>
      <c r="B1636" s="57" t="s">
        <v>143</v>
      </c>
      <c r="C1636" s="57">
        <v>2023</v>
      </c>
      <c r="D1636" s="58">
        <f>MATCH(B1636,{"GENNAIO","FEBBRAIO","MARZO","APRILE","MAGGIO","GIUGNO","LUGLIO","AGOSTO","SETTEMBRE","OTTOBRE","NOVEMBRE","DICEMBRE"},0)</f>
        <v>5</v>
      </c>
      <c r="E1636" s="57" t="str">
        <f t="shared" si="1226"/>
        <v>MAGGIO 2023</v>
      </c>
      <c r="F1636" s="57" t="str">
        <f t="shared" si="1227"/>
        <v>5 MAGGIO 2023</v>
      </c>
      <c r="G1636" s="59">
        <v>0.8</v>
      </c>
      <c r="H1636" s="1338" t="s">
        <v>777</v>
      </c>
      <c r="I1636" s="960"/>
      <c r="J1636" s="59"/>
      <c r="K1636" s="59"/>
    </row>
    <row r="1637" spans="1:11" ht="18" customHeight="1" x14ac:dyDescent="0.25">
      <c r="A1637" s="57" t="s">
        <v>121</v>
      </c>
      <c r="B1637" s="57" t="s">
        <v>143</v>
      </c>
      <c r="C1637" s="57">
        <v>2023</v>
      </c>
      <c r="D1637" s="58">
        <f>MATCH(B1637,{"GENNAIO","FEBBRAIO","MARZO","APRILE","MAGGIO","GIUGNO","LUGLIO","AGOSTO","SETTEMBRE","OTTOBRE","NOVEMBRE","DICEMBRE"},0)</f>
        <v>5</v>
      </c>
      <c r="E1637" s="57" t="str">
        <f t="shared" si="1226"/>
        <v>MAGGIO 2023</v>
      </c>
      <c r="F1637" s="57" t="str">
        <f t="shared" si="1227"/>
        <v>5 MAGGIO 2023</v>
      </c>
      <c r="G1637" s="59">
        <v>0.4</v>
      </c>
      <c r="H1637" s="1338" t="s">
        <v>777</v>
      </c>
      <c r="I1637" s="960"/>
      <c r="J1637" s="59"/>
      <c r="K1637" s="59"/>
    </row>
    <row r="1638" spans="1:11" ht="16.5" customHeight="1" x14ac:dyDescent="0.25">
      <c r="A1638" s="57" t="s">
        <v>76</v>
      </c>
      <c r="B1638" s="57" t="s">
        <v>143</v>
      </c>
      <c r="C1638" s="57">
        <v>2023</v>
      </c>
      <c r="D1638" s="58">
        <f>MATCH(B1638,{"GENNAIO","FEBBRAIO","MARZO","APRILE","MAGGIO","GIUGNO","LUGLIO","AGOSTO","SETTEMBRE","OTTOBRE","NOVEMBRE","DICEMBRE"},0)</f>
        <v>5</v>
      </c>
      <c r="E1638" s="57" t="str">
        <f t="shared" si="1226"/>
        <v>MAGGIO 2023</v>
      </c>
      <c r="F1638" s="57" t="str">
        <f t="shared" si="1227"/>
        <v>5 MAGGIO 2023</v>
      </c>
      <c r="G1638" s="59">
        <v>12.94</v>
      </c>
      <c r="H1638" s="1338" t="s">
        <v>77</v>
      </c>
      <c r="I1638" s="960"/>
      <c r="J1638" s="59"/>
      <c r="K1638" s="59"/>
    </row>
    <row r="1639" spans="1:11" ht="16.5" customHeight="1" x14ac:dyDescent="0.25">
      <c r="A1639" s="57" t="s">
        <v>121</v>
      </c>
      <c r="B1639" s="57" t="s">
        <v>143</v>
      </c>
      <c r="C1639" s="57">
        <v>2023</v>
      </c>
      <c r="D1639" s="58">
        <f>MATCH(B1639,{"GENNAIO","FEBBRAIO","MARZO","APRILE","MAGGIO","GIUGNO","LUGLIO","AGOSTO","SETTEMBRE","OTTOBRE","NOVEMBRE","DICEMBRE"},0)</f>
        <v>5</v>
      </c>
      <c r="E1639" s="57" t="str">
        <f t="shared" si="1226"/>
        <v>MAGGIO 2023</v>
      </c>
      <c r="F1639" s="57" t="str">
        <f t="shared" si="1227"/>
        <v>5 MAGGIO 2023</v>
      </c>
      <c r="G1639" s="59">
        <v>0.4</v>
      </c>
      <c r="H1639" s="1338" t="s">
        <v>777</v>
      </c>
      <c r="I1639" s="960"/>
      <c r="J1639" s="59"/>
      <c r="K1639" s="59"/>
    </row>
    <row r="1640" spans="1:11" ht="16.5" customHeight="1" x14ac:dyDescent="0.25">
      <c r="A1640" s="57" t="s">
        <v>998</v>
      </c>
      <c r="B1640" s="57" t="s">
        <v>143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26"/>
        <v>MAGGIO 2023</v>
      </c>
      <c r="F1640" s="57" t="str">
        <f t="shared" si="1227"/>
        <v>5 MAGGIO 2023</v>
      </c>
      <c r="G1640" s="59">
        <v>37.71</v>
      </c>
      <c r="H1640" s="1338" t="s">
        <v>70</v>
      </c>
      <c r="I1640" s="960" t="s">
        <v>993</v>
      </c>
      <c r="J1640" s="59" t="s">
        <v>768</v>
      </c>
      <c r="K1640" s="59"/>
    </row>
    <row r="1641" spans="1:11" ht="16.5" customHeight="1" x14ac:dyDescent="0.25">
      <c r="A1641" s="57" t="s">
        <v>67</v>
      </c>
      <c r="B1641" s="57" t="s">
        <v>143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26"/>
        <v>MAGGIO 2023</v>
      </c>
      <c r="F1641" s="57" t="str">
        <f t="shared" si="1227"/>
        <v>5 MAGGIO 2023</v>
      </c>
      <c r="G1641" s="59">
        <v>5</v>
      </c>
      <c r="H1641" s="1338" t="s">
        <v>776</v>
      </c>
      <c r="I1641" s="960"/>
      <c r="J1641" s="59"/>
      <c r="K1641" s="59"/>
    </row>
    <row r="1642" spans="1:11" x14ac:dyDescent="0.25">
      <c r="A1642" s="57" t="s">
        <v>121</v>
      </c>
      <c r="B1642" s="57" t="s">
        <v>143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26"/>
        <v>MAGGIO 2023</v>
      </c>
      <c r="F1642" s="57" t="str">
        <f t="shared" si="1227"/>
        <v>5 MAGGIO 2023</v>
      </c>
      <c r="G1642" s="59">
        <v>0.4</v>
      </c>
      <c r="H1642" s="1338" t="s">
        <v>777</v>
      </c>
      <c r="I1642" s="960"/>
      <c r="J1642" s="59"/>
      <c r="K1642" s="59"/>
    </row>
    <row r="1643" spans="1:11" ht="16.5" customHeight="1" x14ac:dyDescent="0.25">
      <c r="A1643" s="57" t="s">
        <v>121</v>
      </c>
      <c r="B1643" s="57" t="s">
        <v>143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26"/>
        <v>MAGGIO 2023</v>
      </c>
      <c r="F1643" s="57" t="str">
        <f t="shared" si="1227"/>
        <v>5 MAGGIO 2023</v>
      </c>
      <c r="G1643" s="59">
        <v>0.4</v>
      </c>
      <c r="H1643" s="1338" t="s">
        <v>777</v>
      </c>
      <c r="I1643" s="960"/>
      <c r="J1643" s="59"/>
      <c r="K1643" s="59"/>
    </row>
    <row r="1644" spans="1:11" x14ac:dyDescent="0.25">
      <c r="A1644" s="57" t="s">
        <v>121</v>
      </c>
      <c r="B1644" s="57" t="s">
        <v>143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26"/>
        <v>MAGGIO 2023</v>
      </c>
      <c r="F1644" s="57" t="str">
        <f t="shared" si="1227"/>
        <v>5 MAGGIO 2023</v>
      </c>
      <c r="G1644" s="59">
        <v>0.4</v>
      </c>
      <c r="H1644" s="1338" t="s">
        <v>777</v>
      </c>
      <c r="I1644" s="960"/>
      <c r="J1644" s="59"/>
      <c r="K1644" s="59"/>
    </row>
    <row r="1645" spans="1:11" ht="18.600000000000001" customHeight="1" x14ac:dyDescent="0.25">
      <c r="A1645" s="57" t="s">
        <v>76</v>
      </c>
      <c r="B1645" s="57" t="s">
        <v>143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26"/>
        <v>MAGGIO 2023</v>
      </c>
      <c r="F1645" s="57" t="str">
        <f t="shared" si="1227"/>
        <v>5 MAGGIO 2023</v>
      </c>
      <c r="G1645" s="59">
        <v>16.41</v>
      </c>
      <c r="H1645" s="1338" t="s">
        <v>77</v>
      </c>
      <c r="I1645" s="960"/>
      <c r="J1645" s="59"/>
      <c r="K1645" s="59"/>
    </row>
    <row r="1646" spans="1:11" ht="18.95" customHeight="1" x14ac:dyDescent="0.25">
      <c r="A1646" s="57" t="s">
        <v>67</v>
      </c>
      <c r="B1646" s="57" t="s">
        <v>143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26"/>
        <v>MAGGIO 2023</v>
      </c>
      <c r="F1646" s="57" t="str">
        <f t="shared" si="1227"/>
        <v>5 MAGGIO 2023</v>
      </c>
      <c r="G1646" s="59">
        <v>3.6</v>
      </c>
      <c r="H1646" s="1338" t="s">
        <v>69</v>
      </c>
      <c r="I1646" s="960"/>
      <c r="J1646" s="59"/>
      <c r="K1646" s="59"/>
    </row>
    <row r="1647" spans="1:11" x14ac:dyDescent="0.25">
      <c r="A1647" s="57" t="s">
        <v>83</v>
      </c>
      <c r="B1647" s="57" t="s">
        <v>143</v>
      </c>
      <c r="C1647" s="57">
        <v>2023</v>
      </c>
      <c r="D1647" s="58">
        <f>MATCH(B1647,{"GENNAIO","FEBBRAIO","MARZO","APRILE","MAGGIO","GIUGNO","LUGLIO","AGOSTO","SETTEMBRE","OTTOBRE","NOVEMBRE","DICEMBRE"},0)</f>
        <v>5</v>
      </c>
      <c r="E1647" s="57" t="str">
        <f t="shared" si="1226"/>
        <v>MAGGIO 2023</v>
      </c>
      <c r="F1647" s="57" t="str">
        <f t="shared" si="1227"/>
        <v>5 MAGGIO 2023</v>
      </c>
      <c r="G1647" s="59">
        <v>16.14</v>
      </c>
      <c r="H1647" s="1338" t="s">
        <v>77</v>
      </c>
      <c r="I1647" s="960"/>
      <c r="J1647" s="59"/>
      <c r="K1647" s="59"/>
    </row>
    <row r="1648" spans="1:11" ht="18" customHeight="1" x14ac:dyDescent="0.25">
      <c r="A1648" s="57" t="s">
        <v>79</v>
      </c>
      <c r="B1648" s="57" t="s">
        <v>143</v>
      </c>
      <c r="C1648" s="57">
        <v>2023</v>
      </c>
      <c r="D1648" s="58">
        <f>MATCH(B1648,{"GENNAIO","FEBBRAIO","MARZO","APRILE","MAGGIO","GIUGNO","LUGLIO","AGOSTO","SETTEMBRE","OTTOBRE","NOVEMBRE","DICEMBRE"},0)</f>
        <v>5</v>
      </c>
      <c r="E1648" s="57" t="str">
        <f t="shared" si="1226"/>
        <v>MAGGIO 2023</v>
      </c>
      <c r="F1648" s="57" t="str">
        <f t="shared" si="1227"/>
        <v>5 MAGGIO 2023</v>
      </c>
      <c r="G1648" s="59">
        <v>12.3</v>
      </c>
      <c r="H1648" s="1338" t="s">
        <v>81</v>
      </c>
      <c r="I1648" s="960"/>
      <c r="J1648" s="59"/>
      <c r="K1648" s="59"/>
    </row>
    <row r="1649" spans="1:11" ht="16.5" customHeight="1" x14ac:dyDescent="0.25">
      <c r="A1649" s="57" t="s">
        <v>242</v>
      </c>
      <c r="B1649" s="57" t="s">
        <v>143</v>
      </c>
      <c r="C1649" s="57">
        <v>2023</v>
      </c>
      <c r="D1649" s="58">
        <f>MATCH(B1649,{"GENNAIO","FEBBRAIO","MARZO","APRILE","MAGGIO","GIUGNO","LUGLIO","AGOSTO","SETTEMBRE","OTTOBRE","NOVEMBRE","DICEMBRE"},0)</f>
        <v>5</v>
      </c>
      <c r="E1649" s="57" t="str">
        <f t="shared" si="1226"/>
        <v>MAGGIO 2023</v>
      </c>
      <c r="F1649" s="57" t="str">
        <f t="shared" si="1227"/>
        <v>5 MAGGIO 2023</v>
      </c>
      <c r="G1649" s="59">
        <v>25</v>
      </c>
      <c r="H1649" s="1338" t="s">
        <v>74</v>
      </c>
      <c r="I1649" s="960"/>
      <c r="J1649" s="59"/>
      <c r="K1649" s="59"/>
    </row>
    <row r="1650" spans="1:11" x14ac:dyDescent="0.25">
      <c r="A1650" s="57" t="s">
        <v>108</v>
      </c>
      <c r="B1650" s="57" t="s">
        <v>143</v>
      </c>
      <c r="C1650" s="57">
        <v>2023</v>
      </c>
      <c r="D1650" s="58">
        <f>MATCH(B1650,{"GENNAIO","FEBBRAIO","MARZO","APRILE","MAGGIO","GIUGNO","LUGLIO","AGOSTO","SETTEMBRE","OTTOBRE","NOVEMBRE","DICEMBRE"},0)</f>
        <v>5</v>
      </c>
      <c r="E1650" s="57" t="str">
        <f t="shared" si="1226"/>
        <v>MAGGIO 2023</v>
      </c>
      <c r="F1650" s="57" t="str">
        <f t="shared" si="1227"/>
        <v>5 MAGGIO 2023</v>
      </c>
      <c r="G1650" s="59">
        <v>27.2</v>
      </c>
      <c r="H1650" s="1338" t="s">
        <v>75</v>
      </c>
      <c r="I1650" s="960"/>
      <c r="J1650" s="57" t="s">
        <v>108</v>
      </c>
      <c r="K1650" s="59"/>
    </row>
    <row r="1651" spans="1:11" ht="16.5" customHeight="1" x14ac:dyDescent="0.25">
      <c r="A1651" s="57" t="s">
        <v>1019</v>
      </c>
      <c r="B1651" s="57" t="s">
        <v>143</v>
      </c>
      <c r="C1651" s="57">
        <v>2023</v>
      </c>
      <c r="D1651" s="58">
        <f>MATCH(B1651,{"GENNAIO","FEBBRAIO","MARZO","APRILE","MAGGIO","GIUGNO","LUGLIO","AGOSTO","SETTEMBRE","OTTOBRE","NOVEMBRE","DICEMBRE"},0)</f>
        <v>5</v>
      </c>
      <c r="E1651" s="57" t="str">
        <f t="shared" si="1226"/>
        <v>MAGGIO 2023</v>
      </c>
      <c r="F1651" s="57" t="str">
        <f t="shared" si="1227"/>
        <v>5 MAGGIO 2023</v>
      </c>
      <c r="G1651" s="59">
        <v>19.18</v>
      </c>
      <c r="H1651" s="1338" t="s">
        <v>75</v>
      </c>
      <c r="I1651" s="960"/>
      <c r="J1651" s="59" t="s">
        <v>768</v>
      </c>
      <c r="K1651" s="59"/>
    </row>
    <row r="1652" spans="1:11" ht="18" customHeight="1" x14ac:dyDescent="0.25">
      <c r="A1652" s="57" t="s">
        <v>243</v>
      </c>
      <c r="B1652" s="57" t="s">
        <v>143</v>
      </c>
      <c r="C1652" s="57">
        <v>2023</v>
      </c>
      <c r="D1652" s="58">
        <f>MATCH(B1652,{"GENNAIO","FEBBRAIO","MARZO","APRILE","MAGGIO","GIUGNO","LUGLIO","AGOSTO","SETTEMBRE","OTTOBRE","NOVEMBRE","DICEMBRE"},0)</f>
        <v>5</v>
      </c>
      <c r="E1652" s="57" t="str">
        <f t="shared" si="1226"/>
        <v>MAGGIO 2023</v>
      </c>
      <c r="F1652" s="57" t="str">
        <f t="shared" si="1227"/>
        <v>5 MAGGIO 2023</v>
      </c>
      <c r="G1652" s="59">
        <v>52.5</v>
      </c>
      <c r="H1652" s="1338" t="s">
        <v>69</v>
      </c>
      <c r="I1652" s="960"/>
      <c r="J1652" s="59"/>
      <c r="K1652" s="59"/>
    </row>
    <row r="1653" spans="1:11" ht="18" customHeight="1" x14ac:dyDescent="0.25">
      <c r="A1653" s="57" t="s">
        <v>76</v>
      </c>
      <c r="B1653" s="57" t="s">
        <v>143</v>
      </c>
      <c r="C1653" s="57">
        <v>2023</v>
      </c>
      <c r="D1653" s="58">
        <f>MATCH(B1653,{"GENNAIO","FEBBRAIO","MARZO","APRILE","MAGGIO","GIUGNO","LUGLIO","AGOSTO","SETTEMBRE","OTTOBRE","NOVEMBRE","DICEMBRE"},0)</f>
        <v>5</v>
      </c>
      <c r="E1653" s="57" t="str">
        <f t="shared" si="1226"/>
        <v>MAGGIO 2023</v>
      </c>
      <c r="F1653" s="57" t="str">
        <f t="shared" si="1227"/>
        <v>5 MAGGIO 2023</v>
      </c>
      <c r="G1653" s="59">
        <v>18.77</v>
      </c>
      <c r="H1653" s="1338" t="s">
        <v>77</v>
      </c>
      <c r="I1653" s="960"/>
      <c r="J1653" s="59"/>
      <c r="K1653" s="59"/>
    </row>
    <row r="1654" spans="1:11" x14ac:dyDescent="0.25">
      <c r="A1654" s="57" t="s">
        <v>67</v>
      </c>
      <c r="B1654" s="57" t="s">
        <v>143</v>
      </c>
      <c r="C1654" s="57">
        <v>2023</v>
      </c>
      <c r="D1654" s="58">
        <f>MATCH(B1654,{"GENNAIO","FEBBRAIO","MARZO","APRILE","MAGGIO","GIUGNO","LUGLIO","AGOSTO","SETTEMBRE","OTTOBRE","NOVEMBRE","DICEMBRE"},0)</f>
        <v>5</v>
      </c>
      <c r="E1654" s="57" t="str">
        <f t="shared" si="1226"/>
        <v>MAGGIO 2023</v>
      </c>
      <c r="F1654" s="57" t="str">
        <f t="shared" si="1227"/>
        <v>5 MAGGIO 2023</v>
      </c>
      <c r="G1654" s="59">
        <v>5</v>
      </c>
      <c r="H1654" s="1338" t="s">
        <v>776</v>
      </c>
      <c r="I1654" s="960"/>
      <c r="J1654" s="59"/>
      <c r="K1654" s="59"/>
    </row>
    <row r="1655" spans="1:11" ht="16.5" customHeight="1" x14ac:dyDescent="0.25">
      <c r="A1655" s="57" t="s">
        <v>329</v>
      </c>
      <c r="B1655" s="57" t="s">
        <v>143</v>
      </c>
      <c r="C1655" s="57">
        <v>2023</v>
      </c>
      <c r="D1655" s="58">
        <f>MATCH(B1655,{"GENNAIO","FEBBRAIO","MARZO","APRILE","MAGGIO","GIUGNO","LUGLIO","AGOSTO","SETTEMBRE","OTTOBRE","NOVEMBRE","DICEMBRE"},0)</f>
        <v>5</v>
      </c>
      <c r="E1655" s="57" t="str">
        <f t="shared" si="1226"/>
        <v>MAGGIO 2023</v>
      </c>
      <c r="F1655" s="57" t="str">
        <f t="shared" si="1227"/>
        <v>5 MAGGIO 2023</v>
      </c>
      <c r="G1655" s="59">
        <v>10.49</v>
      </c>
      <c r="H1655" s="1338" t="s">
        <v>137</v>
      </c>
      <c r="I1655" s="960" t="s">
        <v>988</v>
      </c>
      <c r="J1655" s="59" t="s">
        <v>768</v>
      </c>
      <c r="K1655" s="59"/>
    </row>
    <row r="1656" spans="1:11" ht="16.5" customHeight="1" x14ac:dyDescent="0.25">
      <c r="A1656" s="57" t="s">
        <v>108</v>
      </c>
      <c r="B1656" s="57" t="s">
        <v>143</v>
      </c>
      <c r="C1656" s="57">
        <v>2023</v>
      </c>
      <c r="D1656" s="58">
        <f>MATCH(B1656,{"GENNAIO","FEBBRAIO","MARZO","APRILE","MAGGIO","GIUGNO","LUGLIO","AGOSTO","SETTEMBRE","OTTOBRE","NOVEMBRE","DICEMBRE"},0)</f>
        <v>5</v>
      </c>
      <c r="E1656" s="57" t="str">
        <f t="shared" si="1226"/>
        <v>MAGGIO 2023</v>
      </c>
      <c r="F1656" s="57" t="str">
        <f t="shared" si="1227"/>
        <v>5 MAGGIO 2023</v>
      </c>
      <c r="G1656" s="59">
        <v>55.86</v>
      </c>
      <c r="H1656" s="1338" t="s">
        <v>185</v>
      </c>
      <c r="I1656" s="960" t="s">
        <v>1044</v>
      </c>
      <c r="J1656" s="57" t="s">
        <v>108</v>
      </c>
      <c r="K1656" s="59" t="s">
        <v>1032</v>
      </c>
    </row>
    <row r="1657" spans="1:11" ht="16.5" customHeight="1" x14ac:dyDescent="0.25">
      <c r="A1657" s="57" t="s">
        <v>108</v>
      </c>
      <c r="B1657" s="57" t="s">
        <v>143</v>
      </c>
      <c r="C1657" s="57">
        <v>2023</v>
      </c>
      <c r="D1657" s="58">
        <f>MATCH(B1657,{"GENNAIO","FEBBRAIO","MARZO","APRILE","MAGGIO","GIUGNO","LUGLIO","AGOSTO","SETTEMBRE","OTTOBRE","NOVEMBRE","DICEMBRE"},0)</f>
        <v>5</v>
      </c>
      <c r="E1657" s="57" t="str">
        <f t="shared" si="1226"/>
        <v>MAGGIO 2023</v>
      </c>
      <c r="F1657" s="57" t="str">
        <f t="shared" si="1227"/>
        <v>5 MAGGIO 2023</v>
      </c>
      <c r="G1657" s="59">
        <v>40.98</v>
      </c>
      <c r="H1657" s="1338" t="s">
        <v>75</v>
      </c>
      <c r="I1657" s="960"/>
      <c r="J1657" s="57" t="s">
        <v>108</v>
      </c>
      <c r="K1657" s="59"/>
    </row>
    <row r="1658" spans="1:11" ht="16.5" customHeight="1" x14ac:dyDescent="0.25">
      <c r="A1658" s="57" t="s">
        <v>244</v>
      </c>
      <c r="B1658" s="57" t="s">
        <v>159</v>
      </c>
      <c r="C1658" s="57">
        <v>2023</v>
      </c>
      <c r="D1658" s="58">
        <f>MATCH(B1658,{"GENNAIO","FEBBRAIO","MARZO","APRILE","MAGGIO","GIUGNO","LUGLIO","AGOSTO","SETTEMBRE","OTTOBRE","NOVEMBRE","DICEMBRE"},0)</f>
        <v>4</v>
      </c>
      <c r="E1658" s="57" t="str">
        <f t="shared" si="1226"/>
        <v>APRILE 2023</v>
      </c>
      <c r="F1658" s="57" t="str">
        <f t="shared" si="1227"/>
        <v>4 APRILE 2023</v>
      </c>
      <c r="G1658" s="59">
        <v>10</v>
      </c>
      <c r="H1658" s="1338" t="s">
        <v>69</v>
      </c>
      <c r="I1658" s="960"/>
      <c r="J1658" s="59"/>
      <c r="K1658" s="59"/>
    </row>
    <row r="1659" spans="1:11" ht="16.5" customHeight="1" x14ac:dyDescent="0.25">
      <c r="A1659" s="57" t="s">
        <v>245</v>
      </c>
      <c r="B1659" s="57" t="s">
        <v>159</v>
      </c>
      <c r="C1659" s="57">
        <v>2023</v>
      </c>
      <c r="D1659" s="58">
        <f>MATCH(B1659,{"GENNAIO","FEBBRAIO","MARZO","APRILE","MAGGIO","GIUGNO","LUGLIO","AGOSTO","SETTEMBRE","OTTOBRE","NOVEMBRE","DICEMBRE"},0)</f>
        <v>4</v>
      </c>
      <c r="E1659" s="57" t="str">
        <f t="shared" si="1226"/>
        <v>APRILE 2023</v>
      </c>
      <c r="F1659" s="57" t="str">
        <f t="shared" si="1227"/>
        <v>4 APRILE 2023</v>
      </c>
      <c r="G1659" s="59">
        <v>12</v>
      </c>
      <c r="H1659" s="1338" t="s">
        <v>69</v>
      </c>
      <c r="I1659" s="960"/>
      <c r="J1659" s="59"/>
      <c r="K1659" s="59"/>
    </row>
    <row r="1660" spans="1:11" ht="16.5" customHeight="1" x14ac:dyDescent="0.25">
      <c r="A1660" s="57" t="s">
        <v>121</v>
      </c>
      <c r="B1660" s="57" t="s">
        <v>159</v>
      </c>
      <c r="C1660" s="57">
        <v>2023</v>
      </c>
      <c r="D1660" s="58">
        <f>MATCH(B1660,{"GENNAIO","FEBBRAIO","MARZO","APRILE","MAGGIO","GIUGNO","LUGLIO","AGOSTO","SETTEMBRE","OTTOBRE","NOVEMBRE","DICEMBRE"},0)</f>
        <v>4</v>
      </c>
      <c r="E1660" s="57" t="str">
        <f t="shared" si="1226"/>
        <v>APRILE 2023</v>
      </c>
      <c r="F1660" s="57" t="str">
        <f t="shared" si="1227"/>
        <v>4 APRILE 2023</v>
      </c>
      <c r="G1660" s="59">
        <v>0.4</v>
      </c>
      <c r="H1660" s="1338" t="s">
        <v>777</v>
      </c>
      <c r="I1660" s="960"/>
      <c r="J1660" s="59"/>
      <c r="K1660" s="59"/>
    </row>
    <row r="1661" spans="1:11" x14ac:dyDescent="0.25">
      <c r="A1661" s="57" t="s">
        <v>67</v>
      </c>
      <c r="B1661" s="57" t="s">
        <v>159</v>
      </c>
      <c r="C1661" s="57">
        <v>2023</v>
      </c>
      <c r="D1661" s="58">
        <f>MATCH(B1661,{"GENNAIO","FEBBRAIO","MARZO","APRILE","MAGGIO","GIUGNO","LUGLIO","AGOSTO","SETTEMBRE","OTTOBRE","NOVEMBRE","DICEMBRE"},0)</f>
        <v>4</v>
      </c>
      <c r="E1661" s="57" t="str">
        <f t="shared" si="1226"/>
        <v>APRILE 2023</v>
      </c>
      <c r="F1661" s="57" t="str">
        <f t="shared" si="1227"/>
        <v>4 APRILE 2023</v>
      </c>
      <c r="G1661" s="59">
        <v>5</v>
      </c>
      <c r="H1661" s="1338" t="s">
        <v>776</v>
      </c>
      <c r="I1661" s="960"/>
      <c r="J1661" s="59"/>
      <c r="K1661" s="59"/>
    </row>
    <row r="1662" spans="1:11" ht="18.600000000000001" customHeight="1" x14ac:dyDescent="0.25">
      <c r="A1662" s="57" t="s">
        <v>246</v>
      </c>
      <c r="B1662" s="57" t="s">
        <v>159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26"/>
        <v>APRILE 2023</v>
      </c>
      <c r="F1662" s="57" t="str">
        <f t="shared" si="1227"/>
        <v>4 APRILE 2023</v>
      </c>
      <c r="G1662" s="59">
        <v>22</v>
      </c>
      <c r="H1662" s="1338" t="s">
        <v>69</v>
      </c>
      <c r="I1662" s="960"/>
      <c r="J1662" s="59"/>
      <c r="K1662" s="59"/>
    </row>
    <row r="1663" spans="1:11" x14ac:dyDescent="0.25">
      <c r="A1663" s="57" t="s">
        <v>121</v>
      </c>
      <c r="B1663" s="57" t="s">
        <v>159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26"/>
        <v>APRILE 2023</v>
      </c>
      <c r="F1663" s="57" t="str">
        <f t="shared" si="1227"/>
        <v>4 APRILE 2023</v>
      </c>
      <c r="G1663" s="59">
        <v>0.4</v>
      </c>
      <c r="H1663" s="1338" t="s">
        <v>777</v>
      </c>
      <c r="I1663" s="960"/>
      <c r="J1663" s="59"/>
      <c r="K1663" s="59"/>
    </row>
    <row r="1664" spans="1:11" ht="16.5" customHeight="1" x14ac:dyDescent="0.25">
      <c r="A1664" s="57" t="s">
        <v>76</v>
      </c>
      <c r="B1664" s="57" t="s">
        <v>159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26"/>
        <v>APRILE 2023</v>
      </c>
      <c r="F1664" s="57" t="str">
        <f t="shared" si="1227"/>
        <v>4 APRILE 2023</v>
      </c>
      <c r="G1664" s="59">
        <v>10.63</v>
      </c>
      <c r="H1664" s="1338" t="s">
        <v>77</v>
      </c>
      <c r="I1664" s="960"/>
      <c r="J1664" s="59"/>
      <c r="K1664" s="59"/>
    </row>
    <row r="1665" spans="1:11" ht="16.5" customHeight="1" x14ac:dyDescent="0.25">
      <c r="A1665" s="57" t="s">
        <v>247</v>
      </c>
      <c r="B1665" s="57" t="s">
        <v>159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26"/>
        <v>APRILE 2023</v>
      </c>
      <c r="F1665" s="57" t="str">
        <f t="shared" si="1227"/>
        <v>4 APRILE 2023</v>
      </c>
      <c r="G1665" s="59">
        <v>3.4</v>
      </c>
      <c r="H1665" s="1338" t="s">
        <v>77</v>
      </c>
      <c r="I1665" s="960"/>
      <c r="J1665" s="59"/>
      <c r="K1665" s="59"/>
    </row>
    <row r="1666" spans="1:11" x14ac:dyDescent="0.25">
      <c r="A1666" s="57" t="s">
        <v>76</v>
      </c>
      <c r="B1666" s="57" t="s">
        <v>159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26"/>
        <v>APRILE 2023</v>
      </c>
      <c r="F1666" s="57" t="str">
        <f t="shared" si="1227"/>
        <v>4 APRILE 2023</v>
      </c>
      <c r="G1666" s="59">
        <v>9.93</v>
      </c>
      <c r="H1666" s="1338" t="s">
        <v>77</v>
      </c>
      <c r="I1666" s="960"/>
      <c r="J1666" s="59"/>
      <c r="K1666" s="59"/>
    </row>
    <row r="1667" spans="1:11" x14ac:dyDescent="0.25">
      <c r="A1667" s="57" t="s">
        <v>121</v>
      </c>
      <c r="B1667" s="57" t="s">
        <v>159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26"/>
        <v>APRILE 2023</v>
      </c>
      <c r="F1667" s="57" t="str">
        <f t="shared" si="1227"/>
        <v>4 APRILE 2023</v>
      </c>
      <c r="G1667" s="59">
        <v>0.4</v>
      </c>
      <c r="H1667" s="1338" t="s">
        <v>777</v>
      </c>
      <c r="I1667" s="960"/>
      <c r="J1667" s="59"/>
      <c r="K1667" s="59"/>
    </row>
    <row r="1668" spans="1:11" ht="18" customHeight="1" x14ac:dyDescent="0.25">
      <c r="A1668" s="57" t="s">
        <v>82</v>
      </c>
      <c r="B1668" s="57" t="s">
        <v>159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26"/>
        <v>APRILE 2023</v>
      </c>
      <c r="F1668" s="57" t="str">
        <f t="shared" si="1227"/>
        <v>4 APRILE 2023</v>
      </c>
      <c r="G1668" s="59">
        <v>31.6</v>
      </c>
      <c r="H1668" s="1338" t="s">
        <v>69</v>
      </c>
      <c r="I1668" s="960"/>
      <c r="J1668" s="59"/>
      <c r="K1668" s="59"/>
    </row>
    <row r="1669" spans="1:11" x14ac:dyDescent="0.25">
      <c r="A1669" s="57" t="s">
        <v>113</v>
      </c>
      <c r="B1669" s="57" t="s">
        <v>159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26"/>
        <v>APRILE 2023</v>
      </c>
      <c r="F1669" s="57" t="str">
        <f t="shared" si="1227"/>
        <v>4 APRILE 2023</v>
      </c>
      <c r="G1669" s="59">
        <v>33</v>
      </c>
      <c r="H1669" s="1338" t="s">
        <v>114</v>
      </c>
      <c r="I1669" s="960"/>
      <c r="J1669" s="59"/>
      <c r="K1669" s="59"/>
    </row>
    <row r="1670" spans="1:11" ht="16.5" customHeight="1" x14ac:dyDescent="0.25">
      <c r="A1670" s="57" t="s">
        <v>248</v>
      </c>
      <c r="B1670" s="57" t="s">
        <v>159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26"/>
        <v>APRILE 2023</v>
      </c>
      <c r="F1670" s="57" t="str">
        <f t="shared" si="1227"/>
        <v>4 APRILE 2023</v>
      </c>
      <c r="G1670" s="59">
        <v>16.43</v>
      </c>
      <c r="H1670" s="1338" t="s">
        <v>77</v>
      </c>
      <c r="I1670" s="960"/>
      <c r="J1670" s="59"/>
      <c r="K1670" s="59"/>
    </row>
    <row r="1671" spans="1:11" ht="16.5" customHeight="1" x14ac:dyDescent="0.25">
      <c r="A1671" s="57" t="s">
        <v>329</v>
      </c>
      <c r="B1671" s="57" t="s">
        <v>159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26"/>
        <v>APRILE 2023</v>
      </c>
      <c r="F1671" s="57" t="str">
        <f t="shared" si="1227"/>
        <v>4 APRILE 2023</v>
      </c>
      <c r="G1671" s="59">
        <v>10.49</v>
      </c>
      <c r="H1671" s="1338" t="s">
        <v>137</v>
      </c>
      <c r="I1671" s="960" t="s">
        <v>993</v>
      </c>
      <c r="J1671" s="59" t="s">
        <v>768</v>
      </c>
      <c r="K1671" s="59"/>
    </row>
    <row r="1672" spans="1:11" ht="18.600000000000001" customHeight="1" x14ac:dyDescent="0.25">
      <c r="A1672" s="57" t="s">
        <v>249</v>
      </c>
      <c r="B1672" s="57" t="s">
        <v>159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26"/>
        <v>APRILE 2023</v>
      </c>
      <c r="F1672" s="57" t="str">
        <f t="shared" si="1227"/>
        <v>4 APRILE 2023</v>
      </c>
      <c r="G1672" s="59">
        <v>3.69</v>
      </c>
      <c r="H1672" s="1338" t="s">
        <v>77</v>
      </c>
      <c r="I1672" s="960"/>
      <c r="J1672" s="59"/>
      <c r="K1672" s="59"/>
    </row>
    <row r="1673" spans="1:11" ht="16.5" customHeight="1" x14ac:dyDescent="0.25">
      <c r="A1673" s="57" t="s">
        <v>116</v>
      </c>
      <c r="B1673" s="57" t="s">
        <v>159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26"/>
        <v>APRILE 2023</v>
      </c>
      <c r="F1673" s="57" t="str">
        <f t="shared" si="1227"/>
        <v>4 APRILE 2023</v>
      </c>
      <c r="G1673" s="59">
        <v>5.16</v>
      </c>
      <c r="H1673" s="1338" t="s">
        <v>69</v>
      </c>
      <c r="I1673" s="960"/>
      <c r="J1673" s="59"/>
      <c r="K1673" s="59"/>
    </row>
    <row r="1674" spans="1:11" ht="16.5" customHeight="1" x14ac:dyDescent="0.25">
      <c r="A1674" s="57" t="s">
        <v>116</v>
      </c>
      <c r="B1674" s="57" t="s">
        <v>159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26"/>
        <v>APRILE 2023</v>
      </c>
      <c r="F1674" s="57" t="str">
        <f t="shared" si="1227"/>
        <v>4 APRILE 2023</v>
      </c>
      <c r="G1674" s="59">
        <v>5.16</v>
      </c>
      <c r="H1674" s="1338" t="s">
        <v>69</v>
      </c>
      <c r="I1674" s="960"/>
      <c r="J1674" s="59"/>
      <c r="K1674" s="59"/>
    </row>
    <row r="1675" spans="1:11" x14ac:dyDescent="0.25">
      <c r="A1675" s="57" t="s">
        <v>79</v>
      </c>
      <c r="B1675" s="57" t="s">
        <v>159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26"/>
        <v>APRILE 2023</v>
      </c>
      <c r="F1675" s="57" t="str">
        <f t="shared" si="1227"/>
        <v>4 APRILE 2023</v>
      </c>
      <c r="G1675" s="59">
        <v>17.600000000000001</v>
      </c>
      <c r="H1675" s="1338" t="s">
        <v>81</v>
      </c>
      <c r="I1675" s="960"/>
      <c r="J1675" s="59"/>
      <c r="K1675" s="59"/>
    </row>
    <row r="1676" spans="1:11" ht="16.5" customHeight="1" x14ac:dyDescent="0.25">
      <c r="A1676" s="57" t="s">
        <v>67</v>
      </c>
      <c r="B1676" s="57" t="s">
        <v>159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26"/>
        <v>APRILE 2023</v>
      </c>
      <c r="F1676" s="57" t="str">
        <f t="shared" si="1227"/>
        <v>4 APRILE 2023</v>
      </c>
      <c r="G1676" s="59">
        <v>5</v>
      </c>
      <c r="H1676" s="1338" t="s">
        <v>776</v>
      </c>
      <c r="I1676" s="960"/>
      <c r="J1676" s="59"/>
      <c r="K1676" s="59"/>
    </row>
    <row r="1677" spans="1:11" ht="16.5" customHeight="1" x14ac:dyDescent="0.25">
      <c r="A1677" s="57" t="s">
        <v>121</v>
      </c>
      <c r="B1677" s="57" t="s">
        <v>159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26"/>
        <v>APRILE 2023</v>
      </c>
      <c r="F1677" s="57" t="str">
        <f t="shared" si="1227"/>
        <v>4 APRILE 2023</v>
      </c>
      <c r="G1677" s="59">
        <v>0.4</v>
      </c>
      <c r="H1677" s="1338" t="s">
        <v>777</v>
      </c>
      <c r="I1677" s="960"/>
      <c r="J1677" s="59"/>
      <c r="K1677" s="59"/>
    </row>
    <row r="1678" spans="1:11" ht="16.5" customHeight="1" x14ac:dyDescent="0.25">
      <c r="A1678" s="57" t="s">
        <v>76</v>
      </c>
      <c r="B1678" s="57" t="s">
        <v>159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26"/>
        <v>APRILE 2023</v>
      </c>
      <c r="F1678" s="57" t="str">
        <f t="shared" si="1227"/>
        <v>4 APRILE 2023</v>
      </c>
      <c r="G1678" s="59">
        <v>31.84</v>
      </c>
      <c r="H1678" s="1338" t="s">
        <v>77</v>
      </c>
      <c r="I1678" s="960"/>
      <c r="J1678" s="59"/>
      <c r="K1678" s="59"/>
    </row>
    <row r="1679" spans="1:11" ht="16.5" customHeight="1" x14ac:dyDescent="0.25">
      <c r="A1679" s="57" t="s">
        <v>121</v>
      </c>
      <c r="B1679" s="57" t="s">
        <v>159</v>
      </c>
      <c r="C1679" s="57">
        <v>2023</v>
      </c>
      <c r="D1679" s="58">
        <f>MATCH(B1679,{"GENNAIO","FEBBRAIO","MARZO","APRILE","MAGGIO","GIUGNO","LUGLIO","AGOSTO","SETTEMBRE","OTTOBRE","NOVEMBRE","DICEMBRE"},0)</f>
        <v>4</v>
      </c>
      <c r="E1679" s="57" t="str">
        <f t="shared" si="1226"/>
        <v>APRILE 2023</v>
      </c>
      <c r="F1679" s="57" t="str">
        <f t="shared" si="1227"/>
        <v>4 APRILE 2023</v>
      </c>
      <c r="G1679" s="59">
        <v>0.4</v>
      </c>
      <c r="H1679" s="1338" t="s">
        <v>777</v>
      </c>
      <c r="I1679" s="960"/>
      <c r="J1679" s="59"/>
      <c r="K1679" s="59"/>
    </row>
    <row r="1680" spans="1:11" x14ac:dyDescent="0.25">
      <c r="A1680" s="57" t="s">
        <v>121</v>
      </c>
      <c r="B1680" s="57" t="s">
        <v>159</v>
      </c>
      <c r="C1680" s="57">
        <v>2023</v>
      </c>
      <c r="D1680" s="58">
        <f>MATCH(B1680,{"GENNAIO","FEBBRAIO","MARZO","APRILE","MAGGIO","GIUGNO","LUGLIO","AGOSTO","SETTEMBRE","OTTOBRE","NOVEMBRE","DICEMBRE"},0)</f>
        <v>4</v>
      </c>
      <c r="E1680" s="57" t="str">
        <f t="shared" si="1226"/>
        <v>APRILE 2023</v>
      </c>
      <c r="F1680" s="57" t="str">
        <f t="shared" si="1227"/>
        <v>4 APRILE 2023</v>
      </c>
      <c r="G1680" s="59">
        <v>0.4</v>
      </c>
      <c r="H1680" s="1338" t="s">
        <v>777</v>
      </c>
      <c r="I1680" s="960"/>
      <c r="J1680" s="59"/>
      <c r="K1680" s="59"/>
    </row>
    <row r="1681" spans="1:11" ht="18" customHeight="1" x14ac:dyDescent="0.25">
      <c r="A1681" s="57" t="s">
        <v>121</v>
      </c>
      <c r="B1681" s="57" t="s">
        <v>159</v>
      </c>
      <c r="C1681" s="57">
        <v>2023</v>
      </c>
      <c r="D1681" s="58">
        <f>MATCH(B1681,{"GENNAIO","FEBBRAIO","MARZO","APRILE","MAGGIO","GIUGNO","LUGLIO","AGOSTO","SETTEMBRE","OTTOBRE","NOVEMBRE","DICEMBRE"},0)</f>
        <v>4</v>
      </c>
      <c r="E1681" s="57" t="str">
        <f t="shared" si="1226"/>
        <v>APRILE 2023</v>
      </c>
      <c r="F1681" s="57" t="str">
        <f t="shared" si="1227"/>
        <v>4 APRILE 2023</v>
      </c>
      <c r="G1681" s="59">
        <v>0.4</v>
      </c>
      <c r="H1681" s="1338" t="s">
        <v>777</v>
      </c>
      <c r="I1681" s="960"/>
      <c r="J1681" s="59"/>
      <c r="K1681" s="59"/>
    </row>
    <row r="1682" spans="1:11" ht="18" customHeight="1" x14ac:dyDescent="0.25">
      <c r="A1682" s="57" t="s">
        <v>121</v>
      </c>
      <c r="B1682" s="57" t="s">
        <v>159</v>
      </c>
      <c r="C1682" s="57">
        <v>2023</v>
      </c>
      <c r="D1682" s="58">
        <f>MATCH(B1682,{"GENNAIO","FEBBRAIO","MARZO","APRILE","MAGGIO","GIUGNO","LUGLIO","AGOSTO","SETTEMBRE","OTTOBRE","NOVEMBRE","DICEMBRE"},0)</f>
        <v>4</v>
      </c>
      <c r="E1682" s="57" t="str">
        <f t="shared" si="1226"/>
        <v>APRILE 2023</v>
      </c>
      <c r="F1682" s="57" t="str">
        <f t="shared" si="1227"/>
        <v>4 APRILE 2023</v>
      </c>
      <c r="G1682" s="59">
        <v>0.4</v>
      </c>
      <c r="H1682" s="1338" t="s">
        <v>777</v>
      </c>
      <c r="I1682" s="960"/>
      <c r="J1682" s="59"/>
      <c r="K1682" s="59"/>
    </row>
    <row r="1683" spans="1:11" ht="18" customHeight="1" x14ac:dyDescent="0.25">
      <c r="A1683" s="57" t="s">
        <v>108</v>
      </c>
      <c r="B1683" s="57" t="s">
        <v>159</v>
      </c>
      <c r="C1683" s="57">
        <v>2023</v>
      </c>
      <c r="D1683" s="58">
        <f>MATCH(B1683,{"GENNAIO","FEBBRAIO","MARZO","APRILE","MAGGIO","GIUGNO","LUGLIO","AGOSTO","SETTEMBRE","OTTOBRE","NOVEMBRE","DICEMBRE"},0)</f>
        <v>4</v>
      </c>
      <c r="E1683" s="57" t="str">
        <f t="shared" si="1226"/>
        <v>APRILE 2023</v>
      </c>
      <c r="F1683" s="57" t="str">
        <f t="shared" si="1227"/>
        <v>4 APRILE 2023</v>
      </c>
      <c r="G1683" s="59">
        <v>16.48</v>
      </c>
      <c r="H1683" s="1338" t="s">
        <v>75</v>
      </c>
      <c r="I1683" s="960"/>
      <c r="J1683" s="57" t="s">
        <v>108</v>
      </c>
      <c r="K1683" s="59"/>
    </row>
    <row r="1684" spans="1:11" ht="16.5" customHeight="1" x14ac:dyDescent="0.25">
      <c r="A1684" s="57" t="s">
        <v>108</v>
      </c>
      <c r="B1684" s="57" t="s">
        <v>159</v>
      </c>
      <c r="C1684" s="57">
        <v>2023</v>
      </c>
      <c r="D1684" s="58">
        <f>MATCH(B1684,{"GENNAIO","FEBBRAIO","MARZO","APRILE","MAGGIO","GIUGNO","LUGLIO","AGOSTO","SETTEMBRE","OTTOBRE","NOVEMBRE","DICEMBRE"},0)</f>
        <v>4</v>
      </c>
      <c r="E1684" s="57" t="str">
        <f t="shared" si="1226"/>
        <v>APRILE 2023</v>
      </c>
      <c r="F1684" s="57" t="str">
        <f t="shared" si="1227"/>
        <v>4 APRILE 2023</v>
      </c>
      <c r="G1684" s="59">
        <v>55.86</v>
      </c>
      <c r="H1684" s="1338" t="s">
        <v>185</v>
      </c>
      <c r="I1684" s="960" t="s">
        <v>1046</v>
      </c>
      <c r="J1684" s="57" t="s">
        <v>108</v>
      </c>
      <c r="K1684" s="59" t="s">
        <v>1032</v>
      </c>
    </row>
    <row r="1685" spans="1:11" ht="16.5" customHeight="1" x14ac:dyDescent="0.25">
      <c r="A1685" s="57" t="s">
        <v>171</v>
      </c>
      <c r="B1685" s="57" t="s">
        <v>159</v>
      </c>
      <c r="C1685" s="57">
        <v>2023</v>
      </c>
      <c r="D1685" s="58">
        <f>MATCH(B1685,{"GENNAIO","FEBBRAIO","MARZO","APRILE","MAGGIO","GIUGNO","LUGLIO","AGOSTO","SETTEMBRE","OTTOBRE","NOVEMBRE","DICEMBRE"},0)</f>
        <v>4</v>
      </c>
      <c r="E1685" s="57" t="str">
        <f t="shared" si="1226"/>
        <v>APRILE 2023</v>
      </c>
      <c r="F1685" s="57" t="str">
        <f t="shared" si="1227"/>
        <v>4 APRILE 2023</v>
      </c>
      <c r="G1685" s="59">
        <v>28.31</v>
      </c>
      <c r="H1685" s="1338" t="s">
        <v>81</v>
      </c>
      <c r="I1685" s="960" t="s">
        <v>989</v>
      </c>
      <c r="J1685" s="59" t="s">
        <v>768</v>
      </c>
      <c r="K1685" s="59"/>
    </row>
    <row r="1686" spans="1:11" ht="16.5" customHeight="1" x14ac:dyDescent="0.25">
      <c r="A1686" s="57" t="s">
        <v>998</v>
      </c>
      <c r="B1686" s="57" t="s">
        <v>159</v>
      </c>
      <c r="C1686" s="57">
        <v>2023</v>
      </c>
      <c r="D1686" s="58">
        <f>MATCH(B1686,{"GENNAIO","FEBBRAIO","MARZO","APRILE","MAGGIO","GIUGNO","LUGLIO","AGOSTO","SETTEMBRE","OTTOBRE","NOVEMBRE","DICEMBRE"},0)</f>
        <v>4</v>
      </c>
      <c r="E1686" s="57" t="str">
        <f t="shared" si="1226"/>
        <v>APRILE 2023</v>
      </c>
      <c r="F1686" s="57" t="str">
        <f t="shared" si="1227"/>
        <v>4 APRILE 2023</v>
      </c>
      <c r="G1686" s="59">
        <v>28.63</v>
      </c>
      <c r="H1686" s="1338" t="s">
        <v>70</v>
      </c>
      <c r="I1686" s="960" t="s">
        <v>989</v>
      </c>
      <c r="J1686" s="59" t="s">
        <v>768</v>
      </c>
      <c r="K1686" s="59"/>
    </row>
    <row r="1687" spans="1:11" x14ac:dyDescent="0.25">
      <c r="A1687" s="57" t="s">
        <v>67</v>
      </c>
      <c r="B1687" s="57" t="s">
        <v>159</v>
      </c>
      <c r="C1687" s="57">
        <v>2023</v>
      </c>
      <c r="D1687" s="58">
        <f>MATCH(B1687,{"GENNAIO","FEBBRAIO","MARZO","APRILE","MAGGIO","GIUGNO","LUGLIO","AGOSTO","SETTEMBRE","OTTOBRE","NOVEMBRE","DICEMBRE"},0)</f>
        <v>4</v>
      </c>
      <c r="E1687" s="57" t="str">
        <f t="shared" si="1226"/>
        <v>APRILE 2023</v>
      </c>
      <c r="F1687" s="57" t="str">
        <f t="shared" si="1227"/>
        <v>4 APRILE 2023</v>
      </c>
      <c r="G1687" s="59">
        <v>5</v>
      </c>
      <c r="H1687" s="1338" t="s">
        <v>776</v>
      </c>
      <c r="I1687" s="960"/>
      <c r="J1687" s="59"/>
      <c r="K1687" s="59"/>
    </row>
    <row r="1688" spans="1:11" ht="16.5" customHeight="1" x14ac:dyDescent="0.25">
      <c r="A1688" s="57" t="s">
        <v>177</v>
      </c>
      <c r="B1688" s="57" t="s">
        <v>168</v>
      </c>
      <c r="C1688" s="57">
        <v>2023</v>
      </c>
      <c r="D1688" s="58">
        <f>MATCH(B1688,{"GENNAIO","FEBBRAIO","MARZO","APRILE","MAGGIO","GIUGNO","LUGLIO","AGOSTO","SETTEMBRE","OTTOBRE","NOVEMBRE","DICEMBRE"},0)</f>
        <v>3</v>
      </c>
      <c r="E1688" s="57" t="str">
        <f t="shared" si="1226"/>
        <v>MARZO 2023</v>
      </c>
      <c r="F1688" s="57" t="str">
        <f t="shared" si="1227"/>
        <v>3 MARZO 2023</v>
      </c>
      <c r="G1688" s="59">
        <v>23</v>
      </c>
      <c r="H1688" s="1338" t="s">
        <v>69</v>
      </c>
      <c r="I1688" s="960"/>
      <c r="J1688" s="59"/>
      <c r="K1688" s="59"/>
    </row>
    <row r="1689" spans="1:11" ht="16.5" customHeight="1" x14ac:dyDescent="0.25">
      <c r="A1689" s="57" t="s">
        <v>232</v>
      </c>
      <c r="B1689" s="57" t="s">
        <v>168</v>
      </c>
      <c r="C1689" s="57">
        <v>2023</v>
      </c>
      <c r="D1689" s="58">
        <f>MATCH(B1689,{"GENNAIO","FEBBRAIO","MARZO","APRILE","MAGGIO","GIUGNO","LUGLIO","AGOSTO","SETTEMBRE","OTTOBRE","NOVEMBRE","DICEMBRE"},0)</f>
        <v>3</v>
      </c>
      <c r="E1689" s="57" t="str">
        <f t="shared" si="1226"/>
        <v>MARZO 2023</v>
      </c>
      <c r="F1689" s="57" t="str">
        <f t="shared" si="1227"/>
        <v>3 MARZO 2023</v>
      </c>
      <c r="G1689" s="59">
        <v>1.7</v>
      </c>
      <c r="H1689" s="1338" t="s">
        <v>91</v>
      </c>
      <c r="I1689" s="960"/>
      <c r="J1689" s="59"/>
      <c r="K1689" s="59"/>
    </row>
    <row r="1690" spans="1:11" ht="16.5" customHeight="1" x14ac:dyDescent="0.25">
      <c r="A1690" s="57" t="s">
        <v>250</v>
      </c>
      <c r="B1690" s="57" t="s">
        <v>168</v>
      </c>
      <c r="C1690" s="57">
        <v>2023</v>
      </c>
      <c r="D1690" s="58">
        <f>MATCH(B1690,{"GENNAIO","FEBBRAIO","MARZO","APRILE","MAGGIO","GIUGNO","LUGLIO","AGOSTO","SETTEMBRE","OTTOBRE","NOVEMBRE","DICEMBRE"},0)</f>
        <v>3</v>
      </c>
      <c r="E1690" s="57" t="str">
        <f t="shared" ref="E1690:E1753" si="1228">CONCATENATE(,B1690," ",C1690)</f>
        <v>MARZO 2023</v>
      </c>
      <c r="F1690" s="57" t="str">
        <f t="shared" ref="F1690:F1753" si="1229">CONCATENATE(D1690," ",E1690)</f>
        <v>3 MARZO 2023</v>
      </c>
      <c r="G1690" s="59">
        <v>2.1</v>
      </c>
      <c r="H1690" s="1338" t="s">
        <v>91</v>
      </c>
      <c r="I1690" s="960"/>
      <c r="J1690" s="59"/>
      <c r="K1690" s="59"/>
    </row>
    <row r="1691" spans="1:11" ht="18" customHeight="1" x14ac:dyDescent="0.25">
      <c r="A1691" s="57" t="s">
        <v>67</v>
      </c>
      <c r="B1691" s="57" t="s">
        <v>168</v>
      </c>
      <c r="C1691" s="57">
        <v>2023</v>
      </c>
      <c r="D1691" s="58">
        <f>MATCH(B1691,{"GENNAIO","FEBBRAIO","MARZO","APRILE","MAGGIO","GIUGNO","LUGLIO","AGOSTO","SETTEMBRE","OTTOBRE","NOVEMBRE","DICEMBRE"},0)</f>
        <v>3</v>
      </c>
      <c r="E1691" s="57" t="str">
        <f t="shared" si="1228"/>
        <v>MARZO 2023</v>
      </c>
      <c r="F1691" s="57" t="str">
        <f t="shared" si="1229"/>
        <v>3 MARZO 2023</v>
      </c>
      <c r="G1691" s="59">
        <v>5</v>
      </c>
      <c r="H1691" s="1338" t="s">
        <v>776</v>
      </c>
      <c r="I1691" s="960"/>
      <c r="J1691" s="59"/>
      <c r="K1691" s="59"/>
    </row>
    <row r="1692" spans="1:11" ht="16.5" customHeight="1" x14ac:dyDescent="0.25">
      <c r="A1692" s="57" t="s">
        <v>121</v>
      </c>
      <c r="B1692" s="57" t="s">
        <v>168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si="1228"/>
        <v>MARZO 2023</v>
      </c>
      <c r="F1692" s="57" t="str">
        <f t="shared" si="1229"/>
        <v>3 MARZO 2023</v>
      </c>
      <c r="G1692" s="59">
        <v>0.4</v>
      </c>
      <c r="H1692" s="1338" t="s">
        <v>777</v>
      </c>
      <c r="I1692" s="960"/>
      <c r="J1692" s="59"/>
      <c r="K1692" s="59"/>
    </row>
    <row r="1693" spans="1:11" ht="16.5" customHeight="1" x14ac:dyDescent="0.25">
      <c r="A1693" s="57" t="s">
        <v>67</v>
      </c>
      <c r="B1693" s="57" t="s">
        <v>168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si="1228"/>
        <v>MARZO 2023</v>
      </c>
      <c r="F1693" s="57" t="str">
        <f t="shared" si="1229"/>
        <v>3 MARZO 2023</v>
      </c>
      <c r="G1693" s="59">
        <v>2.4</v>
      </c>
      <c r="H1693" s="1338" t="s">
        <v>69</v>
      </c>
      <c r="I1693" s="960"/>
      <c r="J1693" s="59"/>
      <c r="K1693" s="59"/>
    </row>
    <row r="1694" spans="1:11" ht="18.600000000000001" customHeight="1" x14ac:dyDescent="0.25">
      <c r="A1694" s="57" t="s">
        <v>108</v>
      </c>
      <c r="B1694" s="57" t="s">
        <v>168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si="1228"/>
        <v>MARZO 2023</v>
      </c>
      <c r="F1694" s="57" t="str">
        <f t="shared" si="1229"/>
        <v>3 MARZO 2023</v>
      </c>
      <c r="G1694" s="59">
        <v>9.98</v>
      </c>
      <c r="H1694" s="1338" t="s">
        <v>137</v>
      </c>
      <c r="I1694" s="960" t="s">
        <v>1045</v>
      </c>
      <c r="J1694" s="57" t="s">
        <v>108</v>
      </c>
      <c r="K1694" s="59"/>
    </row>
    <row r="1695" spans="1:11" ht="16.5" customHeight="1" x14ac:dyDescent="0.25">
      <c r="A1695" s="57" t="s">
        <v>121</v>
      </c>
      <c r="B1695" s="57" t="s">
        <v>168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28"/>
        <v>MARZO 2023</v>
      </c>
      <c r="F1695" s="57" t="str">
        <f t="shared" si="1229"/>
        <v>3 MARZO 2023</v>
      </c>
      <c r="G1695" s="59">
        <v>0.4</v>
      </c>
      <c r="H1695" s="1338" t="s">
        <v>777</v>
      </c>
      <c r="I1695" s="960"/>
      <c r="J1695" s="59"/>
      <c r="K1695" s="59"/>
    </row>
    <row r="1696" spans="1:11" ht="16.5" customHeight="1" x14ac:dyDescent="0.25">
      <c r="A1696" s="57" t="s">
        <v>121</v>
      </c>
      <c r="B1696" s="57" t="s">
        <v>168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28"/>
        <v>MARZO 2023</v>
      </c>
      <c r="F1696" s="57" t="str">
        <f t="shared" si="1229"/>
        <v>3 MARZO 2023</v>
      </c>
      <c r="G1696" s="59">
        <v>0.4</v>
      </c>
      <c r="H1696" s="1338" t="s">
        <v>777</v>
      </c>
      <c r="I1696" s="960"/>
      <c r="J1696" s="59"/>
      <c r="K1696" s="59"/>
    </row>
    <row r="1697" spans="1:11" x14ac:dyDescent="0.25">
      <c r="A1697" s="57" t="s">
        <v>76</v>
      </c>
      <c r="B1697" s="57" t="s">
        <v>168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28"/>
        <v>MARZO 2023</v>
      </c>
      <c r="F1697" s="57" t="str">
        <f t="shared" si="1229"/>
        <v>3 MARZO 2023</v>
      </c>
      <c r="G1697" s="59">
        <v>9.92</v>
      </c>
      <c r="H1697" s="1338" t="s">
        <v>77</v>
      </c>
      <c r="I1697" s="960"/>
      <c r="J1697" s="59"/>
      <c r="K1697" s="59"/>
    </row>
    <row r="1698" spans="1:11" x14ac:dyDescent="0.25">
      <c r="A1698" s="57" t="s">
        <v>121</v>
      </c>
      <c r="B1698" s="57" t="s">
        <v>168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28"/>
        <v>MARZO 2023</v>
      </c>
      <c r="F1698" s="57" t="str">
        <f t="shared" si="1229"/>
        <v>3 MARZO 2023</v>
      </c>
      <c r="G1698" s="59">
        <v>0.4</v>
      </c>
      <c r="H1698" s="1338" t="s">
        <v>777</v>
      </c>
      <c r="I1698" s="960"/>
      <c r="J1698" s="59"/>
      <c r="K1698" s="59"/>
    </row>
    <row r="1699" spans="1:11" x14ac:dyDescent="0.25">
      <c r="A1699" s="57" t="s">
        <v>121</v>
      </c>
      <c r="B1699" s="57" t="s">
        <v>168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28"/>
        <v>MARZO 2023</v>
      </c>
      <c r="F1699" s="57" t="str">
        <f t="shared" si="1229"/>
        <v>3 MARZO 2023</v>
      </c>
      <c r="G1699" s="59">
        <v>0.4</v>
      </c>
      <c r="H1699" s="1338" t="s">
        <v>777</v>
      </c>
      <c r="I1699" s="960"/>
      <c r="J1699" s="59"/>
      <c r="K1699" s="59"/>
    </row>
    <row r="1700" spans="1:11" ht="16.5" customHeight="1" x14ac:dyDescent="0.25">
      <c r="A1700" s="57" t="s">
        <v>108</v>
      </c>
      <c r="B1700" s="57" t="s">
        <v>168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28"/>
        <v>MARZO 2023</v>
      </c>
      <c r="F1700" s="57" t="str">
        <f t="shared" si="1229"/>
        <v>3 MARZO 2023</v>
      </c>
      <c r="G1700" s="59">
        <v>20.99</v>
      </c>
      <c r="H1700" s="1338" t="s">
        <v>75</v>
      </c>
      <c r="I1700" s="960"/>
      <c r="J1700" s="57" t="s">
        <v>108</v>
      </c>
      <c r="K1700" s="59"/>
    </row>
    <row r="1701" spans="1:11" ht="18" customHeight="1" x14ac:dyDescent="0.25">
      <c r="A1701" s="57" t="s">
        <v>76</v>
      </c>
      <c r="B1701" s="57" t="s">
        <v>168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28"/>
        <v>MARZO 2023</v>
      </c>
      <c r="F1701" s="57" t="str">
        <f t="shared" si="1229"/>
        <v>3 MARZO 2023</v>
      </c>
      <c r="G1701" s="59">
        <v>8.6199999999999992</v>
      </c>
      <c r="H1701" s="1338" t="s">
        <v>77</v>
      </c>
      <c r="I1701" s="960"/>
      <c r="J1701" s="59"/>
      <c r="K1701" s="59"/>
    </row>
    <row r="1702" spans="1:11" ht="18.600000000000001" customHeight="1" x14ac:dyDescent="0.25">
      <c r="A1702" s="57" t="s">
        <v>121</v>
      </c>
      <c r="B1702" s="57" t="s">
        <v>168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28"/>
        <v>MARZO 2023</v>
      </c>
      <c r="F1702" s="57" t="str">
        <f t="shared" si="1229"/>
        <v>3 MARZO 2023</v>
      </c>
      <c r="G1702" s="59">
        <v>0.4</v>
      </c>
      <c r="H1702" s="1338" t="s">
        <v>777</v>
      </c>
      <c r="I1702" s="960"/>
      <c r="J1702" s="59"/>
      <c r="K1702" s="59"/>
    </row>
    <row r="1703" spans="1:11" ht="16.5" customHeight="1" x14ac:dyDescent="0.25">
      <c r="A1703" s="57" t="s">
        <v>251</v>
      </c>
      <c r="B1703" s="57" t="s">
        <v>168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28"/>
        <v>MARZO 2023</v>
      </c>
      <c r="F1703" s="57" t="str">
        <f t="shared" si="1229"/>
        <v>3 MARZO 2023</v>
      </c>
      <c r="G1703" s="59">
        <v>14</v>
      </c>
      <c r="H1703" s="1338" t="s">
        <v>69</v>
      </c>
      <c r="I1703" s="960"/>
      <c r="J1703" s="59"/>
      <c r="K1703" s="59"/>
    </row>
    <row r="1704" spans="1:11" ht="18.600000000000001" customHeight="1" x14ac:dyDescent="0.25">
      <c r="A1704" s="57" t="s">
        <v>108</v>
      </c>
      <c r="B1704" s="57" t="s">
        <v>168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28"/>
        <v>MARZO 2023</v>
      </c>
      <c r="F1704" s="57" t="str">
        <f t="shared" si="1229"/>
        <v>3 MARZO 2023</v>
      </c>
      <c r="G1704" s="59">
        <v>55.86</v>
      </c>
      <c r="H1704" s="1338" t="s">
        <v>185</v>
      </c>
      <c r="I1704" s="960" t="s">
        <v>1027</v>
      </c>
      <c r="J1704" s="57" t="s">
        <v>108</v>
      </c>
      <c r="K1704" s="59" t="s">
        <v>1032</v>
      </c>
    </row>
    <row r="1705" spans="1:11" ht="18.600000000000001" customHeight="1" x14ac:dyDescent="0.25">
      <c r="A1705" s="57" t="s">
        <v>247</v>
      </c>
      <c r="B1705" s="57" t="s">
        <v>168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28"/>
        <v>MARZO 2023</v>
      </c>
      <c r="F1705" s="57" t="str">
        <f t="shared" si="1229"/>
        <v>3 MARZO 2023</v>
      </c>
      <c r="G1705" s="59">
        <v>3.89</v>
      </c>
      <c r="H1705" s="1338" t="s">
        <v>77</v>
      </c>
      <c r="I1705" s="960"/>
      <c r="J1705" s="59"/>
      <c r="K1705" s="59"/>
    </row>
    <row r="1706" spans="1:11" ht="18.600000000000001" customHeight="1" x14ac:dyDescent="0.25">
      <c r="A1706" s="57" t="s">
        <v>121</v>
      </c>
      <c r="B1706" s="57" t="s">
        <v>168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28"/>
        <v>MARZO 2023</v>
      </c>
      <c r="F1706" s="57" t="str">
        <f t="shared" si="1229"/>
        <v>3 MARZO 2023</v>
      </c>
      <c r="G1706" s="59">
        <v>0.4</v>
      </c>
      <c r="H1706" s="1338" t="s">
        <v>777</v>
      </c>
      <c r="I1706" s="960"/>
      <c r="J1706" s="59"/>
      <c r="K1706" s="59"/>
    </row>
    <row r="1707" spans="1:11" ht="16.5" customHeight="1" x14ac:dyDescent="0.25">
      <c r="A1707" s="57" t="s">
        <v>79</v>
      </c>
      <c r="B1707" s="57" t="s">
        <v>168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28"/>
        <v>MARZO 2023</v>
      </c>
      <c r="F1707" s="57" t="str">
        <f t="shared" si="1229"/>
        <v>3 MARZO 2023</v>
      </c>
      <c r="G1707" s="59">
        <v>6.5</v>
      </c>
      <c r="H1707" s="1338" t="s">
        <v>81</v>
      </c>
      <c r="I1707" s="960"/>
      <c r="J1707" s="59"/>
      <c r="K1707" s="59"/>
    </row>
    <row r="1708" spans="1:11" ht="16.5" customHeight="1" x14ac:dyDescent="0.25">
      <c r="A1708" s="57" t="s">
        <v>83</v>
      </c>
      <c r="B1708" s="57" t="s">
        <v>168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28"/>
        <v>MARZO 2023</v>
      </c>
      <c r="F1708" s="57" t="str">
        <f t="shared" si="1229"/>
        <v>3 MARZO 2023</v>
      </c>
      <c r="G1708" s="59">
        <v>11.09</v>
      </c>
      <c r="H1708" s="1338" t="s">
        <v>77</v>
      </c>
      <c r="I1708" s="960"/>
      <c r="J1708" s="59"/>
      <c r="K1708" s="59"/>
    </row>
    <row r="1709" spans="1:11" ht="16.5" customHeight="1" x14ac:dyDescent="0.25">
      <c r="A1709" s="57" t="s">
        <v>76</v>
      </c>
      <c r="B1709" s="57" t="s">
        <v>168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28"/>
        <v>MARZO 2023</v>
      </c>
      <c r="F1709" s="57" t="str">
        <f t="shared" si="1229"/>
        <v>3 MARZO 2023</v>
      </c>
      <c r="G1709" s="59">
        <v>25.05</v>
      </c>
      <c r="H1709" s="1338" t="s">
        <v>77</v>
      </c>
      <c r="I1709" s="960"/>
      <c r="J1709" s="59"/>
      <c r="K1709" s="59"/>
    </row>
    <row r="1710" spans="1:11" ht="16.5" customHeight="1" x14ac:dyDescent="0.25">
      <c r="A1710" s="57" t="s">
        <v>121</v>
      </c>
      <c r="B1710" s="57" t="s">
        <v>168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28"/>
        <v>MARZO 2023</v>
      </c>
      <c r="F1710" s="57" t="str">
        <f t="shared" si="1229"/>
        <v>3 MARZO 2023</v>
      </c>
      <c r="G1710" s="59">
        <v>0.4</v>
      </c>
      <c r="H1710" s="1338" t="s">
        <v>777</v>
      </c>
      <c r="I1710" s="960"/>
      <c r="J1710" s="59"/>
      <c r="K1710" s="59"/>
    </row>
    <row r="1711" spans="1:11" ht="18" customHeight="1" x14ac:dyDescent="0.25">
      <c r="A1711" s="57" t="s">
        <v>67</v>
      </c>
      <c r="B1711" s="57" t="s">
        <v>168</v>
      </c>
      <c r="C1711" s="57">
        <v>2023</v>
      </c>
      <c r="D1711" s="58">
        <f>MATCH(B1711,{"GENNAIO","FEBBRAIO","MARZO","APRILE","MAGGIO","GIUGNO","LUGLIO","AGOSTO","SETTEMBRE","OTTOBRE","NOVEMBRE","DICEMBRE"},0)</f>
        <v>3</v>
      </c>
      <c r="E1711" s="57" t="str">
        <f t="shared" si="1228"/>
        <v>MARZO 2023</v>
      </c>
      <c r="F1711" s="57" t="str">
        <f t="shared" si="1229"/>
        <v>3 MARZO 2023</v>
      </c>
      <c r="G1711" s="59">
        <v>5</v>
      </c>
      <c r="H1711" s="1338" t="s">
        <v>776</v>
      </c>
      <c r="I1711" s="960"/>
      <c r="J1711" s="59"/>
      <c r="K1711" s="59"/>
    </row>
    <row r="1712" spans="1:11" ht="18" customHeight="1" x14ac:dyDescent="0.25">
      <c r="A1712" s="57" t="s">
        <v>121</v>
      </c>
      <c r="B1712" s="57" t="s">
        <v>168</v>
      </c>
      <c r="C1712" s="57">
        <v>2023</v>
      </c>
      <c r="D1712" s="58">
        <f>MATCH(B1712,{"GENNAIO","FEBBRAIO","MARZO","APRILE","MAGGIO","GIUGNO","LUGLIO","AGOSTO","SETTEMBRE","OTTOBRE","NOVEMBRE","DICEMBRE"},0)</f>
        <v>3</v>
      </c>
      <c r="E1712" s="57" t="str">
        <f t="shared" si="1228"/>
        <v>MARZO 2023</v>
      </c>
      <c r="F1712" s="57" t="str">
        <f t="shared" si="1229"/>
        <v>3 MARZO 2023</v>
      </c>
      <c r="G1712" s="59">
        <v>0.4</v>
      </c>
      <c r="H1712" s="1338" t="s">
        <v>777</v>
      </c>
      <c r="I1712" s="960"/>
      <c r="J1712" s="59"/>
      <c r="K1712" s="59"/>
    </row>
    <row r="1713" spans="1:11" ht="18" customHeight="1" x14ac:dyDescent="0.25">
      <c r="A1713" s="57" t="s">
        <v>121</v>
      </c>
      <c r="B1713" s="57" t="s">
        <v>168</v>
      </c>
      <c r="C1713" s="57">
        <v>2023</v>
      </c>
      <c r="D1713" s="58">
        <f>MATCH(B1713,{"GENNAIO","FEBBRAIO","MARZO","APRILE","MAGGIO","GIUGNO","LUGLIO","AGOSTO","SETTEMBRE","OTTOBRE","NOVEMBRE","DICEMBRE"},0)</f>
        <v>3</v>
      </c>
      <c r="E1713" s="57" t="str">
        <f t="shared" si="1228"/>
        <v>MARZO 2023</v>
      </c>
      <c r="F1713" s="57" t="str">
        <f t="shared" si="1229"/>
        <v>3 MARZO 2023</v>
      </c>
      <c r="G1713" s="59">
        <v>0.4</v>
      </c>
      <c r="H1713" s="1338" t="s">
        <v>777</v>
      </c>
      <c r="I1713" s="960"/>
      <c r="J1713" s="59"/>
      <c r="K1713" s="59"/>
    </row>
    <row r="1714" spans="1:11" ht="18" customHeight="1" x14ac:dyDescent="0.25">
      <c r="A1714" s="57" t="s">
        <v>108</v>
      </c>
      <c r="B1714" s="57" t="s">
        <v>168</v>
      </c>
      <c r="C1714" s="57">
        <v>2023</v>
      </c>
      <c r="D1714" s="58">
        <f>MATCH(B1714,{"GENNAIO","FEBBRAIO","MARZO","APRILE","MAGGIO","GIUGNO","LUGLIO","AGOSTO","SETTEMBRE","OTTOBRE","NOVEMBRE","DICEMBRE"},0)</f>
        <v>3</v>
      </c>
      <c r="E1714" s="57" t="str">
        <f t="shared" si="1228"/>
        <v>MARZO 2023</v>
      </c>
      <c r="F1714" s="57" t="str">
        <f t="shared" si="1229"/>
        <v>3 MARZO 2023</v>
      </c>
      <c r="G1714" s="59">
        <v>29.99</v>
      </c>
      <c r="H1714" s="1338" t="s">
        <v>75</v>
      </c>
      <c r="I1714" s="960"/>
      <c r="J1714" s="57" t="s">
        <v>108</v>
      </c>
      <c r="K1714" s="59"/>
    </row>
    <row r="1715" spans="1:11" ht="18" customHeight="1" x14ac:dyDescent="0.25">
      <c r="A1715" s="57" t="s">
        <v>1002</v>
      </c>
      <c r="B1715" s="57" t="s">
        <v>168</v>
      </c>
      <c r="C1715" s="57">
        <v>2023</v>
      </c>
      <c r="D1715" s="58">
        <f>MATCH(B1715,{"GENNAIO","FEBBRAIO","MARZO","APRILE","MAGGIO","GIUGNO","LUGLIO","AGOSTO","SETTEMBRE","OTTOBRE","NOVEMBRE","DICEMBRE"},0)</f>
        <v>3</v>
      </c>
      <c r="E1715" s="57" t="str">
        <f t="shared" si="1228"/>
        <v>MARZO 2023</v>
      </c>
      <c r="F1715" s="57" t="str">
        <f t="shared" si="1229"/>
        <v>3 MARZO 2023</v>
      </c>
      <c r="G1715" s="59">
        <v>16.899999999999999</v>
      </c>
      <c r="H1715" s="1338" t="s">
        <v>231</v>
      </c>
      <c r="I1715" s="960" t="s">
        <v>989</v>
      </c>
      <c r="J1715" s="59" t="s">
        <v>768</v>
      </c>
      <c r="K1715" s="59"/>
    </row>
    <row r="1716" spans="1:11" ht="18.600000000000001" customHeight="1" x14ac:dyDescent="0.25">
      <c r="A1716" s="57" t="s">
        <v>996</v>
      </c>
      <c r="B1716" s="57" t="s">
        <v>168</v>
      </c>
      <c r="C1716" s="57">
        <v>2023</v>
      </c>
      <c r="D1716" s="58">
        <f>MATCH(B1716,{"GENNAIO","FEBBRAIO","MARZO","APRILE","MAGGIO","GIUGNO","LUGLIO","AGOSTO","SETTEMBRE","OTTOBRE","NOVEMBRE","DICEMBRE"},0)</f>
        <v>3</v>
      </c>
      <c r="E1716" s="57" t="str">
        <f t="shared" si="1228"/>
        <v>MARZO 2023</v>
      </c>
      <c r="F1716" s="57" t="str">
        <f t="shared" si="1229"/>
        <v>3 MARZO 2023</v>
      </c>
      <c r="G1716" s="59">
        <v>11.91</v>
      </c>
      <c r="H1716" s="1338" t="s">
        <v>75</v>
      </c>
      <c r="I1716" s="960" t="s">
        <v>989</v>
      </c>
      <c r="J1716" s="59" t="s">
        <v>768</v>
      </c>
      <c r="K1716" s="59"/>
    </row>
    <row r="1717" spans="1:11" ht="16.5" customHeight="1" x14ac:dyDescent="0.25">
      <c r="A1717" s="57" t="s">
        <v>171</v>
      </c>
      <c r="B1717" s="57" t="s">
        <v>168</v>
      </c>
      <c r="C1717" s="57">
        <v>2023</v>
      </c>
      <c r="D1717" s="58">
        <f>MATCH(B1717,{"GENNAIO","FEBBRAIO","MARZO","APRILE","MAGGIO","GIUGNO","LUGLIO","AGOSTO","SETTEMBRE","OTTOBRE","NOVEMBRE","DICEMBRE"},0)</f>
        <v>3</v>
      </c>
      <c r="E1717" s="57" t="str">
        <f t="shared" si="1228"/>
        <v>MARZO 2023</v>
      </c>
      <c r="F1717" s="57" t="str">
        <f t="shared" si="1229"/>
        <v>3 MARZO 2023</v>
      </c>
      <c r="G1717" s="59">
        <v>28.32</v>
      </c>
      <c r="H1717" s="1338" t="s">
        <v>81</v>
      </c>
      <c r="I1717" s="960" t="s">
        <v>988</v>
      </c>
      <c r="J1717" s="59" t="s">
        <v>768</v>
      </c>
      <c r="K1717" s="59"/>
    </row>
    <row r="1718" spans="1:11" ht="16.5" customHeight="1" x14ac:dyDescent="0.25">
      <c r="A1718" s="57" t="s">
        <v>998</v>
      </c>
      <c r="B1718" s="57" t="s">
        <v>168</v>
      </c>
      <c r="C1718" s="57">
        <v>2023</v>
      </c>
      <c r="D1718" s="58">
        <f>MATCH(B1718,{"GENNAIO","FEBBRAIO","MARZO","APRILE","MAGGIO","GIUGNO","LUGLIO","AGOSTO","SETTEMBRE","OTTOBRE","NOVEMBRE","DICEMBRE"},0)</f>
        <v>3</v>
      </c>
      <c r="E1718" s="57" t="str">
        <f t="shared" si="1228"/>
        <v>MARZO 2023</v>
      </c>
      <c r="F1718" s="57" t="str">
        <f t="shared" si="1229"/>
        <v>3 MARZO 2023</v>
      </c>
      <c r="G1718" s="59">
        <v>28.64</v>
      </c>
      <c r="H1718" s="1338" t="s">
        <v>70</v>
      </c>
      <c r="I1718" s="960" t="s">
        <v>988</v>
      </c>
      <c r="J1718" s="59" t="s">
        <v>768</v>
      </c>
      <c r="K1718" s="59"/>
    </row>
    <row r="1719" spans="1:11" ht="16.5" customHeight="1" x14ac:dyDescent="0.25">
      <c r="A1719" s="57" t="s">
        <v>76</v>
      </c>
      <c r="B1719" s="57" t="s">
        <v>168</v>
      </c>
      <c r="C1719" s="57">
        <v>2023</v>
      </c>
      <c r="D1719" s="58">
        <f>MATCH(B1719,{"GENNAIO","FEBBRAIO","MARZO","APRILE","MAGGIO","GIUGNO","LUGLIO","AGOSTO","SETTEMBRE","OTTOBRE","NOVEMBRE","DICEMBRE"},0)</f>
        <v>3</v>
      </c>
      <c r="E1719" s="57" t="str">
        <f t="shared" si="1228"/>
        <v>MARZO 2023</v>
      </c>
      <c r="F1719" s="57" t="str">
        <f t="shared" si="1229"/>
        <v>3 MARZO 2023</v>
      </c>
      <c r="G1719" s="59">
        <v>16.78</v>
      </c>
      <c r="H1719" s="1338" t="s">
        <v>77</v>
      </c>
      <c r="I1719" s="960"/>
      <c r="J1719" s="59"/>
      <c r="K1719" s="59"/>
    </row>
    <row r="1720" spans="1:11" ht="16.5" customHeight="1" x14ac:dyDescent="0.25">
      <c r="A1720" s="57" t="s">
        <v>121</v>
      </c>
      <c r="B1720" s="57" t="s">
        <v>176</v>
      </c>
      <c r="C1720" s="57">
        <v>2023</v>
      </c>
      <c r="D1720" s="58">
        <f>MATCH(B1720,{"GENNAIO","FEBBRAIO","MARZO","APRILE","MAGGIO","GIUGNO","LUGLIO","AGOSTO","SETTEMBRE","OTTOBRE","NOVEMBRE","DICEMBRE"},0)</f>
        <v>2</v>
      </c>
      <c r="E1720" s="57" t="str">
        <f t="shared" si="1228"/>
        <v>FEBBRAIO 2023</v>
      </c>
      <c r="F1720" s="57" t="str">
        <f t="shared" si="1229"/>
        <v>2 FEBBRAIO 2023</v>
      </c>
      <c r="G1720" s="59">
        <v>0.4</v>
      </c>
      <c r="H1720" s="1338" t="s">
        <v>777</v>
      </c>
      <c r="I1720" s="960"/>
      <c r="J1720" s="59"/>
      <c r="K1720" s="59"/>
    </row>
    <row r="1721" spans="1:11" ht="16.5" customHeight="1" x14ac:dyDescent="0.25">
      <c r="A1721" s="57" t="s">
        <v>121</v>
      </c>
      <c r="B1721" s="57" t="s">
        <v>176</v>
      </c>
      <c r="C1721" s="57">
        <v>2023</v>
      </c>
      <c r="D1721" s="58">
        <f>MATCH(B1721,{"GENNAIO","FEBBRAIO","MARZO","APRILE","MAGGIO","GIUGNO","LUGLIO","AGOSTO","SETTEMBRE","OTTOBRE","NOVEMBRE","DICEMBRE"},0)</f>
        <v>2</v>
      </c>
      <c r="E1721" s="57" t="str">
        <f t="shared" si="1228"/>
        <v>FEBBRAIO 2023</v>
      </c>
      <c r="F1721" s="57" t="str">
        <f t="shared" si="1229"/>
        <v>2 FEBBRAIO 2023</v>
      </c>
      <c r="G1721" s="59">
        <v>0.4</v>
      </c>
      <c r="H1721" s="1338" t="s">
        <v>777</v>
      </c>
      <c r="I1721" s="960"/>
      <c r="J1721" s="59"/>
      <c r="K1721" s="59"/>
    </row>
    <row r="1722" spans="1:11" ht="16.5" customHeight="1" x14ac:dyDescent="0.25">
      <c r="A1722" s="57" t="s">
        <v>121</v>
      </c>
      <c r="B1722" s="57" t="s">
        <v>176</v>
      </c>
      <c r="C1722" s="57">
        <v>2023</v>
      </c>
      <c r="D1722" s="58">
        <f>MATCH(B1722,{"GENNAIO","FEBBRAIO","MARZO","APRILE","MAGGIO","GIUGNO","LUGLIO","AGOSTO","SETTEMBRE","OTTOBRE","NOVEMBRE","DICEMBRE"},0)</f>
        <v>2</v>
      </c>
      <c r="E1722" s="57" t="str">
        <f t="shared" si="1228"/>
        <v>FEBBRAIO 2023</v>
      </c>
      <c r="F1722" s="57" t="str">
        <f t="shared" si="1229"/>
        <v>2 FEBBRAIO 2023</v>
      </c>
      <c r="G1722" s="59">
        <v>0.4</v>
      </c>
      <c r="H1722" s="1338" t="s">
        <v>777</v>
      </c>
      <c r="I1722" s="960"/>
      <c r="J1722" s="59"/>
      <c r="K1722" s="59"/>
    </row>
    <row r="1723" spans="1:11" ht="16.5" customHeight="1" x14ac:dyDescent="0.25">
      <c r="A1723" s="57" t="s">
        <v>67</v>
      </c>
      <c r="B1723" s="57" t="s">
        <v>176</v>
      </c>
      <c r="C1723" s="57">
        <v>2023</v>
      </c>
      <c r="D1723" s="58">
        <f>MATCH(B1723,{"GENNAIO","FEBBRAIO","MARZO","APRILE","MAGGIO","GIUGNO","LUGLIO","AGOSTO","SETTEMBRE","OTTOBRE","NOVEMBRE","DICEMBRE"},0)</f>
        <v>2</v>
      </c>
      <c r="E1723" s="57" t="str">
        <f t="shared" si="1228"/>
        <v>FEBBRAIO 2023</v>
      </c>
      <c r="F1723" s="57" t="str">
        <f t="shared" si="1229"/>
        <v>2 FEBBRAIO 2023</v>
      </c>
      <c r="G1723" s="59">
        <v>5</v>
      </c>
      <c r="H1723" s="1338" t="s">
        <v>776</v>
      </c>
      <c r="I1723" s="960"/>
      <c r="J1723" s="59"/>
      <c r="K1723" s="59"/>
    </row>
    <row r="1724" spans="1:11" ht="16.5" customHeight="1" x14ac:dyDescent="0.25">
      <c r="A1724" s="57" t="s">
        <v>121</v>
      </c>
      <c r="B1724" s="57" t="s">
        <v>176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28"/>
        <v>FEBBRAIO 2023</v>
      </c>
      <c r="F1724" s="57" t="str">
        <f t="shared" si="1229"/>
        <v>2 FEBBRAIO 2023</v>
      </c>
      <c r="G1724" s="59">
        <v>0.4</v>
      </c>
      <c r="H1724" s="1338" t="s">
        <v>777</v>
      </c>
      <c r="I1724" s="960"/>
      <c r="J1724" s="59"/>
      <c r="K1724" s="59"/>
    </row>
    <row r="1725" spans="1:11" ht="16.5" customHeight="1" x14ac:dyDescent="0.25">
      <c r="A1725" s="57" t="s">
        <v>67</v>
      </c>
      <c r="B1725" s="57" t="s">
        <v>176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28"/>
        <v>FEBBRAIO 2023</v>
      </c>
      <c r="F1725" s="57" t="str">
        <f t="shared" si="1229"/>
        <v>2 FEBBRAIO 2023</v>
      </c>
      <c r="G1725" s="59">
        <v>7</v>
      </c>
      <c r="H1725" s="1338" t="s">
        <v>776</v>
      </c>
      <c r="I1725" s="960"/>
      <c r="J1725" s="59"/>
      <c r="K1725" s="59"/>
    </row>
    <row r="1726" spans="1:11" ht="16.5" customHeight="1" x14ac:dyDescent="0.25">
      <c r="A1726" s="57" t="s">
        <v>121</v>
      </c>
      <c r="B1726" s="57" t="s">
        <v>176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28"/>
        <v>FEBBRAIO 2023</v>
      </c>
      <c r="F1726" s="57" t="str">
        <f t="shared" si="1229"/>
        <v>2 FEBBRAIO 2023</v>
      </c>
      <c r="G1726" s="59">
        <v>0.4</v>
      </c>
      <c r="H1726" s="1338" t="s">
        <v>777</v>
      </c>
      <c r="I1726" s="960"/>
      <c r="J1726" s="59"/>
      <c r="K1726" s="59"/>
    </row>
    <row r="1727" spans="1:11" ht="18.600000000000001" customHeight="1" x14ac:dyDescent="0.25">
      <c r="A1727" s="57" t="s">
        <v>121</v>
      </c>
      <c r="B1727" s="57" t="s">
        <v>176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28"/>
        <v>FEBBRAIO 2023</v>
      </c>
      <c r="F1727" s="57" t="str">
        <f t="shared" si="1229"/>
        <v>2 FEBBRAIO 2023</v>
      </c>
      <c r="G1727" s="59">
        <v>0.4</v>
      </c>
      <c r="H1727" s="1338" t="s">
        <v>777</v>
      </c>
      <c r="I1727" s="960"/>
      <c r="J1727" s="59"/>
      <c r="K1727" s="59"/>
    </row>
    <row r="1728" spans="1:11" ht="16.5" customHeight="1" x14ac:dyDescent="0.25">
      <c r="A1728" s="57" t="s">
        <v>121</v>
      </c>
      <c r="B1728" s="57" t="s">
        <v>176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28"/>
        <v>FEBBRAIO 2023</v>
      </c>
      <c r="F1728" s="57" t="str">
        <f t="shared" si="1229"/>
        <v>2 FEBBRAIO 2023</v>
      </c>
      <c r="G1728" s="59">
        <v>0.4</v>
      </c>
      <c r="H1728" s="1338" t="s">
        <v>777</v>
      </c>
      <c r="I1728" s="960"/>
      <c r="J1728" s="59"/>
      <c r="K1728" s="59"/>
    </row>
    <row r="1729" spans="1:11" ht="16.5" customHeight="1" x14ac:dyDescent="0.25">
      <c r="A1729" s="57" t="s">
        <v>121</v>
      </c>
      <c r="B1729" s="57" t="s">
        <v>176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28"/>
        <v>FEBBRAIO 2023</v>
      </c>
      <c r="F1729" s="57" t="str">
        <f t="shared" si="1229"/>
        <v>2 FEBBRAIO 2023</v>
      </c>
      <c r="G1729" s="59">
        <v>0.4</v>
      </c>
      <c r="H1729" s="1338" t="s">
        <v>777</v>
      </c>
      <c r="I1729" s="960"/>
      <c r="J1729" s="59"/>
      <c r="K1729" s="59"/>
    </row>
    <row r="1730" spans="1:11" ht="18" customHeight="1" x14ac:dyDescent="0.25">
      <c r="A1730" s="57" t="s">
        <v>76</v>
      </c>
      <c r="B1730" s="57" t="s">
        <v>176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28"/>
        <v>FEBBRAIO 2023</v>
      </c>
      <c r="F1730" s="57" t="str">
        <f t="shared" si="1229"/>
        <v>2 FEBBRAIO 2023</v>
      </c>
      <c r="G1730" s="59">
        <v>15.61</v>
      </c>
      <c r="H1730" s="1338" t="s">
        <v>77</v>
      </c>
      <c r="I1730" s="960"/>
      <c r="J1730" s="59"/>
      <c r="K1730" s="59"/>
    </row>
    <row r="1731" spans="1:11" ht="16.5" customHeight="1" x14ac:dyDescent="0.25">
      <c r="A1731" s="57" t="s">
        <v>121</v>
      </c>
      <c r="B1731" s="57" t="s">
        <v>176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28"/>
        <v>FEBBRAIO 2023</v>
      </c>
      <c r="F1731" s="57" t="str">
        <f t="shared" si="1229"/>
        <v>2 FEBBRAIO 2023</v>
      </c>
      <c r="G1731" s="59">
        <v>0.4</v>
      </c>
      <c r="H1731" s="1338" t="s">
        <v>777</v>
      </c>
      <c r="I1731" s="960"/>
      <c r="J1731" s="59"/>
      <c r="K1731" s="59"/>
    </row>
    <row r="1732" spans="1:11" ht="16.5" customHeight="1" x14ac:dyDescent="0.25">
      <c r="A1732" s="57" t="s">
        <v>121</v>
      </c>
      <c r="B1732" s="57" t="s">
        <v>176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28"/>
        <v>FEBBRAIO 2023</v>
      </c>
      <c r="F1732" s="57" t="str">
        <f t="shared" si="1229"/>
        <v>2 FEBBRAIO 2023</v>
      </c>
      <c r="G1732" s="59">
        <v>0.4</v>
      </c>
      <c r="H1732" s="1338" t="s">
        <v>777</v>
      </c>
      <c r="I1732" s="960"/>
      <c r="J1732" s="59"/>
      <c r="K1732" s="59"/>
    </row>
    <row r="1733" spans="1:11" ht="18.600000000000001" customHeight="1" x14ac:dyDescent="0.25">
      <c r="A1733" s="57" t="s">
        <v>108</v>
      </c>
      <c r="B1733" s="57" t="s">
        <v>176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28"/>
        <v>FEBBRAIO 2023</v>
      </c>
      <c r="F1733" s="57" t="str">
        <f t="shared" si="1229"/>
        <v>2 FEBBRAIO 2023</v>
      </c>
      <c r="G1733" s="59">
        <v>9.98</v>
      </c>
      <c r="H1733" s="1338" t="s">
        <v>137</v>
      </c>
      <c r="I1733" s="960" t="s">
        <v>1043</v>
      </c>
      <c r="J1733" s="57" t="s">
        <v>108</v>
      </c>
      <c r="K1733" s="59"/>
    </row>
    <row r="1734" spans="1:11" ht="18.600000000000001" customHeight="1" x14ac:dyDescent="0.25">
      <c r="A1734" s="57" t="s">
        <v>121</v>
      </c>
      <c r="B1734" s="57" t="s">
        <v>176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28"/>
        <v>FEBBRAIO 2023</v>
      </c>
      <c r="F1734" s="57" t="str">
        <f t="shared" si="1229"/>
        <v>2 FEBBRAIO 2023</v>
      </c>
      <c r="G1734" s="59">
        <v>0.4</v>
      </c>
      <c r="H1734" s="1338" t="s">
        <v>777</v>
      </c>
      <c r="I1734" s="960"/>
      <c r="J1734" s="59"/>
      <c r="K1734" s="59"/>
    </row>
    <row r="1735" spans="1:11" ht="16.5" customHeight="1" x14ac:dyDescent="0.25">
      <c r="A1735" s="57" t="s">
        <v>121</v>
      </c>
      <c r="B1735" s="57" t="s">
        <v>176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28"/>
        <v>FEBBRAIO 2023</v>
      </c>
      <c r="F1735" s="57" t="str">
        <f t="shared" si="1229"/>
        <v>2 FEBBRAIO 2023</v>
      </c>
      <c r="G1735" s="59">
        <v>0.4</v>
      </c>
      <c r="H1735" s="1338" t="s">
        <v>777</v>
      </c>
      <c r="I1735" s="960"/>
      <c r="J1735" s="59"/>
      <c r="K1735" s="59"/>
    </row>
    <row r="1736" spans="1:11" ht="18.600000000000001" customHeight="1" x14ac:dyDescent="0.25">
      <c r="A1736" s="57" t="s">
        <v>76</v>
      </c>
      <c r="B1736" s="57" t="s">
        <v>176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28"/>
        <v>FEBBRAIO 2023</v>
      </c>
      <c r="F1736" s="57" t="str">
        <f t="shared" si="1229"/>
        <v>2 FEBBRAIO 2023</v>
      </c>
      <c r="G1736" s="59">
        <v>4.2699999999999996</v>
      </c>
      <c r="H1736" s="1338" t="s">
        <v>77</v>
      </c>
      <c r="I1736" s="960"/>
      <c r="J1736" s="59"/>
      <c r="K1736" s="59"/>
    </row>
    <row r="1737" spans="1:11" ht="16.5" customHeight="1" x14ac:dyDescent="0.25">
      <c r="A1737" s="57" t="s">
        <v>79</v>
      </c>
      <c r="B1737" s="57" t="s">
        <v>176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28"/>
        <v>FEBBRAIO 2023</v>
      </c>
      <c r="F1737" s="57" t="str">
        <f t="shared" si="1229"/>
        <v>2 FEBBRAIO 2023</v>
      </c>
      <c r="G1737" s="59">
        <v>5.87</v>
      </c>
      <c r="H1737" s="1338" t="s">
        <v>81</v>
      </c>
      <c r="I1737" s="960"/>
      <c r="J1737" s="59"/>
      <c r="K1737" s="59"/>
    </row>
    <row r="1738" spans="1:11" ht="16.5" customHeight="1" x14ac:dyDescent="0.25">
      <c r="A1738" s="57" t="s">
        <v>121</v>
      </c>
      <c r="B1738" s="57" t="s">
        <v>176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28"/>
        <v>FEBBRAIO 2023</v>
      </c>
      <c r="F1738" s="57" t="str">
        <f t="shared" si="1229"/>
        <v>2 FEBBRAIO 2023</v>
      </c>
      <c r="G1738" s="59">
        <v>0.4</v>
      </c>
      <c r="H1738" s="1338" t="s">
        <v>777</v>
      </c>
      <c r="I1738" s="960"/>
      <c r="J1738" s="59"/>
      <c r="K1738" s="59"/>
    </row>
    <row r="1739" spans="1:11" x14ac:dyDescent="0.25">
      <c r="A1739" s="57" t="s">
        <v>76</v>
      </c>
      <c r="B1739" s="57" t="s">
        <v>176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28"/>
        <v>FEBBRAIO 2023</v>
      </c>
      <c r="F1739" s="57" t="str">
        <f t="shared" si="1229"/>
        <v>2 FEBBRAIO 2023</v>
      </c>
      <c r="G1739" s="59">
        <v>12.52</v>
      </c>
      <c r="H1739" s="1338" t="s">
        <v>77</v>
      </c>
      <c r="I1739" s="960"/>
      <c r="J1739" s="59"/>
      <c r="K1739" s="59"/>
    </row>
    <row r="1740" spans="1:11" ht="18" customHeight="1" x14ac:dyDescent="0.25">
      <c r="A1740" s="57" t="s">
        <v>121</v>
      </c>
      <c r="B1740" s="57" t="s">
        <v>176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28"/>
        <v>FEBBRAIO 2023</v>
      </c>
      <c r="F1740" s="57" t="str">
        <f t="shared" si="1229"/>
        <v>2 FEBBRAIO 2023</v>
      </c>
      <c r="G1740" s="59">
        <v>0.8</v>
      </c>
      <c r="H1740" s="1338" t="s">
        <v>777</v>
      </c>
      <c r="I1740" s="960"/>
      <c r="J1740" s="59"/>
      <c r="K1740" s="59"/>
    </row>
    <row r="1741" spans="1:11" ht="18" customHeight="1" x14ac:dyDescent="0.25">
      <c r="A1741" s="57" t="s">
        <v>121</v>
      </c>
      <c r="B1741" s="57" t="s">
        <v>176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28"/>
        <v>FEBBRAIO 2023</v>
      </c>
      <c r="F1741" s="57" t="str">
        <f t="shared" si="1229"/>
        <v>2 FEBBRAIO 2023</v>
      </c>
      <c r="G1741" s="59">
        <v>0.4</v>
      </c>
      <c r="H1741" s="1338" t="s">
        <v>777</v>
      </c>
      <c r="I1741" s="960"/>
      <c r="J1741" s="59"/>
      <c r="K1741" s="59"/>
    </row>
    <row r="1742" spans="1:11" ht="18.600000000000001" customHeight="1" x14ac:dyDescent="0.25">
      <c r="A1742" s="57" t="s">
        <v>113</v>
      </c>
      <c r="B1742" s="57" t="s">
        <v>176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28"/>
        <v>FEBBRAIO 2023</v>
      </c>
      <c r="F1742" s="57" t="str">
        <f t="shared" si="1229"/>
        <v>2 FEBBRAIO 2023</v>
      </c>
      <c r="G1742" s="59">
        <v>33</v>
      </c>
      <c r="H1742" s="1338" t="s">
        <v>114</v>
      </c>
      <c r="I1742" s="960"/>
      <c r="J1742" s="59"/>
      <c r="K1742" s="59"/>
    </row>
    <row r="1743" spans="1:11" ht="16.5" customHeight="1" x14ac:dyDescent="0.25">
      <c r="A1743" s="57" t="s">
        <v>108</v>
      </c>
      <c r="B1743" s="57" t="s">
        <v>176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28"/>
        <v>FEBBRAIO 2023</v>
      </c>
      <c r="F1743" s="57" t="str">
        <f t="shared" si="1229"/>
        <v>2 FEBBRAIO 2023</v>
      </c>
      <c r="G1743" s="59">
        <v>3.49</v>
      </c>
      <c r="H1743" s="1338" t="s">
        <v>75</v>
      </c>
      <c r="I1743" s="960"/>
      <c r="J1743" s="57" t="s">
        <v>108</v>
      </c>
      <c r="K1743" s="59"/>
    </row>
    <row r="1744" spans="1:11" ht="16.5" customHeight="1" x14ac:dyDescent="0.25">
      <c r="A1744" s="57" t="s">
        <v>171</v>
      </c>
      <c r="B1744" s="57" t="s">
        <v>176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28"/>
        <v>FEBBRAIO 2023</v>
      </c>
      <c r="F1744" s="57" t="str">
        <f t="shared" si="1229"/>
        <v>2 FEBBRAIO 2023</v>
      </c>
      <c r="G1744" s="59">
        <v>28.32</v>
      </c>
      <c r="H1744" s="1338" t="s">
        <v>81</v>
      </c>
      <c r="I1744" s="960" t="s">
        <v>993</v>
      </c>
      <c r="J1744" s="59" t="s">
        <v>768</v>
      </c>
      <c r="K1744" s="59"/>
    </row>
    <row r="1745" spans="1:11" ht="18.600000000000001" customHeight="1" x14ac:dyDescent="0.25">
      <c r="A1745" s="57" t="s">
        <v>76</v>
      </c>
      <c r="B1745" s="57" t="s">
        <v>176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si="1228"/>
        <v>FEBBRAIO 2023</v>
      </c>
      <c r="F1745" s="57" t="str">
        <f t="shared" si="1229"/>
        <v>2 FEBBRAIO 2023</v>
      </c>
      <c r="G1745" s="59">
        <v>11.21</v>
      </c>
      <c r="H1745" s="1338" t="s">
        <v>77</v>
      </c>
      <c r="I1745" s="960"/>
      <c r="J1745" s="59"/>
      <c r="K1745" s="59"/>
    </row>
    <row r="1746" spans="1:11" ht="16.5" customHeight="1" x14ac:dyDescent="0.25">
      <c r="A1746" s="57" t="s">
        <v>121</v>
      </c>
      <c r="B1746" s="57" t="s">
        <v>176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28"/>
        <v>FEBBRAIO 2023</v>
      </c>
      <c r="F1746" s="57" t="str">
        <f t="shared" si="1229"/>
        <v>2 FEBBRAIO 2023</v>
      </c>
      <c r="G1746" s="59">
        <v>0.4</v>
      </c>
      <c r="H1746" s="1338" t="s">
        <v>777</v>
      </c>
      <c r="I1746" s="960"/>
      <c r="J1746" s="59"/>
      <c r="K1746" s="59"/>
    </row>
    <row r="1747" spans="1:11" ht="18" customHeight="1" x14ac:dyDescent="0.25">
      <c r="A1747" s="57" t="s">
        <v>121</v>
      </c>
      <c r="B1747" s="57" t="s">
        <v>176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28"/>
        <v>FEBBRAIO 2023</v>
      </c>
      <c r="F1747" s="57" t="str">
        <f t="shared" si="1229"/>
        <v>2 FEBBRAIO 2023</v>
      </c>
      <c r="G1747" s="59">
        <v>0.4</v>
      </c>
      <c r="H1747" s="1338" t="s">
        <v>777</v>
      </c>
      <c r="I1747" s="960"/>
      <c r="J1747" s="59"/>
      <c r="K1747" s="59"/>
    </row>
    <row r="1748" spans="1:11" ht="18" customHeight="1" x14ac:dyDescent="0.25">
      <c r="A1748" s="57" t="s">
        <v>252</v>
      </c>
      <c r="B1748" s="57" t="s">
        <v>176</v>
      </c>
      <c r="C1748" s="57">
        <v>2023</v>
      </c>
      <c r="D1748" s="58">
        <f>MATCH(B1748,{"GENNAIO","FEBBRAIO","MARZO","APRILE","MAGGIO","GIUGNO","LUGLIO","AGOSTO","SETTEMBRE","OTTOBRE","NOVEMBRE","DICEMBRE"},0)</f>
        <v>2</v>
      </c>
      <c r="E1748" s="57" t="str">
        <f t="shared" si="1228"/>
        <v>FEBBRAIO 2023</v>
      </c>
      <c r="F1748" s="57" t="str">
        <f t="shared" si="1229"/>
        <v>2 FEBBRAIO 2023</v>
      </c>
      <c r="G1748" s="59">
        <v>36</v>
      </c>
      <c r="H1748" s="1338" t="s">
        <v>69</v>
      </c>
      <c r="I1748" s="960"/>
      <c r="J1748" s="59"/>
      <c r="K1748" s="59"/>
    </row>
    <row r="1749" spans="1:11" ht="18.600000000000001" customHeight="1" x14ac:dyDescent="0.25">
      <c r="A1749" s="57" t="s">
        <v>121</v>
      </c>
      <c r="B1749" s="57" t="s">
        <v>176</v>
      </c>
      <c r="C1749" s="57">
        <v>2023</v>
      </c>
      <c r="D1749" s="58">
        <f>MATCH(B1749,{"GENNAIO","FEBBRAIO","MARZO","APRILE","MAGGIO","GIUGNO","LUGLIO","AGOSTO","SETTEMBRE","OTTOBRE","NOVEMBRE","DICEMBRE"},0)</f>
        <v>2</v>
      </c>
      <c r="E1749" s="57" t="str">
        <f t="shared" si="1228"/>
        <v>FEBBRAIO 2023</v>
      </c>
      <c r="F1749" s="57" t="str">
        <f t="shared" si="1229"/>
        <v>2 FEBBRAIO 2023</v>
      </c>
      <c r="G1749" s="59">
        <v>0.4</v>
      </c>
      <c r="H1749" s="1338" t="s">
        <v>777</v>
      </c>
      <c r="I1749" s="960"/>
      <c r="J1749" s="59"/>
      <c r="K1749" s="59"/>
    </row>
    <row r="1750" spans="1:11" ht="18.600000000000001" customHeight="1" x14ac:dyDescent="0.25">
      <c r="A1750" s="57" t="s">
        <v>996</v>
      </c>
      <c r="B1750" s="57" t="s">
        <v>176</v>
      </c>
      <c r="C1750" s="57">
        <v>2023</v>
      </c>
      <c r="D1750" s="58">
        <f>MATCH(B1750,{"GENNAIO","FEBBRAIO","MARZO","APRILE","MAGGIO","GIUGNO","LUGLIO","AGOSTO","SETTEMBRE","OTTOBRE","NOVEMBRE","DICEMBRE"},0)</f>
        <v>2</v>
      </c>
      <c r="E1750" s="57" t="str">
        <f t="shared" si="1228"/>
        <v>FEBBRAIO 2023</v>
      </c>
      <c r="F1750" s="57" t="str">
        <f t="shared" si="1229"/>
        <v>2 FEBBRAIO 2023</v>
      </c>
      <c r="G1750" s="59">
        <v>11.92</v>
      </c>
      <c r="H1750" s="1338" t="s">
        <v>75</v>
      </c>
      <c r="I1750" s="960" t="s">
        <v>988</v>
      </c>
      <c r="J1750" s="59" t="s">
        <v>768</v>
      </c>
      <c r="K1750" s="59"/>
    </row>
    <row r="1751" spans="1:11" ht="18" customHeight="1" x14ac:dyDescent="0.25">
      <c r="A1751" s="57" t="s">
        <v>1002</v>
      </c>
      <c r="B1751" s="57" t="s">
        <v>176</v>
      </c>
      <c r="C1751" s="57">
        <v>2023</v>
      </c>
      <c r="D1751" s="58">
        <f>MATCH(B1751,{"GENNAIO","FEBBRAIO","MARZO","APRILE","MAGGIO","GIUGNO","LUGLIO","AGOSTO","SETTEMBRE","OTTOBRE","NOVEMBRE","DICEMBRE"},0)</f>
        <v>2</v>
      </c>
      <c r="E1751" s="57" t="str">
        <f t="shared" si="1228"/>
        <v>FEBBRAIO 2023</v>
      </c>
      <c r="F1751" s="57" t="str">
        <f t="shared" si="1229"/>
        <v>2 FEBBRAIO 2023</v>
      </c>
      <c r="G1751" s="59">
        <v>16.899999999999999</v>
      </c>
      <c r="H1751" s="1338" t="s">
        <v>231</v>
      </c>
      <c r="I1751" s="960" t="s">
        <v>988</v>
      </c>
      <c r="J1751" s="59" t="s">
        <v>768</v>
      </c>
      <c r="K1751" s="59"/>
    </row>
    <row r="1752" spans="1:11" ht="18.600000000000001" customHeight="1" x14ac:dyDescent="0.25">
      <c r="A1752" s="57" t="s">
        <v>120</v>
      </c>
      <c r="B1752" s="57" t="s">
        <v>176</v>
      </c>
      <c r="C1752" s="57">
        <v>2023</v>
      </c>
      <c r="D1752" s="58">
        <f>MATCH(B1752,{"GENNAIO","FEBBRAIO","MARZO","APRILE","MAGGIO","GIUGNO","LUGLIO","AGOSTO","SETTEMBRE","OTTOBRE","NOVEMBRE","DICEMBRE"},0)</f>
        <v>2</v>
      </c>
      <c r="E1752" s="57" t="str">
        <f t="shared" si="1228"/>
        <v>FEBBRAIO 2023</v>
      </c>
      <c r="F1752" s="57" t="str">
        <f t="shared" si="1229"/>
        <v>2 FEBBRAIO 2023</v>
      </c>
      <c r="G1752" s="59">
        <v>33.24</v>
      </c>
      <c r="H1752" s="1338" t="s">
        <v>77</v>
      </c>
      <c r="I1752" s="960"/>
      <c r="J1752" s="59"/>
      <c r="K1752" s="59"/>
    </row>
    <row r="1753" spans="1:11" ht="18.600000000000001" customHeight="1" x14ac:dyDescent="0.25">
      <c r="A1753" s="57" t="s">
        <v>76</v>
      </c>
      <c r="B1753" s="57" t="s">
        <v>176</v>
      </c>
      <c r="C1753" s="57">
        <v>2023</v>
      </c>
      <c r="D1753" s="58">
        <f>MATCH(B1753,{"GENNAIO","FEBBRAIO","MARZO","APRILE","MAGGIO","GIUGNO","LUGLIO","AGOSTO","SETTEMBRE","OTTOBRE","NOVEMBRE","DICEMBRE"},0)</f>
        <v>2</v>
      </c>
      <c r="E1753" s="57" t="str">
        <f t="shared" si="1228"/>
        <v>FEBBRAIO 2023</v>
      </c>
      <c r="F1753" s="57" t="str">
        <f t="shared" si="1229"/>
        <v>2 FEBBRAIO 2023</v>
      </c>
      <c r="G1753" s="59">
        <v>35.53</v>
      </c>
      <c r="H1753" s="1338" t="s">
        <v>77</v>
      </c>
      <c r="I1753" s="960"/>
      <c r="J1753" s="59"/>
      <c r="K1753" s="59"/>
    </row>
    <row r="1754" spans="1:11" ht="18.600000000000001" customHeight="1" x14ac:dyDescent="0.25">
      <c r="A1754" s="57" t="s">
        <v>998</v>
      </c>
      <c r="B1754" s="57" t="s">
        <v>176</v>
      </c>
      <c r="C1754" s="57">
        <v>2023</v>
      </c>
      <c r="D1754" s="58">
        <f>MATCH(B1754,{"GENNAIO","FEBBRAIO","MARZO","APRILE","MAGGIO","GIUGNO","LUGLIO","AGOSTO","SETTEMBRE","OTTOBRE","NOVEMBRE","DICEMBRE"},0)</f>
        <v>2</v>
      </c>
      <c r="E1754" s="57" t="str">
        <f t="shared" ref="E1754:E1817" si="1230">CONCATENATE(,B1754," ",C1754)</f>
        <v>FEBBRAIO 2023</v>
      </c>
      <c r="F1754" s="57" t="str">
        <f t="shared" ref="F1754:F1817" si="1231">CONCATENATE(D1754," ",E1754)</f>
        <v>2 FEBBRAIO 2023</v>
      </c>
      <c r="G1754" s="59">
        <v>28.63</v>
      </c>
      <c r="H1754" s="1338" t="s">
        <v>70</v>
      </c>
      <c r="I1754" s="960" t="s">
        <v>993</v>
      </c>
      <c r="J1754" s="59" t="s">
        <v>768</v>
      </c>
      <c r="K1754" s="59"/>
    </row>
    <row r="1755" spans="1:11" ht="16.5" customHeight="1" x14ac:dyDescent="0.25">
      <c r="A1755" s="57" t="s">
        <v>79</v>
      </c>
      <c r="B1755" s="57" t="s">
        <v>176</v>
      </c>
      <c r="C1755" s="57">
        <v>2023</v>
      </c>
      <c r="D1755" s="58">
        <f>MATCH(B1755,{"GENNAIO","FEBBRAIO","MARZO","APRILE","MAGGIO","GIUGNO","LUGLIO","AGOSTO","SETTEMBRE","OTTOBRE","NOVEMBRE","DICEMBRE"},0)</f>
        <v>2</v>
      </c>
      <c r="E1755" s="57" t="str">
        <f t="shared" si="1230"/>
        <v>FEBBRAIO 2023</v>
      </c>
      <c r="F1755" s="57" t="str">
        <f t="shared" si="1231"/>
        <v>2 FEBBRAIO 2023</v>
      </c>
      <c r="G1755" s="59">
        <v>14.08</v>
      </c>
      <c r="H1755" s="1338" t="s">
        <v>81</v>
      </c>
      <c r="I1755" s="960"/>
      <c r="J1755" s="59"/>
      <c r="K1755" s="59"/>
    </row>
    <row r="1756" spans="1:11" ht="18" customHeight="1" x14ac:dyDescent="0.25">
      <c r="A1756" s="57" t="s">
        <v>253</v>
      </c>
      <c r="B1756" s="57" t="s">
        <v>176</v>
      </c>
      <c r="C1756" s="57">
        <v>2023</v>
      </c>
      <c r="D1756" s="58">
        <f>MATCH(B1756,{"GENNAIO","FEBBRAIO","MARZO","APRILE","MAGGIO","GIUGNO","LUGLIO","AGOSTO","SETTEMBRE","OTTOBRE","NOVEMBRE","DICEMBRE"},0)</f>
        <v>2</v>
      </c>
      <c r="E1756" s="57" t="str">
        <f t="shared" si="1230"/>
        <v>FEBBRAIO 2023</v>
      </c>
      <c r="F1756" s="57" t="str">
        <f t="shared" si="1231"/>
        <v>2 FEBBRAIO 2023</v>
      </c>
      <c r="G1756" s="59">
        <v>15</v>
      </c>
      <c r="H1756" s="1338" t="s">
        <v>69</v>
      </c>
      <c r="I1756" s="960"/>
      <c r="J1756" s="59"/>
      <c r="K1756" s="59"/>
    </row>
    <row r="1757" spans="1:11" ht="16.5" customHeight="1" x14ac:dyDescent="0.25">
      <c r="A1757" s="57" t="s">
        <v>76</v>
      </c>
      <c r="B1757" s="57" t="s">
        <v>183</v>
      </c>
      <c r="C1757" s="57">
        <v>2023</v>
      </c>
      <c r="D1757" s="58">
        <f>MATCH(B1757,{"GENNAIO","FEBBRAIO","MARZO","APRILE","MAGGIO","GIUGNO","LUGLIO","AGOSTO","SETTEMBRE","OTTOBRE","NOVEMBRE","DICEMBRE"},0)</f>
        <v>1</v>
      </c>
      <c r="E1757" s="57" t="str">
        <f t="shared" si="1230"/>
        <v>GENNAIO 2023</v>
      </c>
      <c r="F1757" s="57" t="str">
        <f t="shared" si="1231"/>
        <v>1 GENNAIO 2023</v>
      </c>
      <c r="G1757" s="59">
        <v>15.48</v>
      </c>
      <c r="H1757" s="1338" t="s">
        <v>77</v>
      </c>
      <c r="I1757" s="960"/>
      <c r="J1757" s="59"/>
      <c r="K1757" s="59"/>
    </row>
    <row r="1758" spans="1:11" ht="18.600000000000001" customHeight="1" x14ac:dyDescent="0.25">
      <c r="A1758" s="57" t="s">
        <v>254</v>
      </c>
      <c r="B1758" s="57" t="s">
        <v>183</v>
      </c>
      <c r="C1758" s="57">
        <v>2023</v>
      </c>
      <c r="D1758" s="58">
        <f>MATCH(B1758,{"GENNAIO","FEBBRAIO","MARZO","APRILE","MAGGIO","GIUGNO","LUGLIO","AGOSTO","SETTEMBRE","OTTOBRE","NOVEMBRE","DICEMBRE"},0)</f>
        <v>1</v>
      </c>
      <c r="E1758" s="57" t="str">
        <f t="shared" si="1230"/>
        <v>GENNAIO 2023</v>
      </c>
      <c r="F1758" s="57" t="str">
        <f t="shared" si="1231"/>
        <v>1 GENNAIO 2023</v>
      </c>
      <c r="G1758" s="59">
        <v>23</v>
      </c>
      <c r="H1758" s="1338" t="s">
        <v>69</v>
      </c>
      <c r="I1758" s="960"/>
      <c r="J1758" s="59"/>
      <c r="K1758" s="59"/>
    </row>
    <row r="1759" spans="1:11" ht="16.5" customHeight="1" x14ac:dyDescent="0.25">
      <c r="A1759" s="57" t="s">
        <v>108</v>
      </c>
      <c r="B1759" s="57" t="s">
        <v>183</v>
      </c>
      <c r="C1759" s="57">
        <v>2023</v>
      </c>
      <c r="D1759" s="58">
        <f>MATCH(B1759,{"GENNAIO","FEBBRAIO","MARZO","APRILE","MAGGIO","GIUGNO","LUGLIO","AGOSTO","SETTEMBRE","OTTOBRE","NOVEMBRE","DICEMBRE"},0)</f>
        <v>1</v>
      </c>
      <c r="E1759" s="57" t="str">
        <f t="shared" si="1230"/>
        <v>GENNAIO 2023</v>
      </c>
      <c r="F1759" s="57" t="str">
        <f t="shared" si="1231"/>
        <v>1 GENNAIO 2023</v>
      </c>
      <c r="G1759" s="59">
        <v>9.98</v>
      </c>
      <c r="H1759" s="1338" t="s">
        <v>137</v>
      </c>
      <c r="I1759" s="960" t="s">
        <v>1044</v>
      </c>
      <c r="J1759" s="57" t="s">
        <v>108</v>
      </c>
      <c r="K1759" s="59"/>
    </row>
    <row r="1760" spans="1:11" ht="16.5" customHeight="1" x14ac:dyDescent="0.25">
      <c r="A1760" s="57" t="s">
        <v>67</v>
      </c>
      <c r="B1760" s="57" t="s">
        <v>183</v>
      </c>
      <c r="C1760" s="57">
        <v>2023</v>
      </c>
      <c r="D1760" s="58">
        <f>MATCH(B1760,{"GENNAIO","FEBBRAIO","MARZO","APRILE","MAGGIO","GIUGNO","LUGLIO","AGOSTO","SETTEMBRE","OTTOBRE","NOVEMBRE","DICEMBRE"},0)</f>
        <v>1</v>
      </c>
      <c r="E1760" s="57" t="str">
        <f t="shared" si="1230"/>
        <v>GENNAIO 2023</v>
      </c>
      <c r="F1760" s="57" t="str">
        <f t="shared" si="1231"/>
        <v>1 GENNAIO 2023</v>
      </c>
      <c r="G1760" s="59">
        <v>5</v>
      </c>
      <c r="H1760" s="1338" t="s">
        <v>776</v>
      </c>
      <c r="I1760" s="960"/>
      <c r="J1760" s="59"/>
      <c r="K1760" s="59"/>
    </row>
    <row r="1761" spans="1:11" ht="16.5" customHeight="1" x14ac:dyDescent="0.25">
      <c r="A1761" s="57" t="s">
        <v>79</v>
      </c>
      <c r="B1761" s="57" t="s">
        <v>183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30"/>
        <v>GENNAIO 2023</v>
      </c>
      <c r="F1761" s="57" t="str">
        <f t="shared" si="1231"/>
        <v>1 GENNAIO 2023</v>
      </c>
      <c r="G1761" s="59">
        <v>4.5999999999999996</v>
      </c>
      <c r="H1761" s="1338" t="s">
        <v>81</v>
      </c>
      <c r="I1761" s="960"/>
      <c r="J1761" s="59"/>
      <c r="K1761" s="59"/>
    </row>
    <row r="1762" spans="1:11" ht="16.5" customHeight="1" x14ac:dyDescent="0.25">
      <c r="A1762" s="57" t="s">
        <v>121</v>
      </c>
      <c r="B1762" s="57" t="s">
        <v>183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30"/>
        <v>GENNAIO 2023</v>
      </c>
      <c r="F1762" s="57" t="str">
        <f t="shared" si="1231"/>
        <v>1 GENNAIO 2023</v>
      </c>
      <c r="G1762" s="59">
        <v>0.4</v>
      </c>
      <c r="H1762" s="1338" t="s">
        <v>777</v>
      </c>
      <c r="I1762" s="960"/>
      <c r="J1762" s="59"/>
      <c r="K1762" s="59"/>
    </row>
    <row r="1763" spans="1:11" ht="16.5" customHeight="1" x14ac:dyDescent="0.25">
      <c r="A1763" s="57" t="s">
        <v>121</v>
      </c>
      <c r="B1763" s="57" t="s">
        <v>183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30"/>
        <v>GENNAIO 2023</v>
      </c>
      <c r="F1763" s="57" t="str">
        <f t="shared" si="1231"/>
        <v>1 GENNAIO 2023</v>
      </c>
      <c r="G1763" s="59">
        <v>0.4</v>
      </c>
      <c r="H1763" s="1338" t="s">
        <v>777</v>
      </c>
      <c r="I1763" s="960"/>
      <c r="J1763" s="59"/>
      <c r="K1763" s="59"/>
    </row>
    <row r="1764" spans="1:11" ht="16.5" customHeight="1" x14ac:dyDescent="0.25">
      <c r="A1764" s="57" t="s">
        <v>67</v>
      </c>
      <c r="B1764" s="57" t="s">
        <v>183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30"/>
        <v>GENNAIO 2023</v>
      </c>
      <c r="F1764" s="57" t="str">
        <f t="shared" si="1231"/>
        <v>1 GENNAIO 2023</v>
      </c>
      <c r="G1764" s="59">
        <v>3.6</v>
      </c>
      <c r="H1764" s="1338" t="s">
        <v>69</v>
      </c>
      <c r="I1764" s="960"/>
      <c r="J1764" s="59"/>
      <c r="K1764" s="59"/>
    </row>
    <row r="1765" spans="1:11" ht="16.5" customHeight="1" x14ac:dyDescent="0.25">
      <c r="A1765" s="57" t="s">
        <v>121</v>
      </c>
      <c r="B1765" s="57" t="s">
        <v>183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30"/>
        <v>GENNAIO 2023</v>
      </c>
      <c r="F1765" s="57" t="str">
        <f t="shared" si="1231"/>
        <v>1 GENNAIO 2023</v>
      </c>
      <c r="G1765" s="59">
        <v>0.4</v>
      </c>
      <c r="H1765" s="1338" t="s">
        <v>777</v>
      </c>
      <c r="I1765" s="960"/>
      <c r="J1765" s="59"/>
      <c r="K1765" s="59"/>
    </row>
    <row r="1766" spans="1:11" ht="16.5" customHeight="1" x14ac:dyDescent="0.25">
      <c r="A1766" s="57" t="s">
        <v>121</v>
      </c>
      <c r="B1766" s="57" t="s">
        <v>183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30"/>
        <v>GENNAIO 2023</v>
      </c>
      <c r="F1766" s="57" t="str">
        <f t="shared" si="1231"/>
        <v>1 GENNAIO 2023</v>
      </c>
      <c r="G1766" s="59">
        <v>0.4</v>
      </c>
      <c r="H1766" s="1338" t="s">
        <v>777</v>
      </c>
      <c r="I1766" s="960"/>
      <c r="J1766" s="59"/>
      <c r="K1766" s="59"/>
    </row>
    <row r="1767" spans="1:11" ht="18" customHeight="1" x14ac:dyDescent="0.25">
      <c r="A1767" s="57" t="s">
        <v>121</v>
      </c>
      <c r="B1767" s="57" t="s">
        <v>183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30"/>
        <v>GENNAIO 2023</v>
      </c>
      <c r="F1767" s="57" t="str">
        <f t="shared" si="1231"/>
        <v>1 GENNAIO 2023</v>
      </c>
      <c r="G1767" s="59">
        <v>0.4</v>
      </c>
      <c r="H1767" s="1338" t="s">
        <v>777</v>
      </c>
      <c r="I1767" s="960"/>
      <c r="J1767" s="59"/>
      <c r="K1767" s="59"/>
    </row>
    <row r="1768" spans="1:11" ht="18.600000000000001" customHeight="1" x14ac:dyDescent="0.25">
      <c r="A1768" s="57" t="s">
        <v>121</v>
      </c>
      <c r="B1768" s="57" t="s">
        <v>183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30"/>
        <v>GENNAIO 2023</v>
      </c>
      <c r="F1768" s="57" t="str">
        <f t="shared" si="1231"/>
        <v>1 GENNAIO 2023</v>
      </c>
      <c r="G1768" s="59">
        <v>0.4</v>
      </c>
      <c r="H1768" s="1338" t="s">
        <v>777</v>
      </c>
      <c r="I1768" s="960"/>
      <c r="J1768" s="59"/>
      <c r="K1768" s="59"/>
    </row>
    <row r="1769" spans="1:11" ht="18.600000000000001" customHeight="1" x14ac:dyDescent="0.25">
      <c r="A1769" s="57" t="s">
        <v>121</v>
      </c>
      <c r="B1769" s="57" t="s">
        <v>183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30"/>
        <v>GENNAIO 2023</v>
      </c>
      <c r="F1769" s="57" t="str">
        <f t="shared" si="1231"/>
        <v>1 GENNAIO 2023</v>
      </c>
      <c r="G1769" s="59">
        <v>0.4</v>
      </c>
      <c r="H1769" s="1338" t="s">
        <v>777</v>
      </c>
      <c r="I1769" s="960"/>
      <c r="J1769" s="59"/>
      <c r="K1769" s="59"/>
    </row>
    <row r="1770" spans="1:11" ht="18.600000000000001" customHeight="1" x14ac:dyDescent="0.25">
      <c r="A1770" s="57" t="s">
        <v>108</v>
      </c>
      <c r="B1770" s="57" t="s">
        <v>183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30"/>
        <v>GENNAIO 2023</v>
      </c>
      <c r="F1770" s="57" t="str">
        <f t="shared" si="1231"/>
        <v>1 GENNAIO 2023</v>
      </c>
      <c r="G1770" s="59">
        <v>0.76</v>
      </c>
      <c r="H1770" s="1338" t="s">
        <v>75</v>
      </c>
      <c r="I1770" s="960"/>
      <c r="J1770" s="57" t="s">
        <v>108</v>
      </c>
      <c r="K1770" s="59"/>
    </row>
    <row r="1771" spans="1:11" ht="18.600000000000001" customHeight="1" x14ac:dyDescent="0.25">
      <c r="A1771" s="57" t="s">
        <v>140</v>
      </c>
      <c r="B1771" s="57" t="s">
        <v>183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30"/>
        <v>GENNAIO 2023</v>
      </c>
      <c r="F1771" s="57" t="str">
        <f t="shared" si="1231"/>
        <v>1 GENNAIO 2023</v>
      </c>
      <c r="G1771" s="59">
        <v>34.54</v>
      </c>
      <c r="H1771" s="1338" t="s">
        <v>69</v>
      </c>
      <c r="I1771" s="960"/>
      <c r="J1771" s="59"/>
      <c r="K1771" s="59"/>
    </row>
    <row r="1772" spans="1:11" ht="18" customHeight="1" x14ac:dyDescent="0.25">
      <c r="A1772" s="57" t="s">
        <v>79</v>
      </c>
      <c r="B1772" s="57" t="s">
        <v>183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30"/>
        <v>GENNAIO 2023</v>
      </c>
      <c r="F1772" s="57" t="str">
        <f t="shared" si="1231"/>
        <v>1 GENNAIO 2023</v>
      </c>
      <c r="G1772" s="59">
        <v>7.1</v>
      </c>
      <c r="H1772" s="1338" t="s">
        <v>81</v>
      </c>
      <c r="I1772" s="960"/>
      <c r="J1772" s="59"/>
      <c r="K1772" s="59"/>
    </row>
    <row r="1773" spans="1:11" ht="18.600000000000001" customHeight="1" x14ac:dyDescent="0.25">
      <c r="A1773" s="57" t="s">
        <v>79</v>
      </c>
      <c r="B1773" s="57" t="s">
        <v>183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30"/>
        <v>GENNAIO 2023</v>
      </c>
      <c r="F1773" s="57" t="str">
        <f t="shared" si="1231"/>
        <v>1 GENNAIO 2023</v>
      </c>
      <c r="G1773" s="59">
        <v>9.09</v>
      </c>
      <c r="H1773" s="1338" t="s">
        <v>81</v>
      </c>
      <c r="I1773" s="960"/>
      <c r="J1773" s="59"/>
      <c r="K1773" s="59"/>
    </row>
    <row r="1774" spans="1:11" ht="18.600000000000001" customHeight="1" x14ac:dyDescent="0.25">
      <c r="A1774" s="57" t="s">
        <v>76</v>
      </c>
      <c r="B1774" s="57" t="s">
        <v>183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30"/>
        <v>GENNAIO 2023</v>
      </c>
      <c r="F1774" s="57" t="str">
        <f t="shared" si="1231"/>
        <v>1 GENNAIO 2023</v>
      </c>
      <c r="G1774" s="59">
        <v>15.88</v>
      </c>
      <c r="H1774" s="1338" t="s">
        <v>77</v>
      </c>
      <c r="I1774" s="960"/>
      <c r="J1774" s="59"/>
      <c r="K1774" s="59"/>
    </row>
    <row r="1775" spans="1:11" ht="18.600000000000001" customHeight="1" x14ac:dyDescent="0.25">
      <c r="A1775" s="57" t="s">
        <v>996</v>
      </c>
      <c r="B1775" s="57" t="s">
        <v>183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30"/>
        <v>GENNAIO 2023</v>
      </c>
      <c r="F1775" s="57" t="str">
        <f t="shared" si="1231"/>
        <v>1 GENNAIO 2023</v>
      </c>
      <c r="G1775" s="59">
        <v>11.91</v>
      </c>
      <c r="H1775" s="1338" t="s">
        <v>75</v>
      </c>
      <c r="I1775" s="960" t="s">
        <v>993</v>
      </c>
      <c r="J1775" s="59" t="s">
        <v>768</v>
      </c>
      <c r="K1775" s="59"/>
    </row>
    <row r="1776" spans="1:11" ht="18.600000000000001" customHeight="1" x14ac:dyDescent="0.25">
      <c r="A1776" s="57" t="s">
        <v>255</v>
      </c>
      <c r="B1776" s="57" t="s">
        <v>183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30"/>
        <v>GENNAIO 2023</v>
      </c>
      <c r="F1776" s="57" t="str">
        <f t="shared" si="1231"/>
        <v>1 GENNAIO 2023</v>
      </c>
      <c r="G1776" s="59">
        <v>10.5</v>
      </c>
      <c r="H1776" s="1338" t="s">
        <v>69</v>
      </c>
      <c r="I1776" s="960"/>
      <c r="J1776" s="59"/>
      <c r="K1776" s="59"/>
    </row>
    <row r="1777" spans="1:11" ht="18.600000000000001" customHeight="1" x14ac:dyDescent="0.25">
      <c r="A1777" s="57" t="s">
        <v>256</v>
      </c>
      <c r="B1777" s="57" t="s">
        <v>183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30"/>
        <v>GENNAIO 2023</v>
      </c>
      <c r="F1777" s="57" t="str">
        <f t="shared" si="1231"/>
        <v>1 GENNAIO 2023</v>
      </c>
      <c r="G1777" s="59">
        <v>20</v>
      </c>
      <c r="H1777" s="1338" t="s">
        <v>69</v>
      </c>
      <c r="I1777" s="960"/>
      <c r="J1777" s="59"/>
      <c r="K1777" s="59"/>
    </row>
    <row r="1778" spans="1:11" ht="16.5" customHeight="1" x14ac:dyDescent="0.25">
      <c r="A1778" s="57" t="s">
        <v>79</v>
      </c>
      <c r="B1778" s="57" t="s">
        <v>183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30"/>
        <v>GENNAIO 2023</v>
      </c>
      <c r="F1778" s="57" t="str">
        <f t="shared" si="1231"/>
        <v>1 GENNAIO 2023</v>
      </c>
      <c r="G1778" s="59">
        <v>6.79</v>
      </c>
      <c r="H1778" s="1338" t="s">
        <v>81</v>
      </c>
      <c r="I1778" s="960"/>
      <c r="J1778" s="59"/>
      <c r="K1778" s="59"/>
    </row>
    <row r="1779" spans="1:11" ht="16.5" customHeight="1" x14ac:dyDescent="0.25">
      <c r="A1779" s="57" t="s">
        <v>251</v>
      </c>
      <c r="B1779" s="57" t="s">
        <v>183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30"/>
        <v>GENNAIO 2023</v>
      </c>
      <c r="F1779" s="57" t="str">
        <f t="shared" si="1231"/>
        <v>1 GENNAIO 2023</v>
      </c>
      <c r="G1779" s="59">
        <v>7</v>
      </c>
      <c r="H1779" s="1338" t="s">
        <v>69</v>
      </c>
      <c r="I1779" s="960"/>
      <c r="J1779" s="59"/>
      <c r="K1779" s="59"/>
    </row>
    <row r="1780" spans="1:11" ht="18.600000000000001" customHeight="1" x14ac:dyDescent="0.25">
      <c r="A1780" s="57" t="s">
        <v>257</v>
      </c>
      <c r="B1780" s="57" t="s">
        <v>183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30"/>
        <v>GENNAIO 2023</v>
      </c>
      <c r="F1780" s="57" t="str">
        <f t="shared" si="1231"/>
        <v>1 GENNAIO 2023</v>
      </c>
      <c r="G1780" s="59">
        <v>19</v>
      </c>
      <c r="H1780" s="1338" t="s">
        <v>70</v>
      </c>
      <c r="I1780" s="960"/>
      <c r="J1780" s="59"/>
      <c r="K1780" s="59"/>
    </row>
    <row r="1781" spans="1:11" ht="18" customHeight="1" x14ac:dyDescent="0.25">
      <c r="A1781" s="57" t="s">
        <v>232</v>
      </c>
      <c r="B1781" s="57" t="s">
        <v>183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30"/>
        <v>GENNAIO 2023</v>
      </c>
      <c r="F1781" s="57" t="str">
        <f t="shared" si="1231"/>
        <v>1 GENNAIO 2023</v>
      </c>
      <c r="G1781" s="59">
        <v>4.7</v>
      </c>
      <c r="H1781" s="1338" t="s">
        <v>91</v>
      </c>
      <c r="I1781" s="960"/>
      <c r="J1781" s="59"/>
      <c r="K1781" s="59"/>
    </row>
    <row r="1782" spans="1:11" ht="18.600000000000001" customHeight="1" x14ac:dyDescent="0.25">
      <c r="A1782" s="57" t="s">
        <v>232</v>
      </c>
      <c r="B1782" s="57" t="s">
        <v>183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30"/>
        <v>GENNAIO 2023</v>
      </c>
      <c r="F1782" s="57" t="str">
        <f t="shared" si="1231"/>
        <v>1 GENNAIO 2023</v>
      </c>
      <c r="G1782" s="59">
        <v>4.7</v>
      </c>
      <c r="H1782" s="1338" t="s">
        <v>91</v>
      </c>
      <c r="I1782" s="960"/>
      <c r="J1782" s="59"/>
      <c r="K1782" s="59"/>
    </row>
    <row r="1783" spans="1:11" ht="18" customHeight="1" x14ac:dyDescent="0.25">
      <c r="A1783" s="57" t="s">
        <v>76</v>
      </c>
      <c r="B1783" s="57" t="s">
        <v>183</v>
      </c>
      <c r="C1783" s="57">
        <v>2023</v>
      </c>
      <c r="D1783" s="58">
        <f>MATCH(B1783,{"GENNAIO","FEBBRAIO","MARZO","APRILE","MAGGIO","GIUGNO","LUGLIO","AGOSTO","SETTEMBRE","OTTOBRE","NOVEMBRE","DICEMBRE"},0)</f>
        <v>1</v>
      </c>
      <c r="E1783" s="57" t="str">
        <f t="shared" si="1230"/>
        <v>GENNAIO 2023</v>
      </c>
      <c r="F1783" s="57" t="str">
        <f t="shared" si="1231"/>
        <v>1 GENNAIO 2023</v>
      </c>
      <c r="G1783" s="59">
        <v>24.16</v>
      </c>
      <c r="H1783" s="1338" t="s">
        <v>77</v>
      </c>
      <c r="I1783" s="960"/>
      <c r="J1783" s="59"/>
      <c r="K1783" s="59"/>
    </row>
    <row r="1784" spans="1:11" ht="18.600000000000001" customHeight="1" x14ac:dyDescent="0.25">
      <c r="A1784" s="57" t="s">
        <v>258</v>
      </c>
      <c r="B1784" s="57" t="s">
        <v>183</v>
      </c>
      <c r="C1784" s="57">
        <v>2023</v>
      </c>
      <c r="D1784" s="58">
        <f>MATCH(B1784,{"GENNAIO","FEBBRAIO","MARZO","APRILE","MAGGIO","GIUGNO","LUGLIO","AGOSTO","SETTEMBRE","OTTOBRE","NOVEMBRE","DICEMBRE"},0)</f>
        <v>1</v>
      </c>
      <c r="E1784" s="57" t="str">
        <f t="shared" si="1230"/>
        <v>GENNAIO 2023</v>
      </c>
      <c r="F1784" s="57" t="str">
        <f t="shared" si="1231"/>
        <v>1 GENNAIO 2023</v>
      </c>
      <c r="G1784" s="59">
        <v>7.3</v>
      </c>
      <c r="H1784" s="1338" t="s">
        <v>81</v>
      </c>
      <c r="I1784" s="960"/>
      <c r="J1784" s="59"/>
      <c r="K1784" s="59"/>
    </row>
    <row r="1785" spans="1:11" ht="18.600000000000001" customHeight="1" x14ac:dyDescent="0.25">
      <c r="A1785" s="57" t="s">
        <v>79</v>
      </c>
      <c r="B1785" s="57" t="s">
        <v>183</v>
      </c>
      <c r="C1785" s="57">
        <v>2023</v>
      </c>
      <c r="D1785" s="58">
        <f>MATCH(B1785,{"GENNAIO","FEBBRAIO","MARZO","APRILE","MAGGIO","GIUGNO","LUGLIO","AGOSTO","SETTEMBRE","OTTOBRE","NOVEMBRE","DICEMBRE"},0)</f>
        <v>1</v>
      </c>
      <c r="E1785" s="57" t="str">
        <f t="shared" si="1230"/>
        <v>GENNAIO 2023</v>
      </c>
      <c r="F1785" s="57" t="str">
        <f t="shared" si="1231"/>
        <v>1 GENNAIO 2023</v>
      </c>
      <c r="G1785" s="59">
        <v>6.49</v>
      </c>
      <c r="H1785" s="1338" t="s">
        <v>81</v>
      </c>
      <c r="I1785" s="960"/>
      <c r="J1785" s="59"/>
      <c r="K1785" s="59"/>
    </row>
    <row r="1786" spans="1:11" ht="18.600000000000001" customHeight="1" x14ac:dyDescent="0.25">
      <c r="A1786" s="57" t="s">
        <v>1002</v>
      </c>
      <c r="B1786" s="57" t="s">
        <v>183</v>
      </c>
      <c r="C1786" s="57">
        <v>2023</v>
      </c>
      <c r="D1786" s="58">
        <f>MATCH(B1786,{"GENNAIO","FEBBRAIO","MARZO","APRILE","MAGGIO","GIUGNO","LUGLIO","AGOSTO","SETTEMBRE","OTTOBRE","NOVEMBRE","DICEMBRE"},0)</f>
        <v>1</v>
      </c>
      <c r="E1786" s="57" t="str">
        <f t="shared" si="1230"/>
        <v>GENNAIO 2023</v>
      </c>
      <c r="F1786" s="57" t="str">
        <f t="shared" si="1231"/>
        <v>1 GENNAIO 2023</v>
      </c>
      <c r="G1786" s="59">
        <v>16.899999999999999</v>
      </c>
      <c r="H1786" s="1338" t="s">
        <v>231</v>
      </c>
      <c r="I1786" s="960" t="s">
        <v>993</v>
      </c>
      <c r="J1786" s="59" t="s">
        <v>768</v>
      </c>
      <c r="K1786" s="59"/>
    </row>
    <row r="1787" spans="1:11" x14ac:dyDescent="0.25">
      <c r="A1787" s="57" t="s">
        <v>79</v>
      </c>
      <c r="B1787" s="57" t="s">
        <v>183</v>
      </c>
      <c r="C1787" s="57">
        <v>2023</v>
      </c>
      <c r="D1787" s="58">
        <f>MATCH(B1787,{"GENNAIO","FEBBRAIO","MARZO","APRILE","MAGGIO","GIUGNO","LUGLIO","AGOSTO","SETTEMBRE","OTTOBRE","NOVEMBRE","DICEMBRE"},0)</f>
        <v>1</v>
      </c>
      <c r="E1787" s="57" t="str">
        <f t="shared" si="1230"/>
        <v>GENNAIO 2023</v>
      </c>
      <c r="F1787" s="57" t="str">
        <f t="shared" si="1231"/>
        <v>1 GENNAIO 2023</v>
      </c>
      <c r="G1787" s="59">
        <v>18.11</v>
      </c>
      <c r="H1787" s="1338" t="s">
        <v>81</v>
      </c>
      <c r="I1787" s="960"/>
      <c r="J1787" s="59"/>
      <c r="K1787" s="59"/>
    </row>
    <row r="1788" spans="1:11" ht="18" customHeight="1" x14ac:dyDescent="0.25">
      <c r="A1788" s="57" t="s">
        <v>140</v>
      </c>
      <c r="B1788" s="57" t="s">
        <v>183</v>
      </c>
      <c r="C1788" s="57">
        <v>2023</v>
      </c>
      <c r="D1788" s="58">
        <f>MATCH(B1788,{"GENNAIO","FEBBRAIO","MARZO","APRILE","MAGGIO","GIUGNO","LUGLIO","AGOSTO","SETTEMBRE","OTTOBRE","NOVEMBRE","DICEMBRE"},0)</f>
        <v>1</v>
      </c>
      <c r="E1788" s="57" t="str">
        <f t="shared" si="1230"/>
        <v>GENNAIO 2023</v>
      </c>
      <c r="F1788" s="57" t="str">
        <f t="shared" si="1231"/>
        <v>1 GENNAIO 2023</v>
      </c>
      <c r="G1788" s="59">
        <v>38.15</v>
      </c>
      <c r="H1788" s="1338" t="s">
        <v>69</v>
      </c>
      <c r="I1788" s="960"/>
      <c r="J1788" s="59"/>
      <c r="K1788" s="59"/>
    </row>
    <row r="1789" spans="1:11" ht="18" customHeight="1" x14ac:dyDescent="0.25">
      <c r="A1789" s="57" t="s">
        <v>76</v>
      </c>
      <c r="B1789" s="57" t="s">
        <v>183</v>
      </c>
      <c r="C1789" s="57">
        <v>2023</v>
      </c>
      <c r="D1789" s="58">
        <f>MATCH(B1789,{"GENNAIO","FEBBRAIO","MARZO","APRILE","MAGGIO","GIUGNO","LUGLIO","AGOSTO","SETTEMBRE","OTTOBRE","NOVEMBRE","DICEMBRE"},0)</f>
        <v>1</v>
      </c>
      <c r="E1789" s="57" t="str">
        <f t="shared" si="1230"/>
        <v>GENNAIO 2023</v>
      </c>
      <c r="F1789" s="57" t="str">
        <f t="shared" si="1231"/>
        <v>1 GENNAIO 2023</v>
      </c>
      <c r="G1789" s="59">
        <v>22.44</v>
      </c>
      <c r="H1789" s="1338" t="s">
        <v>77</v>
      </c>
      <c r="I1789" s="960"/>
      <c r="J1789" s="59"/>
      <c r="K1789" s="59"/>
    </row>
    <row r="1790" spans="1:11" x14ac:dyDescent="0.25">
      <c r="A1790" s="57" t="s">
        <v>154</v>
      </c>
      <c r="B1790" s="57" t="s">
        <v>183</v>
      </c>
      <c r="C1790" s="57">
        <v>2023</v>
      </c>
      <c r="D1790" s="58">
        <f>MATCH(B1790,{"GENNAIO","FEBBRAIO","MARZO","APRILE","MAGGIO","GIUGNO","LUGLIO","AGOSTO","SETTEMBRE","OTTOBRE","NOVEMBRE","DICEMBRE"},0)</f>
        <v>1</v>
      </c>
      <c r="E1790" s="57" t="str">
        <f t="shared" si="1230"/>
        <v>GENNAIO 2023</v>
      </c>
      <c r="F1790" s="57" t="str">
        <f t="shared" si="1231"/>
        <v>1 GENNAIO 2023</v>
      </c>
      <c r="G1790" s="59">
        <v>19.399999999999999</v>
      </c>
      <c r="H1790" s="1338" t="s">
        <v>155</v>
      </c>
      <c r="I1790" s="960"/>
      <c r="J1790" s="59"/>
      <c r="K1790" s="59"/>
    </row>
    <row r="1791" spans="1:11" ht="16.5" customHeight="1" x14ac:dyDescent="0.25">
      <c r="A1791" s="57" t="s">
        <v>108</v>
      </c>
      <c r="B1791" s="57" t="s">
        <v>183</v>
      </c>
      <c r="C1791" s="57">
        <v>2023</v>
      </c>
      <c r="D1791" s="58">
        <f>MATCH(B1791,{"GENNAIO","FEBBRAIO","MARZO","APRILE","MAGGIO","GIUGNO","LUGLIO","AGOSTO","SETTEMBRE","OTTOBRE","NOVEMBRE","DICEMBRE"},0)</f>
        <v>1</v>
      </c>
      <c r="E1791" s="57" t="str">
        <f t="shared" si="1230"/>
        <v>GENNAIO 2023</v>
      </c>
      <c r="F1791" s="57" t="str">
        <f t="shared" si="1231"/>
        <v>1 GENNAIO 2023</v>
      </c>
      <c r="G1791" s="59">
        <v>79.989999999999995</v>
      </c>
      <c r="H1791" s="1338" t="s">
        <v>75</v>
      </c>
      <c r="I1791" s="960"/>
      <c r="J1791" s="57" t="s">
        <v>108</v>
      </c>
      <c r="K1791" s="59"/>
    </row>
    <row r="1792" spans="1:11" ht="16.5" customHeight="1" x14ac:dyDescent="0.25">
      <c r="A1792" s="57" t="s">
        <v>108</v>
      </c>
      <c r="B1792" s="57" t="s">
        <v>188</v>
      </c>
      <c r="C1792" s="57">
        <v>2022</v>
      </c>
      <c r="D1792" s="58">
        <f>MATCH(B1792,{"GENNAIO","FEBBRAIO","MARZO","APRILE","MAGGIO","GIUGNO","LUGLIO","AGOSTO","SETTEMBRE","OTTOBRE","NOVEMBRE","DICEMBRE"},0)</f>
        <v>12</v>
      </c>
      <c r="E1792" s="57" t="str">
        <f t="shared" si="1230"/>
        <v>DICEMBRE 2022</v>
      </c>
      <c r="F1792" s="57" t="str">
        <f t="shared" si="1231"/>
        <v>12 DICEMBRE 2022</v>
      </c>
      <c r="G1792" s="59">
        <v>25.95</v>
      </c>
      <c r="H1792" s="1338" t="s">
        <v>75</v>
      </c>
      <c r="I1792" s="960"/>
      <c r="J1792" s="57" t="s">
        <v>108</v>
      </c>
      <c r="K1792" s="59"/>
    </row>
    <row r="1793" spans="1:11" ht="16.5" customHeight="1" x14ac:dyDescent="0.25">
      <c r="A1793" s="57" t="s">
        <v>175</v>
      </c>
      <c r="B1793" s="57" t="s">
        <v>188</v>
      </c>
      <c r="C1793" s="57">
        <v>2022</v>
      </c>
      <c r="D1793" s="58">
        <f>MATCH(B1793,{"GENNAIO","FEBBRAIO","MARZO","APRILE","MAGGIO","GIUGNO","LUGLIO","AGOSTO","SETTEMBRE","OTTOBRE","NOVEMBRE","DICEMBRE"},0)</f>
        <v>12</v>
      </c>
      <c r="E1793" s="57" t="str">
        <f t="shared" si="1230"/>
        <v>DICEMBRE 2022</v>
      </c>
      <c r="F1793" s="57" t="str">
        <f t="shared" si="1231"/>
        <v>12 DICEMBRE 2022</v>
      </c>
      <c r="G1793" s="59">
        <v>32.700000000000003</v>
      </c>
      <c r="H1793" s="1338" t="s">
        <v>70</v>
      </c>
      <c r="I1793" s="960"/>
      <c r="J1793" s="59"/>
      <c r="K1793" s="59"/>
    </row>
    <row r="1794" spans="1:11" ht="16.5" customHeight="1" x14ac:dyDescent="0.25">
      <c r="A1794" s="57" t="s">
        <v>121</v>
      </c>
      <c r="B1794" s="57" t="s">
        <v>188</v>
      </c>
      <c r="C1794" s="57">
        <v>2022</v>
      </c>
      <c r="D1794" s="58">
        <f>MATCH(B1794,{"GENNAIO","FEBBRAIO","MARZO","APRILE","MAGGIO","GIUGNO","LUGLIO","AGOSTO","SETTEMBRE","OTTOBRE","NOVEMBRE","DICEMBRE"},0)</f>
        <v>12</v>
      </c>
      <c r="E1794" s="57" t="str">
        <f t="shared" si="1230"/>
        <v>DICEMBRE 2022</v>
      </c>
      <c r="F1794" s="57" t="str">
        <f t="shared" si="1231"/>
        <v>12 DICEMBRE 2022</v>
      </c>
      <c r="G1794" s="59">
        <v>0.4</v>
      </c>
      <c r="H1794" s="1338" t="s">
        <v>777</v>
      </c>
      <c r="I1794" s="960"/>
      <c r="J1794" s="59"/>
      <c r="K1794" s="59"/>
    </row>
    <row r="1795" spans="1:11" ht="16.5" customHeight="1" x14ac:dyDescent="0.25">
      <c r="A1795" s="57" t="s">
        <v>121</v>
      </c>
      <c r="B1795" s="57" t="s">
        <v>188</v>
      </c>
      <c r="C1795" s="57">
        <v>2022</v>
      </c>
      <c r="D1795" s="58">
        <f>MATCH(B1795,{"GENNAIO","FEBBRAIO","MARZO","APRILE","MAGGIO","GIUGNO","LUGLIO","AGOSTO","SETTEMBRE","OTTOBRE","NOVEMBRE","DICEMBRE"},0)</f>
        <v>12</v>
      </c>
      <c r="E1795" s="57" t="str">
        <f t="shared" si="1230"/>
        <v>DICEMBRE 2022</v>
      </c>
      <c r="F1795" s="57" t="str">
        <f t="shared" si="1231"/>
        <v>12 DICEMBRE 2022</v>
      </c>
      <c r="G1795" s="59">
        <v>0.4</v>
      </c>
      <c r="H1795" s="1338" t="s">
        <v>777</v>
      </c>
      <c r="I1795" s="960"/>
      <c r="J1795" s="59"/>
      <c r="K1795" s="59"/>
    </row>
    <row r="1796" spans="1:11" ht="16.5" customHeight="1" x14ac:dyDescent="0.25">
      <c r="A1796" s="57" t="s">
        <v>121</v>
      </c>
      <c r="B1796" s="57" t="s">
        <v>188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30"/>
        <v>DICEMBRE 2022</v>
      </c>
      <c r="F1796" s="57" t="str">
        <f t="shared" si="1231"/>
        <v>12 DICEMBRE 2022</v>
      </c>
      <c r="G1796" s="59">
        <v>0.4</v>
      </c>
      <c r="H1796" s="1338" t="s">
        <v>777</v>
      </c>
      <c r="I1796" s="960"/>
      <c r="J1796" s="59"/>
      <c r="K1796" s="59"/>
    </row>
    <row r="1797" spans="1:11" ht="18" customHeight="1" x14ac:dyDescent="0.25">
      <c r="A1797" s="57" t="s">
        <v>121</v>
      </c>
      <c r="B1797" s="57" t="s">
        <v>188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30"/>
        <v>DICEMBRE 2022</v>
      </c>
      <c r="F1797" s="57" t="str">
        <f t="shared" si="1231"/>
        <v>12 DICEMBRE 2022</v>
      </c>
      <c r="G1797" s="59">
        <v>0.4</v>
      </c>
      <c r="H1797" s="1338" t="s">
        <v>777</v>
      </c>
      <c r="I1797" s="960"/>
      <c r="J1797" s="59"/>
      <c r="K1797" s="59"/>
    </row>
    <row r="1798" spans="1:11" ht="16.5" customHeight="1" x14ac:dyDescent="0.25">
      <c r="A1798" s="57" t="s">
        <v>121</v>
      </c>
      <c r="B1798" s="57" t="s">
        <v>188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30"/>
        <v>DICEMBRE 2022</v>
      </c>
      <c r="F1798" s="57" t="str">
        <f t="shared" si="1231"/>
        <v>12 DICEMBRE 2022</v>
      </c>
      <c r="G1798" s="59">
        <v>0.4</v>
      </c>
      <c r="H1798" s="1338" t="s">
        <v>777</v>
      </c>
      <c r="I1798" s="960"/>
      <c r="J1798" s="59"/>
      <c r="K1798" s="59"/>
    </row>
    <row r="1799" spans="1:11" ht="16.5" customHeight="1" x14ac:dyDescent="0.25">
      <c r="A1799" s="57" t="s">
        <v>121</v>
      </c>
      <c r="B1799" s="57" t="s">
        <v>188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30"/>
        <v>DICEMBRE 2022</v>
      </c>
      <c r="F1799" s="57" t="str">
        <f t="shared" si="1231"/>
        <v>12 DICEMBRE 2022</v>
      </c>
      <c r="G1799" s="59">
        <v>0.4</v>
      </c>
      <c r="H1799" s="1338" t="s">
        <v>777</v>
      </c>
      <c r="I1799" s="960"/>
      <c r="J1799" s="59"/>
      <c r="K1799" s="59"/>
    </row>
    <row r="1800" spans="1:11" ht="18" customHeight="1" x14ac:dyDescent="0.25">
      <c r="A1800" s="57" t="s">
        <v>108</v>
      </c>
      <c r="B1800" s="57" t="s">
        <v>188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30"/>
        <v>DICEMBRE 2022</v>
      </c>
      <c r="F1800" s="57" t="str">
        <f t="shared" si="1231"/>
        <v>12 DICEMBRE 2022</v>
      </c>
      <c r="G1800" s="59">
        <v>9.98</v>
      </c>
      <c r="H1800" s="1338" t="s">
        <v>137</v>
      </c>
      <c r="I1800" s="960" t="s">
        <v>1046</v>
      </c>
      <c r="J1800" s="57" t="s">
        <v>108</v>
      </c>
      <c r="K1800" s="59"/>
    </row>
    <row r="1801" spans="1:11" ht="18" customHeight="1" x14ac:dyDescent="0.25">
      <c r="A1801" s="57" t="s">
        <v>121</v>
      </c>
      <c r="B1801" s="57" t="s">
        <v>188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30"/>
        <v>DICEMBRE 2022</v>
      </c>
      <c r="F1801" s="57" t="str">
        <f t="shared" si="1231"/>
        <v>12 DICEMBRE 2022</v>
      </c>
      <c r="G1801" s="59">
        <v>0.4</v>
      </c>
      <c r="H1801" s="1338" t="s">
        <v>777</v>
      </c>
      <c r="I1801" s="960"/>
      <c r="J1801" s="59"/>
      <c r="K1801" s="59"/>
    </row>
    <row r="1802" spans="1:11" ht="18.600000000000001" customHeight="1" x14ac:dyDescent="0.25">
      <c r="A1802" s="57" t="s">
        <v>121</v>
      </c>
      <c r="B1802" s="57" t="s">
        <v>188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30"/>
        <v>DICEMBRE 2022</v>
      </c>
      <c r="F1802" s="57" t="str">
        <f t="shared" si="1231"/>
        <v>12 DICEMBRE 2022</v>
      </c>
      <c r="G1802" s="59">
        <v>0.4</v>
      </c>
      <c r="H1802" s="1338" t="s">
        <v>777</v>
      </c>
      <c r="I1802" s="960"/>
      <c r="J1802" s="59"/>
      <c r="K1802" s="59"/>
    </row>
    <row r="1803" spans="1:11" ht="18" customHeight="1" x14ac:dyDescent="0.25">
      <c r="A1803" s="57" t="s">
        <v>108</v>
      </c>
      <c r="B1803" s="57" t="s">
        <v>188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30"/>
        <v>DICEMBRE 2022</v>
      </c>
      <c r="F1803" s="57" t="str">
        <f t="shared" si="1231"/>
        <v>12 DICEMBRE 2022</v>
      </c>
      <c r="G1803" s="59">
        <v>26.67</v>
      </c>
      <c r="H1803" s="1338" t="s">
        <v>93</v>
      </c>
      <c r="I1803" s="960"/>
      <c r="J1803" s="57" t="s">
        <v>108</v>
      </c>
      <c r="K1803" s="59" t="s">
        <v>373</v>
      </c>
    </row>
    <row r="1804" spans="1:11" ht="16.5" customHeight="1" x14ac:dyDescent="0.25">
      <c r="A1804" s="57" t="s">
        <v>108</v>
      </c>
      <c r="B1804" s="57" t="s">
        <v>188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30"/>
        <v>DICEMBRE 2022</v>
      </c>
      <c r="F1804" s="57" t="str">
        <f t="shared" si="1231"/>
        <v>12 DICEMBRE 2022</v>
      </c>
      <c r="G1804" s="59">
        <v>35.9</v>
      </c>
      <c r="H1804" s="1338" t="s">
        <v>93</v>
      </c>
      <c r="I1804" s="960"/>
      <c r="J1804" s="57" t="s">
        <v>108</v>
      </c>
      <c r="K1804" s="59" t="s">
        <v>373</v>
      </c>
    </row>
    <row r="1805" spans="1:11" x14ac:dyDescent="0.25">
      <c r="A1805" s="57" t="s">
        <v>76</v>
      </c>
      <c r="B1805" s="57" t="s">
        <v>188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30"/>
        <v>DICEMBRE 2022</v>
      </c>
      <c r="F1805" s="57" t="str">
        <f t="shared" si="1231"/>
        <v>12 DICEMBRE 2022</v>
      </c>
      <c r="G1805" s="59">
        <v>23.38</v>
      </c>
      <c r="H1805" s="1338" t="s">
        <v>77</v>
      </c>
      <c r="I1805" s="960"/>
      <c r="J1805" s="59"/>
      <c r="K1805" s="59"/>
    </row>
    <row r="1806" spans="1:11" ht="16.5" customHeight="1" x14ac:dyDescent="0.25">
      <c r="A1806" s="57" t="s">
        <v>108</v>
      </c>
      <c r="B1806" s="57" t="s">
        <v>188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30"/>
        <v>DICEMBRE 2022</v>
      </c>
      <c r="F1806" s="57" t="str">
        <f t="shared" si="1231"/>
        <v>12 DICEMBRE 2022</v>
      </c>
      <c r="G1806" s="59">
        <v>24.29</v>
      </c>
      <c r="H1806" s="1338" t="s">
        <v>93</v>
      </c>
      <c r="I1806" s="960"/>
      <c r="J1806" s="57" t="s">
        <v>108</v>
      </c>
      <c r="K1806" s="59" t="s">
        <v>373</v>
      </c>
    </row>
    <row r="1807" spans="1:11" ht="16.5" customHeight="1" x14ac:dyDescent="0.25">
      <c r="A1807" s="57" t="s">
        <v>67</v>
      </c>
      <c r="B1807" s="57" t="s">
        <v>188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30"/>
        <v>DICEMBRE 2022</v>
      </c>
      <c r="F1807" s="57" t="str">
        <f t="shared" si="1231"/>
        <v>12 DICEMBRE 2022</v>
      </c>
      <c r="G1807" s="59">
        <v>5</v>
      </c>
      <c r="H1807" s="1338" t="s">
        <v>776</v>
      </c>
      <c r="I1807" s="960"/>
      <c r="J1807" s="59"/>
      <c r="K1807" s="59"/>
    </row>
    <row r="1808" spans="1:11" ht="16.5" customHeight="1" x14ac:dyDescent="0.25">
      <c r="A1808" s="57" t="s">
        <v>113</v>
      </c>
      <c r="B1808" s="57" t="s">
        <v>188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30"/>
        <v>DICEMBRE 2022</v>
      </c>
      <c r="F1808" s="57" t="str">
        <f t="shared" si="1231"/>
        <v>12 DICEMBRE 2022</v>
      </c>
      <c r="G1808" s="59">
        <v>33</v>
      </c>
      <c r="H1808" s="1338" t="s">
        <v>114</v>
      </c>
      <c r="I1808" s="960"/>
      <c r="J1808" s="59"/>
      <c r="K1808" s="59"/>
    </row>
    <row r="1809" spans="1:11" ht="16.5" customHeight="1" x14ac:dyDescent="0.25">
      <c r="A1809" s="57" t="s">
        <v>67</v>
      </c>
      <c r="B1809" s="57" t="s">
        <v>188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si="1230"/>
        <v>DICEMBRE 2022</v>
      </c>
      <c r="F1809" s="57" t="str">
        <f t="shared" si="1231"/>
        <v>12 DICEMBRE 2022</v>
      </c>
      <c r="G1809" s="59">
        <v>5</v>
      </c>
      <c r="H1809" s="1338" t="s">
        <v>776</v>
      </c>
      <c r="I1809" s="960"/>
      <c r="J1809" s="59"/>
      <c r="K1809" s="59"/>
    </row>
    <row r="1810" spans="1:11" ht="16.5" customHeight="1" x14ac:dyDescent="0.25">
      <c r="A1810" s="57" t="s">
        <v>67</v>
      </c>
      <c r="B1810" s="57" t="s">
        <v>188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30"/>
        <v>DICEMBRE 2022</v>
      </c>
      <c r="F1810" s="57" t="str">
        <f t="shared" si="1231"/>
        <v>12 DICEMBRE 2022</v>
      </c>
      <c r="G1810" s="59">
        <v>3.6</v>
      </c>
      <c r="H1810" s="1338" t="s">
        <v>69</v>
      </c>
      <c r="I1810" s="960"/>
      <c r="J1810" s="59"/>
      <c r="K1810" s="59"/>
    </row>
    <row r="1811" spans="1:11" ht="16.5" customHeight="1" x14ac:dyDescent="0.25">
      <c r="A1811" s="57" t="s">
        <v>121</v>
      </c>
      <c r="B1811" s="57" t="s">
        <v>188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30"/>
        <v>DICEMBRE 2022</v>
      </c>
      <c r="F1811" s="57" t="str">
        <f t="shared" si="1231"/>
        <v>12 DICEMBRE 2022</v>
      </c>
      <c r="G1811" s="59">
        <v>0.4</v>
      </c>
      <c r="H1811" s="1338" t="s">
        <v>777</v>
      </c>
      <c r="I1811" s="960"/>
      <c r="J1811" s="59"/>
      <c r="K1811" s="59"/>
    </row>
    <row r="1812" spans="1:11" ht="16.5" customHeight="1" x14ac:dyDescent="0.25">
      <c r="A1812" s="57" t="s">
        <v>121</v>
      </c>
      <c r="B1812" s="57" t="s">
        <v>188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30"/>
        <v>DICEMBRE 2022</v>
      </c>
      <c r="F1812" s="57" t="str">
        <f t="shared" si="1231"/>
        <v>12 DICEMBRE 2022</v>
      </c>
      <c r="G1812" s="59">
        <v>0.4</v>
      </c>
      <c r="H1812" s="1338" t="s">
        <v>777</v>
      </c>
      <c r="I1812" s="960"/>
      <c r="J1812" s="59"/>
      <c r="K1812" s="59"/>
    </row>
    <row r="1813" spans="1:11" ht="18.600000000000001" customHeight="1" x14ac:dyDescent="0.25">
      <c r="A1813" s="57" t="s">
        <v>121</v>
      </c>
      <c r="B1813" s="57" t="s">
        <v>188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30"/>
        <v>DICEMBRE 2022</v>
      </c>
      <c r="F1813" s="57" t="str">
        <f t="shared" si="1231"/>
        <v>12 DICEMBRE 2022</v>
      </c>
      <c r="G1813" s="59">
        <v>0.4</v>
      </c>
      <c r="H1813" s="1338" t="s">
        <v>777</v>
      </c>
      <c r="I1813" s="960"/>
      <c r="J1813" s="59"/>
      <c r="K1813" s="59"/>
    </row>
    <row r="1814" spans="1:11" ht="18.600000000000001" customHeight="1" x14ac:dyDescent="0.25">
      <c r="A1814" s="57" t="s">
        <v>121</v>
      </c>
      <c r="B1814" s="57" t="s">
        <v>188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30"/>
        <v>DICEMBRE 2022</v>
      </c>
      <c r="F1814" s="57" t="str">
        <f t="shared" si="1231"/>
        <v>12 DICEMBRE 2022</v>
      </c>
      <c r="G1814" s="59">
        <v>0.4</v>
      </c>
      <c r="H1814" s="1338" t="s">
        <v>777</v>
      </c>
      <c r="I1814" s="960"/>
      <c r="J1814" s="59"/>
      <c r="K1814" s="59"/>
    </row>
    <row r="1815" spans="1:11" ht="16.5" customHeight="1" x14ac:dyDescent="0.25">
      <c r="A1815" s="57" t="s">
        <v>259</v>
      </c>
      <c r="B1815" s="57" t="s">
        <v>188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30"/>
        <v>DICEMBRE 2022</v>
      </c>
      <c r="F1815" s="57" t="str">
        <f t="shared" si="1231"/>
        <v>12 DICEMBRE 2022</v>
      </c>
      <c r="G1815" s="59">
        <v>24</v>
      </c>
      <c r="H1815" s="1338" t="s">
        <v>69</v>
      </c>
      <c r="I1815" s="960"/>
      <c r="J1815" s="59"/>
      <c r="K1815" s="59" t="s">
        <v>195</v>
      </c>
    </row>
    <row r="1816" spans="1:11" x14ac:dyDescent="0.25">
      <c r="A1816" s="57" t="s">
        <v>122</v>
      </c>
      <c r="B1816" s="57" t="s">
        <v>188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30"/>
        <v>DICEMBRE 2022</v>
      </c>
      <c r="F1816" s="57" t="str">
        <f t="shared" si="1231"/>
        <v>12 DICEMBRE 2022</v>
      </c>
      <c r="G1816" s="59">
        <v>18.21</v>
      </c>
      <c r="H1816" s="1338" t="s">
        <v>77</v>
      </c>
      <c r="I1816" s="960"/>
      <c r="J1816" s="59"/>
      <c r="K1816" s="59"/>
    </row>
    <row r="1817" spans="1:11" ht="18.600000000000001" customHeight="1" x14ac:dyDescent="0.25">
      <c r="A1817" s="57" t="s">
        <v>164</v>
      </c>
      <c r="B1817" s="57" t="s">
        <v>188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30"/>
        <v>DICEMBRE 2022</v>
      </c>
      <c r="F1817" s="57" t="str">
        <f t="shared" si="1231"/>
        <v>12 DICEMBRE 2022</v>
      </c>
      <c r="G1817" s="59">
        <v>67.12</v>
      </c>
      <c r="H1817" s="1338" t="s">
        <v>77</v>
      </c>
      <c r="I1817" s="960"/>
      <c r="J1817" s="59"/>
      <c r="K1817" s="59"/>
    </row>
    <row r="1818" spans="1:11" ht="18.600000000000001" customHeight="1" x14ac:dyDescent="0.25">
      <c r="A1818" s="57" t="s">
        <v>177</v>
      </c>
      <c r="B1818" s="57" t="s">
        <v>188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ref="E1818:E1881" si="1232">CONCATENATE(,B1818," ",C1818)</f>
        <v>DICEMBRE 2022</v>
      </c>
      <c r="F1818" s="57" t="str">
        <f t="shared" ref="F1818:F1881" si="1233">CONCATENATE(D1818," ",E1818)</f>
        <v>12 DICEMBRE 2022</v>
      </c>
      <c r="G1818" s="59">
        <v>19</v>
      </c>
      <c r="H1818" s="1338" t="s">
        <v>69</v>
      </c>
      <c r="I1818" s="960"/>
      <c r="J1818" s="59"/>
      <c r="K1818" s="59"/>
    </row>
    <row r="1819" spans="1:11" ht="16.5" customHeight="1" x14ac:dyDescent="0.25">
      <c r="A1819" s="57" t="s">
        <v>79</v>
      </c>
      <c r="B1819" s="57" t="s">
        <v>188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32"/>
        <v>DICEMBRE 2022</v>
      </c>
      <c r="F1819" s="57" t="str">
        <f t="shared" si="1233"/>
        <v>12 DICEMBRE 2022</v>
      </c>
      <c r="G1819" s="59">
        <v>15.69</v>
      </c>
      <c r="H1819" s="1338" t="s">
        <v>81</v>
      </c>
      <c r="I1819" s="960"/>
      <c r="J1819" s="59"/>
      <c r="K1819" s="59"/>
    </row>
    <row r="1820" spans="1:11" ht="18.600000000000001" customHeight="1" x14ac:dyDescent="0.25">
      <c r="A1820" s="57" t="s">
        <v>164</v>
      </c>
      <c r="B1820" s="57" t="s">
        <v>188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32"/>
        <v>DICEMBRE 2022</v>
      </c>
      <c r="F1820" s="57" t="str">
        <f t="shared" si="1233"/>
        <v>12 DICEMBRE 2022</v>
      </c>
      <c r="G1820" s="59">
        <v>16.239999999999998</v>
      </c>
      <c r="H1820" s="1338" t="s">
        <v>77</v>
      </c>
      <c r="I1820" s="960"/>
      <c r="J1820" s="59"/>
      <c r="K1820" s="59" t="s">
        <v>195</v>
      </c>
    </row>
    <row r="1821" spans="1:11" ht="18.600000000000001" customHeight="1" x14ac:dyDescent="0.25">
      <c r="A1821" s="57" t="s">
        <v>197</v>
      </c>
      <c r="B1821" s="57" t="s">
        <v>188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32"/>
        <v>DICEMBRE 2022</v>
      </c>
      <c r="F1821" s="57" t="str">
        <f t="shared" si="1233"/>
        <v>12 DICEMBRE 2022</v>
      </c>
      <c r="G1821" s="59">
        <v>56.1</v>
      </c>
      <c r="H1821" s="1338" t="s">
        <v>77</v>
      </c>
      <c r="I1821" s="960"/>
      <c r="J1821" s="59"/>
      <c r="K1821" s="59" t="s">
        <v>195</v>
      </c>
    </row>
    <row r="1822" spans="1:11" ht="16.5" customHeight="1" x14ac:dyDescent="0.25">
      <c r="A1822" s="57" t="s">
        <v>121</v>
      </c>
      <c r="B1822" s="57" t="s">
        <v>188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32"/>
        <v>DICEMBRE 2022</v>
      </c>
      <c r="F1822" s="57" t="str">
        <f t="shared" si="1233"/>
        <v>12 DICEMBRE 2022</v>
      </c>
      <c r="G1822" s="59">
        <v>0.4</v>
      </c>
      <c r="H1822" s="1338" t="s">
        <v>777</v>
      </c>
      <c r="I1822" s="960"/>
      <c r="J1822" s="59"/>
      <c r="K1822" s="59"/>
    </row>
    <row r="1823" spans="1:11" ht="16.5" customHeight="1" x14ac:dyDescent="0.25">
      <c r="A1823" s="57" t="s">
        <v>164</v>
      </c>
      <c r="B1823" s="57" t="s">
        <v>188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32"/>
        <v>DICEMBRE 2022</v>
      </c>
      <c r="F1823" s="57" t="str">
        <f t="shared" si="1233"/>
        <v>12 DICEMBRE 2022</v>
      </c>
      <c r="G1823" s="59">
        <v>64.16</v>
      </c>
      <c r="H1823" s="1338" t="s">
        <v>77</v>
      </c>
      <c r="I1823" s="960"/>
      <c r="J1823" s="59"/>
      <c r="K1823" s="59" t="s">
        <v>195</v>
      </c>
    </row>
    <row r="1824" spans="1:11" ht="16.5" customHeight="1" x14ac:dyDescent="0.25">
      <c r="A1824" s="57" t="s">
        <v>122</v>
      </c>
      <c r="B1824" s="57" t="s">
        <v>188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32"/>
        <v>DICEMBRE 2022</v>
      </c>
      <c r="F1824" s="57" t="str">
        <f t="shared" si="1233"/>
        <v>12 DICEMBRE 2022</v>
      </c>
      <c r="G1824" s="59">
        <v>33.11</v>
      </c>
      <c r="H1824" s="1338" t="s">
        <v>77</v>
      </c>
      <c r="I1824" s="960"/>
      <c r="J1824" s="59"/>
      <c r="K1824" s="59" t="s">
        <v>195</v>
      </c>
    </row>
    <row r="1825" spans="1:11" ht="16.5" customHeight="1" x14ac:dyDescent="0.25">
      <c r="A1825" s="57" t="s">
        <v>260</v>
      </c>
      <c r="B1825" s="57" t="s">
        <v>188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32"/>
        <v>DICEMBRE 2022</v>
      </c>
      <c r="F1825" s="57" t="str">
        <f t="shared" si="1233"/>
        <v>12 DICEMBRE 2022</v>
      </c>
      <c r="G1825" s="59">
        <v>22</v>
      </c>
      <c r="H1825" s="1338" t="s">
        <v>69</v>
      </c>
      <c r="I1825" s="960"/>
      <c r="J1825" s="59"/>
      <c r="K1825" s="59"/>
    </row>
    <row r="1826" spans="1:11" x14ac:dyDescent="0.25">
      <c r="A1826" s="57" t="s">
        <v>261</v>
      </c>
      <c r="B1826" s="57" t="s">
        <v>188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32"/>
        <v>DICEMBRE 2022</v>
      </c>
      <c r="F1826" s="57" t="str">
        <f t="shared" si="1233"/>
        <v>12 DICEMBRE 2022</v>
      </c>
      <c r="G1826" s="59">
        <v>27</v>
      </c>
      <c r="H1826" s="1338" t="s">
        <v>772</v>
      </c>
      <c r="I1826" s="960"/>
      <c r="J1826" s="59"/>
      <c r="K1826" s="59"/>
    </row>
    <row r="1827" spans="1:11" x14ac:dyDescent="0.25">
      <c r="A1827" s="57" t="s">
        <v>262</v>
      </c>
      <c r="B1827" s="57" t="s">
        <v>188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32"/>
        <v>DICEMBRE 2022</v>
      </c>
      <c r="F1827" s="57" t="str">
        <f t="shared" si="1233"/>
        <v>12 DICEMBRE 2022</v>
      </c>
      <c r="G1827" s="59">
        <v>26.5</v>
      </c>
      <c r="H1827" s="1338" t="s">
        <v>69</v>
      </c>
      <c r="I1827" s="960"/>
      <c r="J1827" s="59"/>
      <c r="K1827" s="59"/>
    </row>
    <row r="1828" spans="1:11" ht="18.600000000000001" customHeight="1" x14ac:dyDescent="0.25">
      <c r="A1828" s="57" t="s">
        <v>263</v>
      </c>
      <c r="B1828" s="57" t="s">
        <v>188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32"/>
        <v>DICEMBRE 2022</v>
      </c>
      <c r="F1828" s="57" t="str">
        <f t="shared" si="1233"/>
        <v>12 DICEMBRE 2022</v>
      </c>
      <c r="G1828" s="59">
        <v>16</v>
      </c>
      <c r="H1828" s="1338" t="s">
        <v>69</v>
      </c>
      <c r="I1828" s="960"/>
      <c r="J1828" s="59"/>
      <c r="K1828" s="59"/>
    </row>
    <row r="1829" spans="1:11" ht="16.5" customHeight="1" x14ac:dyDescent="0.25">
      <c r="A1829" s="57" t="s">
        <v>264</v>
      </c>
      <c r="B1829" s="57" t="s">
        <v>188</v>
      </c>
      <c r="C1829" s="57">
        <v>2022</v>
      </c>
      <c r="D1829" s="58">
        <f>MATCH(B1829,{"GENNAIO","FEBBRAIO","MARZO","APRILE","MAGGIO","GIUGNO","LUGLIO","AGOSTO","SETTEMBRE","OTTOBRE","NOVEMBRE","DICEMBRE"},0)</f>
        <v>12</v>
      </c>
      <c r="E1829" s="57" t="str">
        <f t="shared" si="1232"/>
        <v>DICEMBRE 2022</v>
      </c>
      <c r="F1829" s="57" t="str">
        <f t="shared" si="1233"/>
        <v>12 DICEMBRE 2022</v>
      </c>
      <c r="G1829" s="59">
        <v>8.39</v>
      </c>
      <c r="H1829" s="1338" t="s">
        <v>81</v>
      </c>
      <c r="I1829" s="960"/>
      <c r="J1829" s="59"/>
      <c r="K1829" s="59"/>
    </row>
    <row r="1830" spans="1:11" ht="18" customHeight="1" x14ac:dyDescent="0.25">
      <c r="A1830" s="57" t="s">
        <v>154</v>
      </c>
      <c r="B1830" s="57" t="s">
        <v>188</v>
      </c>
      <c r="C1830" s="57">
        <v>2022</v>
      </c>
      <c r="D1830" s="58">
        <f>MATCH(B1830,{"GENNAIO","FEBBRAIO","MARZO","APRILE","MAGGIO","GIUGNO","LUGLIO","AGOSTO","SETTEMBRE","OTTOBRE","NOVEMBRE","DICEMBRE"},0)</f>
        <v>12</v>
      </c>
      <c r="E1830" s="57" t="str">
        <f t="shared" si="1232"/>
        <v>DICEMBRE 2022</v>
      </c>
      <c r="F1830" s="57" t="str">
        <f t="shared" si="1233"/>
        <v>12 DICEMBRE 2022</v>
      </c>
      <c r="G1830" s="59">
        <v>12.9</v>
      </c>
      <c r="H1830" s="1338" t="s">
        <v>155</v>
      </c>
      <c r="I1830" s="960"/>
      <c r="J1830" s="59"/>
      <c r="K1830" s="59"/>
    </row>
    <row r="1831" spans="1:11" ht="16.5" customHeight="1" x14ac:dyDescent="0.25">
      <c r="A1831" s="57" t="s">
        <v>76</v>
      </c>
      <c r="B1831" s="57" t="s">
        <v>188</v>
      </c>
      <c r="C1831" s="57">
        <v>2022</v>
      </c>
      <c r="D1831" s="58">
        <f>MATCH(B1831,{"GENNAIO","FEBBRAIO","MARZO","APRILE","MAGGIO","GIUGNO","LUGLIO","AGOSTO","SETTEMBRE","OTTOBRE","NOVEMBRE","DICEMBRE"},0)</f>
        <v>12</v>
      </c>
      <c r="E1831" s="57" t="str">
        <f t="shared" si="1232"/>
        <v>DICEMBRE 2022</v>
      </c>
      <c r="F1831" s="57" t="str">
        <f t="shared" si="1233"/>
        <v>12 DICEMBRE 2022</v>
      </c>
      <c r="G1831" s="59">
        <v>17.96</v>
      </c>
      <c r="H1831" s="1338" t="s">
        <v>77</v>
      </c>
      <c r="I1831" s="960"/>
      <c r="J1831" s="59"/>
      <c r="K1831" s="59"/>
    </row>
    <row r="1832" spans="1:11" ht="16.5" customHeight="1" x14ac:dyDescent="0.25">
      <c r="A1832" s="57" t="s">
        <v>67</v>
      </c>
      <c r="B1832" s="57" t="s">
        <v>188</v>
      </c>
      <c r="C1832" s="57">
        <v>2022</v>
      </c>
      <c r="D1832" s="58">
        <f>MATCH(B1832,{"GENNAIO","FEBBRAIO","MARZO","APRILE","MAGGIO","GIUGNO","LUGLIO","AGOSTO","SETTEMBRE","OTTOBRE","NOVEMBRE","DICEMBRE"},0)</f>
        <v>12</v>
      </c>
      <c r="E1832" s="57" t="str">
        <f t="shared" si="1232"/>
        <v>DICEMBRE 2022</v>
      </c>
      <c r="F1832" s="57" t="str">
        <f t="shared" si="1233"/>
        <v>12 DICEMBRE 2022</v>
      </c>
      <c r="G1832" s="59">
        <v>5</v>
      </c>
      <c r="H1832" s="1338" t="s">
        <v>776</v>
      </c>
      <c r="I1832" s="960"/>
      <c r="J1832" s="59"/>
      <c r="K1832" s="59"/>
    </row>
    <row r="1833" spans="1:11" ht="16.5" customHeight="1" x14ac:dyDescent="0.25">
      <c r="A1833" s="57" t="s">
        <v>108</v>
      </c>
      <c r="B1833" s="57" t="s">
        <v>188</v>
      </c>
      <c r="C1833" s="57">
        <v>2022</v>
      </c>
      <c r="D1833" s="58">
        <f>MATCH(B1833,{"GENNAIO","FEBBRAIO","MARZO","APRILE","MAGGIO","GIUGNO","LUGLIO","AGOSTO","SETTEMBRE","OTTOBRE","NOVEMBRE","DICEMBRE"},0)</f>
        <v>12</v>
      </c>
      <c r="E1833" s="57" t="str">
        <f t="shared" si="1232"/>
        <v>DICEMBRE 2022</v>
      </c>
      <c r="F1833" s="57" t="str">
        <f t="shared" si="1233"/>
        <v>12 DICEMBRE 2022</v>
      </c>
      <c r="G1833" s="59">
        <v>86.25</v>
      </c>
      <c r="H1833" s="1338" t="s">
        <v>137</v>
      </c>
      <c r="I1833" s="960"/>
      <c r="J1833" s="57" t="s">
        <v>108</v>
      </c>
      <c r="K1833" s="59"/>
    </row>
    <row r="1834" spans="1:11" ht="18" customHeight="1" x14ac:dyDescent="0.25">
      <c r="A1834" s="57" t="s">
        <v>265</v>
      </c>
      <c r="B1834" s="57" t="s">
        <v>188</v>
      </c>
      <c r="C1834" s="57">
        <v>2022</v>
      </c>
      <c r="D1834" s="58">
        <f>MATCH(B1834,{"GENNAIO","FEBBRAIO","MARZO","APRILE","MAGGIO","GIUGNO","LUGLIO","AGOSTO","SETTEMBRE","OTTOBRE","NOVEMBRE","DICEMBRE"},0)</f>
        <v>12</v>
      </c>
      <c r="E1834" s="57" t="str">
        <f t="shared" si="1232"/>
        <v>DICEMBRE 2022</v>
      </c>
      <c r="F1834" s="57" t="str">
        <f t="shared" si="1233"/>
        <v>12 DICEMBRE 2022</v>
      </c>
      <c r="G1834" s="59">
        <v>6.88</v>
      </c>
      <c r="H1834" s="1338" t="s">
        <v>191</v>
      </c>
      <c r="I1834" s="960"/>
      <c r="J1834" s="59"/>
      <c r="K1834" s="59"/>
    </row>
    <row r="1835" spans="1:11" ht="16.5" customHeight="1" x14ac:dyDescent="0.25">
      <c r="A1835" s="57" t="s">
        <v>266</v>
      </c>
      <c r="B1835" s="57" t="s">
        <v>188</v>
      </c>
      <c r="C1835" s="57">
        <v>2022</v>
      </c>
      <c r="D1835" s="58">
        <f>MATCH(B1835,{"GENNAIO","FEBBRAIO","MARZO","APRILE","MAGGIO","GIUGNO","LUGLIO","AGOSTO","SETTEMBRE","OTTOBRE","NOVEMBRE","DICEMBRE"},0)</f>
        <v>12</v>
      </c>
      <c r="E1835" s="57" t="str">
        <f t="shared" si="1232"/>
        <v>DICEMBRE 2022</v>
      </c>
      <c r="F1835" s="57" t="str">
        <f t="shared" si="1233"/>
        <v>12 DICEMBRE 2022</v>
      </c>
      <c r="G1835" s="59">
        <v>5.18</v>
      </c>
      <c r="H1835" s="1338" t="s">
        <v>69</v>
      </c>
      <c r="I1835" s="960"/>
      <c r="J1835" s="59"/>
      <c r="K1835" s="59"/>
    </row>
    <row r="1836" spans="1:11" ht="16.5" customHeight="1" x14ac:dyDescent="0.25">
      <c r="A1836" s="57" t="s">
        <v>267</v>
      </c>
      <c r="B1836" s="57" t="s">
        <v>188</v>
      </c>
      <c r="C1836" s="57">
        <v>2022</v>
      </c>
      <c r="D1836" s="58">
        <f>MATCH(B1836,{"GENNAIO","FEBBRAIO","MARZO","APRILE","MAGGIO","GIUGNO","LUGLIO","AGOSTO","SETTEMBRE","OTTOBRE","NOVEMBRE","DICEMBRE"},0)</f>
        <v>12</v>
      </c>
      <c r="E1836" s="57" t="str">
        <f t="shared" si="1232"/>
        <v>DICEMBRE 2022</v>
      </c>
      <c r="F1836" s="57" t="str">
        <f t="shared" si="1233"/>
        <v>12 DICEMBRE 2022</v>
      </c>
      <c r="G1836" s="59">
        <v>12.89</v>
      </c>
      <c r="H1836" s="1338" t="s">
        <v>69</v>
      </c>
      <c r="I1836" s="960"/>
      <c r="J1836" s="59"/>
      <c r="K1836" s="59"/>
    </row>
    <row r="1837" spans="1:11" ht="18.600000000000001" customHeight="1" x14ac:dyDescent="0.25">
      <c r="A1837" s="57" t="s">
        <v>108</v>
      </c>
      <c r="B1837" s="57" t="s">
        <v>188</v>
      </c>
      <c r="C1837" s="57">
        <v>2022</v>
      </c>
      <c r="D1837" s="58">
        <f>MATCH(B1837,{"GENNAIO","FEBBRAIO","MARZO","APRILE","MAGGIO","GIUGNO","LUGLIO","AGOSTO","SETTEMBRE","OTTOBRE","NOVEMBRE","DICEMBRE"},0)</f>
        <v>12</v>
      </c>
      <c r="E1837" s="57" t="str">
        <f t="shared" si="1232"/>
        <v>DICEMBRE 2022</v>
      </c>
      <c r="F1837" s="57" t="str">
        <f t="shared" si="1233"/>
        <v>12 DICEMBRE 2022</v>
      </c>
      <c r="G1837" s="59">
        <v>78.73</v>
      </c>
      <c r="H1837" s="1338" t="s">
        <v>137</v>
      </c>
      <c r="I1837" s="960"/>
      <c r="J1837" s="57" t="s">
        <v>108</v>
      </c>
      <c r="K1837" s="59"/>
    </row>
    <row r="1838" spans="1:11" ht="18" customHeight="1" x14ac:dyDescent="0.25">
      <c r="A1838" s="57" t="s">
        <v>139</v>
      </c>
      <c r="B1838" s="57" t="s">
        <v>207</v>
      </c>
      <c r="C1838" s="57">
        <v>2022</v>
      </c>
      <c r="D1838" s="58">
        <f>MATCH(B1838,{"GENNAIO","FEBBRAIO","MARZO","APRILE","MAGGIO","GIUGNO","LUGLIO","AGOSTO","SETTEMBRE","OTTOBRE","NOVEMBRE","DICEMBRE"},0)</f>
        <v>11</v>
      </c>
      <c r="E1838" s="57" t="str">
        <f t="shared" si="1232"/>
        <v>NOVEMBRE 2022</v>
      </c>
      <c r="F1838" s="57" t="str">
        <f t="shared" si="1233"/>
        <v>11 NOVEMBRE 2022</v>
      </c>
      <c r="G1838" s="59">
        <v>34.700000000000003</v>
      </c>
      <c r="H1838" s="1338" t="s">
        <v>69</v>
      </c>
      <c r="I1838" s="960"/>
      <c r="J1838" s="59"/>
      <c r="K1838" s="59"/>
    </row>
    <row r="1839" spans="1:11" ht="16.5" customHeight="1" x14ac:dyDescent="0.25">
      <c r="A1839" s="57" t="s">
        <v>121</v>
      </c>
      <c r="B1839" s="57" t="s">
        <v>207</v>
      </c>
      <c r="C1839" s="57">
        <v>2022</v>
      </c>
      <c r="D1839" s="58">
        <f>MATCH(B1839,{"GENNAIO","FEBBRAIO","MARZO","APRILE","MAGGIO","GIUGNO","LUGLIO","AGOSTO","SETTEMBRE","OTTOBRE","NOVEMBRE","DICEMBRE"},0)</f>
        <v>11</v>
      </c>
      <c r="E1839" s="57" t="str">
        <f t="shared" si="1232"/>
        <v>NOVEMBRE 2022</v>
      </c>
      <c r="F1839" s="57" t="str">
        <f t="shared" si="1233"/>
        <v>11 NOVEMBRE 2022</v>
      </c>
      <c r="G1839" s="59">
        <v>0.4</v>
      </c>
      <c r="H1839" s="1338" t="s">
        <v>777</v>
      </c>
      <c r="I1839" s="960"/>
      <c r="J1839" s="59"/>
      <c r="K1839" s="59"/>
    </row>
    <row r="1840" spans="1:11" ht="16.5" customHeight="1" x14ac:dyDescent="0.25">
      <c r="A1840" s="57" t="s">
        <v>76</v>
      </c>
      <c r="B1840" s="57" t="s">
        <v>207</v>
      </c>
      <c r="C1840" s="57">
        <v>2022</v>
      </c>
      <c r="D1840" s="58">
        <f>MATCH(B1840,{"GENNAIO","FEBBRAIO","MARZO","APRILE","MAGGIO","GIUGNO","LUGLIO","AGOSTO","SETTEMBRE","OTTOBRE","NOVEMBRE","DICEMBRE"},0)</f>
        <v>11</v>
      </c>
      <c r="E1840" s="57" t="str">
        <f t="shared" si="1232"/>
        <v>NOVEMBRE 2022</v>
      </c>
      <c r="F1840" s="57" t="str">
        <f t="shared" si="1233"/>
        <v>11 NOVEMBRE 2022</v>
      </c>
      <c r="G1840" s="59">
        <v>12.1</v>
      </c>
      <c r="H1840" s="1338" t="s">
        <v>77</v>
      </c>
      <c r="I1840" s="960"/>
      <c r="J1840" s="59"/>
      <c r="K1840" s="59"/>
    </row>
    <row r="1841" spans="1:11" x14ac:dyDescent="0.25">
      <c r="A1841" s="57" t="s">
        <v>108</v>
      </c>
      <c r="B1841" s="57" t="s">
        <v>207</v>
      </c>
      <c r="C1841" s="57">
        <v>2022</v>
      </c>
      <c r="D1841" s="58">
        <f>MATCH(B1841,{"GENNAIO","FEBBRAIO","MARZO","APRILE","MAGGIO","GIUGNO","LUGLIO","AGOSTO","SETTEMBRE","OTTOBRE","NOVEMBRE","DICEMBRE"},0)</f>
        <v>11</v>
      </c>
      <c r="E1841" s="57" t="str">
        <f t="shared" si="1232"/>
        <v>NOVEMBRE 2022</v>
      </c>
      <c r="F1841" s="57" t="str">
        <f t="shared" si="1233"/>
        <v>11 NOVEMBRE 2022</v>
      </c>
      <c r="G1841" s="59">
        <v>9.98</v>
      </c>
      <c r="H1841" s="1338" t="s">
        <v>137</v>
      </c>
      <c r="I1841" s="960" t="s">
        <v>1027</v>
      </c>
      <c r="J1841" s="57" t="s">
        <v>108</v>
      </c>
      <c r="K1841" s="59"/>
    </row>
    <row r="1842" spans="1:11" ht="18.600000000000001" customHeight="1" x14ac:dyDescent="0.25">
      <c r="A1842" s="57" t="s">
        <v>254</v>
      </c>
      <c r="B1842" s="57" t="s">
        <v>207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32"/>
        <v>NOVEMBRE 2022</v>
      </c>
      <c r="F1842" s="57" t="str">
        <f t="shared" si="1233"/>
        <v>11 NOVEMBRE 2022</v>
      </c>
      <c r="G1842" s="59">
        <v>8</v>
      </c>
      <c r="H1842" s="1338" t="s">
        <v>69</v>
      </c>
      <c r="I1842" s="960"/>
      <c r="J1842" s="59"/>
      <c r="K1842" s="59"/>
    </row>
    <row r="1843" spans="1:11" ht="16.5" customHeight="1" x14ac:dyDescent="0.25">
      <c r="A1843" s="57" t="s">
        <v>67</v>
      </c>
      <c r="B1843" s="57" t="s">
        <v>207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32"/>
        <v>NOVEMBRE 2022</v>
      </c>
      <c r="F1843" s="57" t="str">
        <f t="shared" si="1233"/>
        <v>11 NOVEMBRE 2022</v>
      </c>
      <c r="G1843" s="59">
        <v>16</v>
      </c>
      <c r="H1843" s="1338" t="s">
        <v>69</v>
      </c>
      <c r="I1843" s="960"/>
      <c r="J1843" s="59"/>
      <c r="K1843" s="59"/>
    </row>
    <row r="1844" spans="1:11" ht="18.600000000000001" customHeight="1" x14ac:dyDescent="0.25">
      <c r="A1844" s="57" t="s">
        <v>268</v>
      </c>
      <c r="B1844" s="57" t="s">
        <v>207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32"/>
        <v>NOVEMBRE 2022</v>
      </c>
      <c r="F1844" s="57" t="str">
        <f t="shared" si="1233"/>
        <v>11 NOVEMBRE 2022</v>
      </c>
      <c r="G1844" s="59">
        <v>45</v>
      </c>
      <c r="H1844" s="1338" t="s">
        <v>114</v>
      </c>
      <c r="I1844" s="960"/>
      <c r="J1844" s="59"/>
      <c r="K1844" s="59"/>
    </row>
    <row r="1845" spans="1:11" ht="16.5" customHeight="1" x14ac:dyDescent="0.25">
      <c r="A1845" s="57" t="s">
        <v>269</v>
      </c>
      <c r="B1845" s="57" t="s">
        <v>207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32"/>
        <v>NOVEMBRE 2022</v>
      </c>
      <c r="F1845" s="57" t="str">
        <f t="shared" si="1233"/>
        <v>11 NOVEMBRE 2022</v>
      </c>
      <c r="G1845" s="59">
        <v>19.18</v>
      </c>
      <c r="H1845" s="1338" t="s">
        <v>77</v>
      </c>
      <c r="I1845" s="960"/>
      <c r="J1845" s="59"/>
      <c r="K1845" s="59"/>
    </row>
    <row r="1846" spans="1:11" ht="16.5" customHeight="1" x14ac:dyDescent="0.25">
      <c r="A1846" s="57" t="s">
        <v>270</v>
      </c>
      <c r="B1846" s="57" t="s">
        <v>207</v>
      </c>
      <c r="C1846" s="57">
        <v>2022</v>
      </c>
      <c r="D1846" s="58">
        <f>MATCH(B1846,{"GENNAIO","FEBBRAIO","MARZO","APRILE","MAGGIO","GIUGNO","LUGLIO","AGOSTO","SETTEMBRE","OTTOBRE","NOVEMBRE","DICEMBRE"},0)</f>
        <v>11</v>
      </c>
      <c r="E1846" s="57" t="str">
        <f t="shared" si="1232"/>
        <v>NOVEMBRE 2022</v>
      </c>
      <c r="F1846" s="57" t="str">
        <f t="shared" si="1233"/>
        <v>11 NOVEMBRE 2022</v>
      </c>
      <c r="G1846" s="59">
        <v>3.14</v>
      </c>
      <c r="H1846" s="1338" t="s">
        <v>69</v>
      </c>
      <c r="I1846" s="960"/>
      <c r="J1846" s="59"/>
      <c r="K1846" s="59"/>
    </row>
    <row r="1847" spans="1:11" ht="16.5" customHeight="1" x14ac:dyDescent="0.25">
      <c r="A1847" s="57" t="s">
        <v>76</v>
      </c>
      <c r="B1847" s="57" t="s">
        <v>207</v>
      </c>
      <c r="C1847" s="57">
        <v>2022</v>
      </c>
      <c r="D1847" s="58">
        <f>MATCH(B1847,{"GENNAIO","FEBBRAIO","MARZO","APRILE","MAGGIO","GIUGNO","LUGLIO","AGOSTO","SETTEMBRE","OTTOBRE","NOVEMBRE","DICEMBRE"},0)</f>
        <v>11</v>
      </c>
      <c r="E1847" s="57" t="str">
        <f t="shared" si="1232"/>
        <v>NOVEMBRE 2022</v>
      </c>
      <c r="F1847" s="57" t="str">
        <f t="shared" si="1233"/>
        <v>11 NOVEMBRE 2022</v>
      </c>
      <c r="G1847" s="59">
        <v>8.14</v>
      </c>
      <c r="H1847" s="1338" t="s">
        <v>77</v>
      </c>
      <c r="I1847" s="960"/>
      <c r="J1847" s="59"/>
      <c r="K1847" s="59"/>
    </row>
    <row r="1848" spans="1:11" ht="16.5" customHeight="1" x14ac:dyDescent="0.25">
      <c r="A1848" s="57" t="s">
        <v>271</v>
      </c>
      <c r="B1848" s="57" t="s">
        <v>207</v>
      </c>
      <c r="C1848" s="57">
        <v>2022</v>
      </c>
      <c r="D1848" s="58">
        <f>MATCH(B1848,{"GENNAIO","FEBBRAIO","MARZO","APRILE","MAGGIO","GIUGNO","LUGLIO","AGOSTO","SETTEMBRE","OTTOBRE","NOVEMBRE","DICEMBRE"},0)</f>
        <v>11</v>
      </c>
      <c r="E1848" s="57" t="str">
        <f t="shared" si="1232"/>
        <v>NOVEMBRE 2022</v>
      </c>
      <c r="F1848" s="57" t="str">
        <f t="shared" si="1233"/>
        <v>11 NOVEMBRE 2022</v>
      </c>
      <c r="G1848" s="59">
        <v>27.12</v>
      </c>
      <c r="H1848" s="1338" t="s">
        <v>69</v>
      </c>
      <c r="I1848" s="960"/>
      <c r="J1848" s="59"/>
      <c r="K1848" s="59"/>
    </row>
    <row r="1849" spans="1:11" x14ac:dyDescent="0.25">
      <c r="A1849" s="57" t="s">
        <v>272</v>
      </c>
      <c r="B1849" s="57" t="s">
        <v>207</v>
      </c>
      <c r="C1849" s="57">
        <v>2022</v>
      </c>
      <c r="D1849" s="58">
        <f>MATCH(B1849,{"GENNAIO","FEBBRAIO","MARZO","APRILE","MAGGIO","GIUGNO","LUGLIO","AGOSTO","SETTEMBRE","OTTOBRE","NOVEMBRE","DICEMBRE"},0)</f>
        <v>11</v>
      </c>
      <c r="E1849" s="57" t="str">
        <f t="shared" si="1232"/>
        <v>NOVEMBRE 2022</v>
      </c>
      <c r="F1849" s="57" t="str">
        <f t="shared" si="1233"/>
        <v>11 NOVEMBRE 2022</v>
      </c>
      <c r="G1849" s="59">
        <v>27.99</v>
      </c>
      <c r="H1849" s="1338" t="s">
        <v>69</v>
      </c>
      <c r="I1849" s="960"/>
      <c r="J1849" s="59"/>
      <c r="K1849" s="59"/>
    </row>
    <row r="1850" spans="1:11" ht="18" customHeight="1" x14ac:dyDescent="0.25">
      <c r="A1850" s="57" t="s">
        <v>273</v>
      </c>
      <c r="B1850" s="57" t="s">
        <v>207</v>
      </c>
      <c r="C1850" s="57">
        <v>2022</v>
      </c>
      <c r="D1850" s="58">
        <f>MATCH(B1850,{"GENNAIO","FEBBRAIO","MARZO","APRILE","MAGGIO","GIUGNO","LUGLIO","AGOSTO","SETTEMBRE","OTTOBRE","NOVEMBRE","DICEMBRE"},0)</f>
        <v>11</v>
      </c>
      <c r="E1850" s="57" t="str">
        <f t="shared" si="1232"/>
        <v>NOVEMBRE 2022</v>
      </c>
      <c r="F1850" s="57" t="str">
        <f t="shared" si="1233"/>
        <v>11 NOVEMBRE 2022</v>
      </c>
      <c r="G1850" s="59">
        <v>9.73</v>
      </c>
      <c r="H1850" s="1338" t="s">
        <v>69</v>
      </c>
      <c r="I1850" s="960"/>
      <c r="J1850" s="59"/>
      <c r="K1850" s="59"/>
    </row>
    <row r="1851" spans="1:11" x14ac:dyDescent="0.25">
      <c r="A1851" s="57" t="s">
        <v>1050</v>
      </c>
      <c r="B1851" s="57" t="s">
        <v>207</v>
      </c>
      <c r="C1851" s="57">
        <v>2022</v>
      </c>
      <c r="D1851" s="58">
        <f>MATCH(B1851,{"GENNAIO","FEBBRAIO","MARZO","APRILE","MAGGIO","GIUGNO","LUGLIO","AGOSTO","SETTEMBRE","OTTOBRE","NOVEMBRE","DICEMBRE"},0)</f>
        <v>11</v>
      </c>
      <c r="E1851" s="57" t="str">
        <f t="shared" si="1232"/>
        <v>NOVEMBRE 2022</v>
      </c>
      <c r="F1851" s="57" t="str">
        <f t="shared" si="1233"/>
        <v>11 NOVEMBRE 2022</v>
      </c>
      <c r="G1851" s="59">
        <v>7.9</v>
      </c>
      <c r="H1851" s="1338" t="s">
        <v>69</v>
      </c>
      <c r="I1851" s="960"/>
      <c r="J1851" s="59"/>
      <c r="K1851" s="59" t="s">
        <v>1049</v>
      </c>
    </row>
    <row r="1852" spans="1:11" ht="16.5" customHeight="1" x14ac:dyDescent="0.25">
      <c r="A1852" s="57" t="s">
        <v>79</v>
      </c>
      <c r="B1852" s="57" t="s">
        <v>207</v>
      </c>
      <c r="C1852" s="57">
        <v>2022</v>
      </c>
      <c r="D1852" s="58">
        <f>MATCH(B1852,{"GENNAIO","FEBBRAIO","MARZO","APRILE","MAGGIO","GIUGNO","LUGLIO","AGOSTO","SETTEMBRE","OTTOBRE","NOVEMBRE","DICEMBRE"},0)</f>
        <v>11</v>
      </c>
      <c r="E1852" s="57" t="str">
        <f t="shared" si="1232"/>
        <v>NOVEMBRE 2022</v>
      </c>
      <c r="F1852" s="57" t="str">
        <f t="shared" si="1233"/>
        <v>11 NOVEMBRE 2022</v>
      </c>
      <c r="G1852" s="59">
        <v>6.09</v>
      </c>
      <c r="H1852" s="1338" t="s">
        <v>81</v>
      </c>
      <c r="I1852" s="960"/>
      <c r="J1852" s="59"/>
      <c r="K1852" s="59"/>
    </row>
    <row r="1853" spans="1:11" ht="18.95" customHeight="1" x14ac:dyDescent="0.25">
      <c r="A1853" s="57" t="s">
        <v>108</v>
      </c>
      <c r="B1853" s="57" t="s">
        <v>207</v>
      </c>
      <c r="C1853" s="57">
        <v>2022</v>
      </c>
      <c r="D1853" s="58">
        <f>MATCH(B1853,{"GENNAIO","FEBBRAIO","MARZO","APRILE","MAGGIO","GIUGNO","LUGLIO","AGOSTO","SETTEMBRE","OTTOBRE","NOVEMBRE","DICEMBRE"},0)</f>
        <v>11</v>
      </c>
      <c r="E1853" s="57" t="str">
        <f t="shared" si="1232"/>
        <v>NOVEMBRE 2022</v>
      </c>
      <c r="F1853" s="57" t="str">
        <f t="shared" si="1233"/>
        <v>11 NOVEMBRE 2022</v>
      </c>
      <c r="G1853" s="59">
        <v>32.86</v>
      </c>
      <c r="H1853" s="1338" t="s">
        <v>75</v>
      </c>
      <c r="I1853" s="960"/>
      <c r="J1853" s="57" t="s">
        <v>108</v>
      </c>
      <c r="K1853" s="59"/>
    </row>
    <row r="1854" spans="1:11" ht="16.5" customHeight="1" x14ac:dyDescent="0.25">
      <c r="A1854" s="57" t="s">
        <v>171</v>
      </c>
      <c r="B1854" s="57" t="s">
        <v>207</v>
      </c>
      <c r="C1854" s="57">
        <v>2022</v>
      </c>
      <c r="D1854" s="58">
        <f>MATCH(B1854,{"GENNAIO","FEBBRAIO","MARZO","APRILE","MAGGIO","GIUGNO","LUGLIO","AGOSTO","SETTEMBRE","OTTOBRE","NOVEMBRE","DICEMBRE"},0)</f>
        <v>11</v>
      </c>
      <c r="E1854" s="57" t="str">
        <f t="shared" si="1232"/>
        <v>NOVEMBRE 2022</v>
      </c>
      <c r="F1854" s="57" t="str">
        <f t="shared" si="1233"/>
        <v>11 NOVEMBRE 2022</v>
      </c>
      <c r="G1854" s="59">
        <v>36.75</v>
      </c>
      <c r="H1854" s="1338" t="s">
        <v>81</v>
      </c>
      <c r="I1854" s="960"/>
      <c r="J1854" s="59"/>
      <c r="K1854" s="59"/>
    </row>
    <row r="1855" spans="1:11" ht="18.600000000000001" customHeight="1" x14ac:dyDescent="0.25">
      <c r="A1855" s="57" t="s">
        <v>274</v>
      </c>
      <c r="B1855" s="57" t="s">
        <v>207</v>
      </c>
      <c r="C1855" s="57">
        <v>2022</v>
      </c>
      <c r="D1855" s="58">
        <f>MATCH(B1855,{"GENNAIO","FEBBRAIO","MARZO","APRILE","MAGGIO","GIUGNO","LUGLIO","AGOSTO","SETTEMBRE","OTTOBRE","NOVEMBRE","DICEMBRE"},0)</f>
        <v>11</v>
      </c>
      <c r="E1855" s="57" t="str">
        <f t="shared" si="1232"/>
        <v>NOVEMBRE 2022</v>
      </c>
      <c r="F1855" s="57" t="str">
        <f t="shared" si="1233"/>
        <v>11 NOVEMBRE 2022</v>
      </c>
      <c r="G1855" s="59">
        <v>18</v>
      </c>
      <c r="H1855" s="1338" t="s">
        <v>69</v>
      </c>
      <c r="I1855" s="960"/>
      <c r="J1855" s="59"/>
      <c r="K1855" s="59"/>
    </row>
    <row r="1856" spans="1:11" ht="16.5" customHeight="1" x14ac:dyDescent="0.25">
      <c r="A1856" s="57" t="s">
        <v>275</v>
      </c>
      <c r="B1856" s="57" t="s">
        <v>207</v>
      </c>
      <c r="C1856" s="57">
        <v>2022</v>
      </c>
      <c r="D1856" s="58">
        <f>MATCH(B1856,{"GENNAIO","FEBBRAIO","MARZO","APRILE","MAGGIO","GIUGNO","LUGLIO","AGOSTO","SETTEMBRE","OTTOBRE","NOVEMBRE","DICEMBRE"},0)</f>
        <v>11</v>
      </c>
      <c r="E1856" s="57" t="str">
        <f t="shared" si="1232"/>
        <v>NOVEMBRE 2022</v>
      </c>
      <c r="F1856" s="57" t="str">
        <f t="shared" si="1233"/>
        <v>11 NOVEMBRE 2022</v>
      </c>
      <c r="G1856" s="59">
        <v>92</v>
      </c>
      <c r="H1856" s="1338" t="s">
        <v>74</v>
      </c>
      <c r="I1856" s="960"/>
      <c r="J1856" s="59"/>
      <c r="K1856" s="59"/>
    </row>
    <row r="1857" spans="1:11" ht="16.5" customHeight="1" x14ac:dyDescent="0.25">
      <c r="A1857" s="57" t="s">
        <v>67</v>
      </c>
      <c r="B1857" s="57" t="s">
        <v>215</v>
      </c>
      <c r="C1857" s="57">
        <v>2022</v>
      </c>
      <c r="D1857" s="58">
        <f>MATCH(B1857,{"GENNAIO","FEBBRAIO","MARZO","APRILE","MAGGIO","GIUGNO","LUGLIO","AGOSTO","SETTEMBRE","OTTOBRE","NOVEMBRE","DICEMBRE"},0)</f>
        <v>10</v>
      </c>
      <c r="E1857" s="57" t="str">
        <f t="shared" si="1232"/>
        <v>OTTOBRE 2022</v>
      </c>
      <c r="F1857" s="57" t="str">
        <f t="shared" si="1233"/>
        <v>10 OTTOBRE 2022</v>
      </c>
      <c r="G1857" s="59">
        <v>2.4</v>
      </c>
      <c r="H1857" s="1338" t="s">
        <v>69</v>
      </c>
      <c r="I1857" s="960"/>
      <c r="J1857" s="59"/>
      <c r="K1857" s="59"/>
    </row>
    <row r="1858" spans="1:11" ht="16.5" customHeight="1" x14ac:dyDescent="0.25">
      <c r="A1858" s="57" t="s">
        <v>76</v>
      </c>
      <c r="B1858" s="57" t="s">
        <v>215</v>
      </c>
      <c r="C1858" s="57">
        <v>2022</v>
      </c>
      <c r="D1858" s="58">
        <f>MATCH(B1858,{"GENNAIO","FEBBRAIO","MARZO","APRILE","MAGGIO","GIUGNO","LUGLIO","AGOSTO","SETTEMBRE","OTTOBRE","NOVEMBRE","DICEMBRE"},0)</f>
        <v>10</v>
      </c>
      <c r="E1858" s="57" t="str">
        <f t="shared" si="1232"/>
        <v>OTTOBRE 2022</v>
      </c>
      <c r="F1858" s="57" t="str">
        <f t="shared" si="1233"/>
        <v>10 OTTOBRE 2022</v>
      </c>
      <c r="G1858" s="59">
        <v>5.92</v>
      </c>
      <c r="H1858" s="1338" t="s">
        <v>77</v>
      </c>
      <c r="I1858" s="960"/>
      <c r="J1858" s="59"/>
      <c r="K1858" s="59"/>
    </row>
    <row r="1859" spans="1:11" ht="16.5" customHeight="1" x14ac:dyDescent="0.25">
      <c r="A1859" s="57" t="s">
        <v>121</v>
      </c>
      <c r="B1859" s="57" t="s">
        <v>215</v>
      </c>
      <c r="C1859" s="57">
        <v>2022</v>
      </c>
      <c r="D1859" s="58">
        <f>MATCH(B1859,{"GENNAIO","FEBBRAIO","MARZO","APRILE","MAGGIO","GIUGNO","LUGLIO","AGOSTO","SETTEMBRE","OTTOBRE","NOVEMBRE","DICEMBRE"},0)</f>
        <v>10</v>
      </c>
      <c r="E1859" s="57" t="str">
        <f t="shared" si="1232"/>
        <v>OTTOBRE 2022</v>
      </c>
      <c r="F1859" s="57" t="str">
        <f t="shared" si="1233"/>
        <v>10 OTTOBRE 2022</v>
      </c>
      <c r="G1859" s="59">
        <v>0.4</v>
      </c>
      <c r="H1859" s="1338" t="s">
        <v>777</v>
      </c>
      <c r="I1859" s="960"/>
      <c r="J1859" s="59"/>
      <c r="K1859" s="59"/>
    </row>
    <row r="1860" spans="1:11" ht="16.5" customHeight="1" x14ac:dyDescent="0.25">
      <c r="A1860" s="57" t="s">
        <v>276</v>
      </c>
      <c r="B1860" s="57" t="s">
        <v>215</v>
      </c>
      <c r="C1860" s="57">
        <v>2022</v>
      </c>
      <c r="D1860" s="58">
        <f>MATCH(B1860,{"GENNAIO","FEBBRAIO","MARZO","APRILE","MAGGIO","GIUGNO","LUGLIO","AGOSTO","SETTEMBRE","OTTOBRE","NOVEMBRE","DICEMBRE"},0)</f>
        <v>10</v>
      </c>
      <c r="E1860" s="57" t="str">
        <f t="shared" si="1232"/>
        <v>OTTOBRE 2022</v>
      </c>
      <c r="F1860" s="57" t="str">
        <f t="shared" si="1233"/>
        <v>10 OTTOBRE 2022</v>
      </c>
      <c r="G1860" s="59">
        <v>12</v>
      </c>
      <c r="H1860" s="1338" t="s">
        <v>69</v>
      </c>
      <c r="I1860" s="960"/>
      <c r="J1860" s="59"/>
      <c r="K1860" s="59"/>
    </row>
    <row r="1861" spans="1:11" ht="16.5" customHeight="1" x14ac:dyDescent="0.25">
      <c r="A1861" s="57" t="s">
        <v>121</v>
      </c>
      <c r="B1861" s="57" t="s">
        <v>215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32"/>
        <v>OTTOBRE 2022</v>
      </c>
      <c r="F1861" s="57" t="str">
        <f t="shared" si="1233"/>
        <v>10 OTTOBRE 2022</v>
      </c>
      <c r="G1861" s="59">
        <v>0.4</v>
      </c>
      <c r="H1861" s="1338" t="s">
        <v>777</v>
      </c>
      <c r="I1861" s="960"/>
      <c r="J1861" s="59"/>
      <c r="K1861" s="59"/>
    </row>
    <row r="1862" spans="1:11" ht="16.5" customHeight="1" x14ac:dyDescent="0.25">
      <c r="A1862" s="57" t="s">
        <v>121</v>
      </c>
      <c r="B1862" s="57" t="s">
        <v>215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32"/>
        <v>OTTOBRE 2022</v>
      </c>
      <c r="F1862" s="57" t="str">
        <f t="shared" si="1233"/>
        <v>10 OTTOBRE 2022</v>
      </c>
      <c r="G1862" s="59">
        <v>0.4</v>
      </c>
      <c r="H1862" s="1338" t="s">
        <v>777</v>
      </c>
      <c r="I1862" s="960"/>
      <c r="J1862" s="59"/>
      <c r="K1862" s="59"/>
    </row>
    <row r="1863" spans="1:11" x14ac:dyDescent="0.25">
      <c r="A1863" s="57" t="s">
        <v>121</v>
      </c>
      <c r="B1863" s="57" t="s">
        <v>215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32"/>
        <v>OTTOBRE 2022</v>
      </c>
      <c r="F1863" s="57" t="str">
        <f t="shared" si="1233"/>
        <v>10 OTTOBRE 2022</v>
      </c>
      <c r="G1863" s="59">
        <v>0.4</v>
      </c>
      <c r="H1863" s="1338" t="s">
        <v>777</v>
      </c>
      <c r="I1863" s="960"/>
      <c r="J1863" s="59"/>
      <c r="K1863" s="59"/>
    </row>
    <row r="1864" spans="1:11" ht="18.600000000000001" customHeight="1" x14ac:dyDescent="0.25">
      <c r="A1864" s="57" t="s">
        <v>121</v>
      </c>
      <c r="B1864" s="57" t="s">
        <v>215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32"/>
        <v>OTTOBRE 2022</v>
      </c>
      <c r="F1864" s="57" t="str">
        <f t="shared" si="1233"/>
        <v>10 OTTOBRE 2022</v>
      </c>
      <c r="G1864" s="59">
        <v>0.4</v>
      </c>
      <c r="H1864" s="1338" t="s">
        <v>777</v>
      </c>
      <c r="I1864" s="960"/>
      <c r="J1864" s="59"/>
      <c r="K1864" s="59"/>
    </row>
    <row r="1865" spans="1:11" ht="16.5" customHeight="1" x14ac:dyDescent="0.25">
      <c r="A1865" s="57" t="s">
        <v>121</v>
      </c>
      <c r="B1865" s="57" t="s">
        <v>215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32"/>
        <v>OTTOBRE 2022</v>
      </c>
      <c r="F1865" s="57" t="str">
        <f t="shared" si="1233"/>
        <v>10 OTTOBRE 2022</v>
      </c>
      <c r="G1865" s="59">
        <v>0.4</v>
      </c>
      <c r="H1865" s="1338" t="s">
        <v>777</v>
      </c>
      <c r="I1865" s="960"/>
      <c r="J1865" s="59"/>
      <c r="K1865" s="59"/>
    </row>
    <row r="1866" spans="1:11" ht="16.5" customHeight="1" x14ac:dyDescent="0.25">
      <c r="A1866" s="57" t="s">
        <v>79</v>
      </c>
      <c r="B1866" s="57" t="s">
        <v>215</v>
      </c>
      <c r="C1866" s="57">
        <v>2022</v>
      </c>
      <c r="D1866" s="58">
        <f>MATCH(B1866,{"GENNAIO","FEBBRAIO","MARZO","APRILE","MAGGIO","GIUGNO","LUGLIO","AGOSTO","SETTEMBRE","OTTOBRE","NOVEMBRE","DICEMBRE"},0)</f>
        <v>10</v>
      </c>
      <c r="E1866" s="57" t="str">
        <f t="shared" si="1232"/>
        <v>OTTOBRE 2022</v>
      </c>
      <c r="F1866" s="57" t="str">
        <f t="shared" si="1233"/>
        <v>10 OTTOBRE 2022</v>
      </c>
      <c r="G1866" s="59">
        <v>12.18</v>
      </c>
      <c r="H1866" s="1338" t="s">
        <v>81</v>
      </c>
      <c r="I1866" s="960"/>
      <c r="J1866" s="59"/>
      <c r="K1866" s="59"/>
    </row>
    <row r="1867" spans="1:11" x14ac:dyDescent="0.25">
      <c r="A1867" s="57" t="s">
        <v>76</v>
      </c>
      <c r="B1867" s="57" t="s">
        <v>215</v>
      </c>
      <c r="C1867" s="57">
        <v>2022</v>
      </c>
      <c r="D1867" s="58">
        <f>MATCH(B1867,{"GENNAIO","FEBBRAIO","MARZO","APRILE","MAGGIO","GIUGNO","LUGLIO","AGOSTO","SETTEMBRE","OTTOBRE","NOVEMBRE","DICEMBRE"},0)</f>
        <v>10</v>
      </c>
      <c r="E1867" s="57" t="str">
        <f t="shared" si="1232"/>
        <v>OTTOBRE 2022</v>
      </c>
      <c r="F1867" s="57" t="str">
        <f t="shared" si="1233"/>
        <v>10 OTTOBRE 2022</v>
      </c>
      <c r="G1867" s="59">
        <v>6.3</v>
      </c>
      <c r="H1867" s="1338" t="s">
        <v>77</v>
      </c>
      <c r="I1867" s="960"/>
      <c r="J1867" s="59"/>
      <c r="K1867" s="59"/>
    </row>
    <row r="1868" spans="1:11" ht="16.5" customHeight="1" x14ac:dyDescent="0.25">
      <c r="A1868" s="57" t="s">
        <v>108</v>
      </c>
      <c r="B1868" s="57" t="s">
        <v>215</v>
      </c>
      <c r="C1868" s="57">
        <v>2022</v>
      </c>
      <c r="D1868" s="58">
        <f>MATCH(B1868,{"GENNAIO","FEBBRAIO","MARZO","APRILE","MAGGIO","GIUGNO","LUGLIO","AGOSTO","SETTEMBRE","OTTOBRE","NOVEMBRE","DICEMBRE"},0)</f>
        <v>10</v>
      </c>
      <c r="E1868" s="57" t="str">
        <f t="shared" si="1232"/>
        <v>OTTOBRE 2022</v>
      </c>
      <c r="F1868" s="57" t="str">
        <f t="shared" si="1233"/>
        <v>10 OTTOBRE 2022</v>
      </c>
      <c r="G1868" s="59">
        <v>22.98</v>
      </c>
      <c r="H1868" s="1338" t="s">
        <v>75</v>
      </c>
      <c r="I1868" s="960"/>
      <c r="J1868" s="57" t="s">
        <v>108</v>
      </c>
      <c r="K1868" s="59"/>
    </row>
    <row r="1869" spans="1:11" ht="16.5" customHeight="1" x14ac:dyDescent="0.25">
      <c r="A1869" s="57" t="s">
        <v>277</v>
      </c>
      <c r="B1869" s="57" t="s">
        <v>215</v>
      </c>
      <c r="C1869" s="57">
        <v>2022</v>
      </c>
      <c r="D1869" s="58">
        <f>MATCH(B1869,{"GENNAIO","FEBBRAIO","MARZO","APRILE","MAGGIO","GIUGNO","LUGLIO","AGOSTO","SETTEMBRE","OTTOBRE","NOVEMBRE","DICEMBRE"},0)</f>
        <v>10</v>
      </c>
      <c r="E1869" s="57" t="str">
        <f t="shared" si="1232"/>
        <v>OTTOBRE 2022</v>
      </c>
      <c r="F1869" s="57" t="str">
        <f t="shared" si="1233"/>
        <v>10 OTTOBRE 2022</v>
      </c>
      <c r="G1869" s="60">
        <v>20.89</v>
      </c>
      <c r="H1869" s="1338" t="s">
        <v>85</v>
      </c>
      <c r="I1869" s="960"/>
      <c r="J1869" s="59"/>
      <c r="K1869" s="59"/>
    </row>
    <row r="1870" spans="1:11" x14ac:dyDescent="0.25">
      <c r="A1870" s="57" t="s">
        <v>79</v>
      </c>
      <c r="B1870" s="57" t="s">
        <v>215</v>
      </c>
      <c r="C1870" s="57">
        <v>2022</v>
      </c>
      <c r="D1870" s="58">
        <f>MATCH(B1870,{"GENNAIO","FEBBRAIO","MARZO","APRILE","MAGGIO","GIUGNO","LUGLIO","AGOSTO","SETTEMBRE","OTTOBRE","NOVEMBRE","DICEMBRE"},0)</f>
        <v>10</v>
      </c>
      <c r="E1870" s="57" t="str">
        <f t="shared" si="1232"/>
        <v>OTTOBRE 2022</v>
      </c>
      <c r="F1870" s="57" t="str">
        <f t="shared" si="1233"/>
        <v>10 OTTOBRE 2022</v>
      </c>
      <c r="G1870" s="59">
        <v>7.3</v>
      </c>
      <c r="H1870" s="1338" t="s">
        <v>81</v>
      </c>
      <c r="I1870" s="960"/>
      <c r="J1870" s="59"/>
      <c r="K1870" s="59"/>
    </row>
    <row r="1871" spans="1:11" ht="18.600000000000001" customHeight="1" x14ac:dyDescent="0.25">
      <c r="A1871" s="57" t="s">
        <v>278</v>
      </c>
      <c r="B1871" s="57" t="s">
        <v>215</v>
      </c>
      <c r="C1871" s="57">
        <v>2022</v>
      </c>
      <c r="D1871" s="58">
        <f>MATCH(B1871,{"GENNAIO","FEBBRAIO","MARZO","APRILE","MAGGIO","GIUGNO","LUGLIO","AGOSTO","SETTEMBRE","OTTOBRE","NOVEMBRE","DICEMBRE"},0)</f>
        <v>10</v>
      </c>
      <c r="E1871" s="57" t="str">
        <f t="shared" si="1232"/>
        <v>OTTOBRE 2022</v>
      </c>
      <c r="F1871" s="57" t="str">
        <f t="shared" si="1233"/>
        <v>10 OTTOBRE 2022</v>
      </c>
      <c r="G1871" s="59">
        <v>33</v>
      </c>
      <c r="H1871" s="1338" t="s">
        <v>114</v>
      </c>
      <c r="I1871" s="960"/>
      <c r="J1871" s="59"/>
      <c r="K1871" s="59"/>
    </row>
    <row r="1872" spans="1:11" x14ac:dyDescent="0.25">
      <c r="A1872" s="57" t="s">
        <v>279</v>
      </c>
      <c r="B1872" s="57" t="s">
        <v>215</v>
      </c>
      <c r="C1872" s="57">
        <v>2022</v>
      </c>
      <c r="D1872" s="58">
        <f>MATCH(B1872,{"GENNAIO","FEBBRAIO","MARZO","APRILE","MAGGIO","GIUGNO","LUGLIO","AGOSTO","SETTEMBRE","OTTOBRE","NOVEMBRE","DICEMBRE"},0)</f>
        <v>10</v>
      </c>
      <c r="E1872" s="57" t="str">
        <f t="shared" si="1232"/>
        <v>OTTOBRE 2022</v>
      </c>
      <c r="F1872" s="57" t="str">
        <f t="shared" si="1233"/>
        <v>10 OTTOBRE 2022</v>
      </c>
      <c r="G1872" s="60">
        <v>23.3</v>
      </c>
      <c r="H1872" s="1338" t="s">
        <v>85</v>
      </c>
      <c r="I1872" s="960"/>
      <c r="J1872" s="59"/>
      <c r="K1872" s="59"/>
    </row>
    <row r="1873" spans="1:11" ht="18.600000000000001" customHeight="1" x14ac:dyDescent="0.25">
      <c r="A1873" s="57" t="s">
        <v>171</v>
      </c>
      <c r="B1873" s="57" t="s">
        <v>215</v>
      </c>
      <c r="C1873" s="57">
        <v>2022</v>
      </c>
      <c r="D1873" s="58">
        <f>MATCH(B1873,{"GENNAIO","FEBBRAIO","MARZO","APRILE","MAGGIO","GIUGNO","LUGLIO","AGOSTO","SETTEMBRE","OTTOBRE","NOVEMBRE","DICEMBRE"},0)</f>
        <v>10</v>
      </c>
      <c r="E1873" s="57" t="str">
        <f t="shared" si="1232"/>
        <v>OTTOBRE 2022</v>
      </c>
      <c r="F1873" s="57" t="str">
        <f t="shared" si="1233"/>
        <v>10 OTTOBRE 2022</v>
      </c>
      <c r="G1873" s="59">
        <v>51.8</v>
      </c>
      <c r="H1873" s="1338" t="s">
        <v>81</v>
      </c>
      <c r="I1873" s="960"/>
      <c r="J1873" s="59"/>
      <c r="K1873" s="59"/>
    </row>
    <row r="1874" spans="1:11" ht="16.5" customHeight="1" x14ac:dyDescent="0.25">
      <c r="A1874" s="57" t="s">
        <v>76</v>
      </c>
      <c r="B1874" s="57" t="s">
        <v>215</v>
      </c>
      <c r="C1874" s="57">
        <v>2022</v>
      </c>
      <c r="D1874" s="58">
        <f>MATCH(B1874,{"GENNAIO","FEBBRAIO","MARZO","APRILE","MAGGIO","GIUGNO","LUGLIO","AGOSTO","SETTEMBRE","OTTOBRE","NOVEMBRE","DICEMBRE"},0)</f>
        <v>10</v>
      </c>
      <c r="E1874" s="57" t="str">
        <f t="shared" si="1232"/>
        <v>OTTOBRE 2022</v>
      </c>
      <c r="F1874" s="57" t="str">
        <f t="shared" si="1233"/>
        <v>10 OTTOBRE 2022</v>
      </c>
      <c r="G1874" s="59">
        <v>3.27</v>
      </c>
      <c r="H1874" s="1338" t="s">
        <v>77</v>
      </c>
      <c r="I1874" s="960"/>
      <c r="J1874" s="59"/>
      <c r="K1874" s="59"/>
    </row>
    <row r="1875" spans="1:11" ht="18.600000000000001" customHeight="1" x14ac:dyDescent="0.25">
      <c r="A1875" s="57" t="s">
        <v>79</v>
      </c>
      <c r="B1875" s="57" t="s">
        <v>215</v>
      </c>
      <c r="C1875" s="57">
        <v>2022</v>
      </c>
      <c r="D1875" s="58">
        <f>MATCH(B1875,{"GENNAIO","FEBBRAIO","MARZO","APRILE","MAGGIO","GIUGNO","LUGLIO","AGOSTO","SETTEMBRE","OTTOBRE","NOVEMBRE","DICEMBRE"},0)</f>
        <v>10</v>
      </c>
      <c r="E1875" s="57" t="str">
        <f t="shared" si="1232"/>
        <v>OTTOBRE 2022</v>
      </c>
      <c r="F1875" s="57" t="str">
        <f t="shared" si="1233"/>
        <v>10 OTTOBRE 2022</v>
      </c>
      <c r="G1875" s="59">
        <v>19.489999999999998</v>
      </c>
      <c r="H1875" s="1338" t="s">
        <v>81</v>
      </c>
      <c r="I1875" s="960"/>
      <c r="J1875" s="59"/>
      <c r="K1875" s="59"/>
    </row>
    <row r="1876" spans="1:11" ht="16.5" customHeight="1" x14ac:dyDescent="0.25">
      <c r="A1876" s="57" t="s">
        <v>280</v>
      </c>
      <c r="B1876" s="57" t="s">
        <v>215</v>
      </c>
      <c r="C1876" s="57">
        <v>2022</v>
      </c>
      <c r="D1876" s="58">
        <f>MATCH(B1876,{"GENNAIO","FEBBRAIO","MARZO","APRILE","MAGGIO","GIUGNO","LUGLIO","AGOSTO","SETTEMBRE","OTTOBRE","NOVEMBRE","DICEMBRE"},0)</f>
        <v>10</v>
      </c>
      <c r="E1876" s="57" t="str">
        <f t="shared" si="1232"/>
        <v>OTTOBRE 2022</v>
      </c>
      <c r="F1876" s="57" t="str">
        <f t="shared" si="1233"/>
        <v>10 OTTOBRE 2022</v>
      </c>
      <c r="G1876" s="59">
        <v>121.5</v>
      </c>
      <c r="H1876" s="1338" t="s">
        <v>77</v>
      </c>
      <c r="I1876" s="960"/>
      <c r="J1876" s="59"/>
      <c r="K1876" s="59"/>
    </row>
    <row r="1877" spans="1:11" ht="16.5" customHeight="1" x14ac:dyDescent="0.25">
      <c r="A1877" s="57" t="s">
        <v>121</v>
      </c>
      <c r="B1877" s="57" t="s">
        <v>68</v>
      </c>
      <c r="C1877" s="57">
        <v>2022</v>
      </c>
      <c r="D1877" s="58">
        <f>MATCH(B1877,{"GENNAIO","FEBBRAIO","MARZO","APRILE","MAGGIO","GIUGNO","LUGLIO","AGOSTO","SETTEMBRE","OTTOBRE","NOVEMBRE","DICEMBRE"},0)</f>
        <v>9</v>
      </c>
      <c r="E1877" s="57" t="str">
        <f t="shared" si="1232"/>
        <v>SETTEMBRE 2022</v>
      </c>
      <c r="F1877" s="57" t="str">
        <f t="shared" si="1233"/>
        <v>9 SETTEMBRE 2022</v>
      </c>
      <c r="G1877" s="59">
        <v>0.4</v>
      </c>
      <c r="H1877" s="1338" t="s">
        <v>777</v>
      </c>
      <c r="I1877" s="960"/>
      <c r="J1877" s="59"/>
      <c r="K1877" s="59"/>
    </row>
    <row r="1878" spans="1:11" ht="16.5" customHeight="1" x14ac:dyDescent="0.25">
      <c r="A1878" s="57" t="s">
        <v>164</v>
      </c>
      <c r="B1878" s="57" t="s">
        <v>68</v>
      </c>
      <c r="C1878" s="57">
        <v>2022</v>
      </c>
      <c r="D1878" s="58">
        <f>MATCH(B1878,{"GENNAIO","FEBBRAIO","MARZO","APRILE","MAGGIO","GIUGNO","LUGLIO","AGOSTO","SETTEMBRE","OTTOBRE","NOVEMBRE","DICEMBRE"},0)</f>
        <v>9</v>
      </c>
      <c r="E1878" s="57" t="str">
        <f t="shared" si="1232"/>
        <v>SETTEMBRE 2022</v>
      </c>
      <c r="F1878" s="57" t="str">
        <f t="shared" si="1233"/>
        <v>9 SETTEMBRE 2022</v>
      </c>
      <c r="G1878" s="59">
        <v>10.96</v>
      </c>
      <c r="H1878" s="1338" t="s">
        <v>77</v>
      </c>
      <c r="I1878" s="960"/>
      <c r="J1878" s="59"/>
      <c r="K1878" s="59"/>
    </row>
    <row r="1879" spans="1:11" ht="16.5" customHeight="1" x14ac:dyDescent="0.25">
      <c r="A1879" s="57" t="s">
        <v>177</v>
      </c>
      <c r="B1879" s="57" t="s">
        <v>68</v>
      </c>
      <c r="C1879" s="57">
        <v>2022</v>
      </c>
      <c r="D1879" s="58">
        <f>MATCH(B1879,{"GENNAIO","FEBBRAIO","MARZO","APRILE","MAGGIO","GIUGNO","LUGLIO","AGOSTO","SETTEMBRE","OTTOBRE","NOVEMBRE","DICEMBRE"},0)</f>
        <v>9</v>
      </c>
      <c r="E1879" s="57" t="str">
        <f t="shared" si="1232"/>
        <v>SETTEMBRE 2022</v>
      </c>
      <c r="F1879" s="57" t="str">
        <f t="shared" si="1233"/>
        <v>9 SETTEMBRE 2022</v>
      </c>
      <c r="G1879" s="59">
        <v>45</v>
      </c>
      <c r="H1879" s="1338" t="s">
        <v>69</v>
      </c>
      <c r="I1879" s="960"/>
      <c r="J1879" s="59"/>
      <c r="K1879" s="59"/>
    </row>
    <row r="1880" spans="1:11" ht="16.5" customHeight="1" x14ac:dyDescent="0.25">
      <c r="A1880" s="57" t="s">
        <v>121</v>
      </c>
      <c r="B1880" s="57" t="s">
        <v>68</v>
      </c>
      <c r="C1880" s="57">
        <v>2022</v>
      </c>
      <c r="D1880" s="58">
        <f>MATCH(B1880,{"GENNAIO","FEBBRAIO","MARZO","APRILE","MAGGIO","GIUGNO","LUGLIO","AGOSTO","SETTEMBRE","OTTOBRE","NOVEMBRE","DICEMBRE"},0)</f>
        <v>9</v>
      </c>
      <c r="E1880" s="57" t="str">
        <f t="shared" si="1232"/>
        <v>SETTEMBRE 2022</v>
      </c>
      <c r="F1880" s="57" t="str">
        <f t="shared" si="1233"/>
        <v>9 SETTEMBRE 2022</v>
      </c>
      <c r="G1880" s="59">
        <v>0.7</v>
      </c>
      <c r="H1880" s="1338" t="s">
        <v>777</v>
      </c>
      <c r="I1880" s="960"/>
      <c r="J1880" s="59"/>
      <c r="K1880" s="59"/>
    </row>
    <row r="1881" spans="1:11" ht="16.5" customHeight="1" x14ac:dyDescent="0.25">
      <c r="A1881" s="57" t="s">
        <v>121</v>
      </c>
      <c r="B1881" s="57" t="s">
        <v>68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32"/>
        <v>SETTEMBRE 2022</v>
      </c>
      <c r="F1881" s="57" t="str">
        <f t="shared" si="1233"/>
        <v>9 SETTEMBRE 2022</v>
      </c>
      <c r="G1881" s="59">
        <v>0.7</v>
      </c>
      <c r="H1881" s="1338" t="s">
        <v>777</v>
      </c>
      <c r="I1881" s="960"/>
      <c r="J1881" s="59"/>
      <c r="K1881" s="59"/>
    </row>
    <row r="1882" spans="1:11" ht="16.5" customHeight="1" x14ac:dyDescent="0.25">
      <c r="A1882" s="57" t="s">
        <v>121</v>
      </c>
      <c r="B1882" s="57" t="s">
        <v>68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ref="E1882:E1945" si="1234">CONCATENATE(,B1882," ",C1882)</f>
        <v>SETTEMBRE 2022</v>
      </c>
      <c r="F1882" s="57" t="str">
        <f t="shared" ref="F1882:F1945" si="1235">CONCATENATE(D1882," ",E1882)</f>
        <v>9 SETTEMBRE 2022</v>
      </c>
      <c r="G1882" s="59">
        <v>0.4</v>
      </c>
      <c r="H1882" s="1338" t="s">
        <v>777</v>
      </c>
      <c r="I1882" s="960"/>
      <c r="J1882" s="59"/>
      <c r="K1882" s="59"/>
    </row>
    <row r="1883" spans="1:11" ht="16.5" customHeight="1" x14ac:dyDescent="0.25">
      <c r="A1883" s="57" t="s">
        <v>121</v>
      </c>
      <c r="B1883" s="57" t="s">
        <v>68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34"/>
        <v>SETTEMBRE 2022</v>
      </c>
      <c r="F1883" s="57" t="str">
        <f t="shared" si="1235"/>
        <v>9 SETTEMBRE 2022</v>
      </c>
      <c r="G1883" s="59">
        <v>0.4</v>
      </c>
      <c r="H1883" s="1338" t="s">
        <v>777</v>
      </c>
      <c r="I1883" s="960"/>
      <c r="J1883" s="59"/>
      <c r="K1883" s="59"/>
    </row>
    <row r="1884" spans="1:11" ht="16.5" customHeight="1" x14ac:dyDescent="0.25">
      <c r="A1884" s="57" t="s">
        <v>281</v>
      </c>
      <c r="B1884" s="57" t="s">
        <v>68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si="1234"/>
        <v>SETTEMBRE 2022</v>
      </c>
      <c r="F1884" s="57" t="str">
        <f t="shared" si="1235"/>
        <v>9 SETTEMBRE 2022</v>
      </c>
      <c r="G1884" s="59">
        <v>15</v>
      </c>
      <c r="H1884" s="1338" t="s">
        <v>69</v>
      </c>
      <c r="I1884" s="960"/>
      <c r="J1884" s="59"/>
      <c r="K1884" s="59"/>
    </row>
    <row r="1885" spans="1:11" ht="16.5" customHeight="1" x14ac:dyDescent="0.25">
      <c r="A1885" s="57" t="s">
        <v>67</v>
      </c>
      <c r="B1885" s="57" t="s">
        <v>68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si="1234"/>
        <v>SETTEMBRE 2022</v>
      </c>
      <c r="F1885" s="57" t="str">
        <f t="shared" si="1235"/>
        <v>9 SETTEMBRE 2022</v>
      </c>
      <c r="G1885" s="59">
        <v>7.4</v>
      </c>
      <c r="H1885" s="1338" t="s">
        <v>69</v>
      </c>
      <c r="I1885" s="960"/>
      <c r="J1885" s="59"/>
      <c r="K1885" s="59"/>
    </row>
    <row r="1886" spans="1:11" ht="16.5" customHeight="1" x14ac:dyDescent="0.25">
      <c r="A1886" s="57" t="s">
        <v>121</v>
      </c>
      <c r="B1886" s="57" t="s">
        <v>68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si="1234"/>
        <v>SETTEMBRE 2022</v>
      </c>
      <c r="F1886" s="57" t="str">
        <f t="shared" si="1235"/>
        <v>9 SETTEMBRE 2022</v>
      </c>
      <c r="G1886" s="59">
        <v>0.4</v>
      </c>
      <c r="H1886" s="1338" t="s">
        <v>777</v>
      </c>
      <c r="I1886" s="960"/>
      <c r="J1886" s="59"/>
      <c r="K1886" s="59"/>
    </row>
    <row r="1887" spans="1:11" ht="16.5" customHeight="1" x14ac:dyDescent="0.25">
      <c r="A1887" s="57" t="s">
        <v>121</v>
      </c>
      <c r="B1887" s="57" t="s">
        <v>68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34"/>
        <v>SETTEMBRE 2022</v>
      </c>
      <c r="F1887" s="57" t="str">
        <f t="shared" si="1235"/>
        <v>9 SETTEMBRE 2022</v>
      </c>
      <c r="G1887" s="59">
        <v>0.4</v>
      </c>
      <c r="H1887" s="1338" t="s">
        <v>777</v>
      </c>
      <c r="I1887" s="960"/>
      <c r="J1887" s="59"/>
      <c r="K1887" s="59"/>
    </row>
    <row r="1888" spans="1:11" ht="16.5" customHeight="1" x14ac:dyDescent="0.25">
      <c r="A1888" s="57" t="s">
        <v>121</v>
      </c>
      <c r="B1888" s="57" t="s">
        <v>68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34"/>
        <v>SETTEMBRE 2022</v>
      </c>
      <c r="F1888" s="57" t="str">
        <f t="shared" si="1235"/>
        <v>9 SETTEMBRE 2022</v>
      </c>
      <c r="G1888" s="59">
        <v>0.4</v>
      </c>
      <c r="H1888" s="1338" t="s">
        <v>777</v>
      </c>
      <c r="I1888" s="960"/>
      <c r="J1888" s="59"/>
      <c r="K1888" s="59"/>
    </row>
    <row r="1889" spans="1:11" ht="18.600000000000001" customHeight="1" x14ac:dyDescent="0.25">
      <c r="A1889" s="57" t="s">
        <v>67</v>
      </c>
      <c r="B1889" s="57" t="s">
        <v>68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34"/>
        <v>SETTEMBRE 2022</v>
      </c>
      <c r="F1889" s="57" t="str">
        <f t="shared" si="1235"/>
        <v>9 SETTEMBRE 2022</v>
      </c>
      <c r="G1889" s="59">
        <v>5</v>
      </c>
      <c r="H1889" s="1338" t="s">
        <v>776</v>
      </c>
      <c r="I1889" s="960"/>
      <c r="J1889" s="59"/>
      <c r="K1889" s="59"/>
    </row>
    <row r="1890" spans="1:11" ht="16.5" customHeight="1" x14ac:dyDescent="0.25">
      <c r="A1890" s="57" t="s">
        <v>121</v>
      </c>
      <c r="B1890" s="57" t="s">
        <v>68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34"/>
        <v>SETTEMBRE 2022</v>
      </c>
      <c r="F1890" s="57" t="str">
        <f t="shared" si="1235"/>
        <v>9 SETTEMBRE 2022</v>
      </c>
      <c r="G1890" s="59">
        <v>0.4</v>
      </c>
      <c r="H1890" s="1338" t="s">
        <v>777</v>
      </c>
      <c r="I1890" s="960"/>
      <c r="J1890" s="59"/>
      <c r="K1890" s="59"/>
    </row>
    <row r="1891" spans="1:11" ht="18.600000000000001" customHeight="1" x14ac:dyDescent="0.25">
      <c r="A1891" s="57" t="s">
        <v>121</v>
      </c>
      <c r="B1891" s="57" t="s">
        <v>68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34"/>
        <v>SETTEMBRE 2022</v>
      </c>
      <c r="F1891" s="57" t="str">
        <f t="shared" si="1235"/>
        <v>9 SETTEMBRE 2022</v>
      </c>
      <c r="G1891" s="59">
        <v>0.4</v>
      </c>
      <c r="H1891" s="1338" t="s">
        <v>777</v>
      </c>
      <c r="I1891" s="960"/>
      <c r="J1891" s="59"/>
      <c r="K1891" s="59"/>
    </row>
    <row r="1892" spans="1:11" ht="16.5" customHeight="1" x14ac:dyDescent="0.25">
      <c r="A1892" s="57" t="s">
        <v>76</v>
      </c>
      <c r="B1892" s="57" t="s">
        <v>68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34"/>
        <v>SETTEMBRE 2022</v>
      </c>
      <c r="F1892" s="57" t="str">
        <f t="shared" si="1235"/>
        <v>9 SETTEMBRE 2022</v>
      </c>
      <c r="G1892" s="59">
        <v>12.03</v>
      </c>
      <c r="H1892" s="1338" t="s">
        <v>77</v>
      </c>
      <c r="I1892" s="960"/>
      <c r="J1892" s="59"/>
      <c r="K1892" s="59"/>
    </row>
    <row r="1893" spans="1:11" ht="16.5" customHeight="1" x14ac:dyDescent="0.25">
      <c r="A1893" s="57" t="s">
        <v>202</v>
      </c>
      <c r="B1893" s="57" t="s">
        <v>68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34"/>
        <v>SETTEMBRE 2022</v>
      </c>
      <c r="F1893" s="57" t="str">
        <f t="shared" si="1235"/>
        <v>9 SETTEMBRE 2022</v>
      </c>
      <c r="G1893" s="59">
        <v>34.9</v>
      </c>
      <c r="H1893" s="1338" t="s">
        <v>137</v>
      </c>
      <c r="I1893" s="960"/>
      <c r="J1893" s="59"/>
      <c r="K1893" s="59"/>
    </row>
    <row r="1894" spans="1:11" ht="16.5" customHeight="1" x14ac:dyDescent="0.25">
      <c r="A1894" s="57" t="s">
        <v>76</v>
      </c>
      <c r="B1894" s="57" t="s">
        <v>68</v>
      </c>
      <c r="C1894" s="57">
        <v>2022</v>
      </c>
      <c r="D1894" s="58">
        <f>MATCH(B1894,{"GENNAIO","FEBBRAIO","MARZO","APRILE","MAGGIO","GIUGNO","LUGLIO","AGOSTO","SETTEMBRE","OTTOBRE","NOVEMBRE","DICEMBRE"},0)</f>
        <v>9</v>
      </c>
      <c r="E1894" s="57" t="str">
        <f t="shared" si="1234"/>
        <v>SETTEMBRE 2022</v>
      </c>
      <c r="F1894" s="57" t="str">
        <f t="shared" si="1235"/>
        <v>9 SETTEMBRE 2022</v>
      </c>
      <c r="G1894" s="59">
        <v>28.8</v>
      </c>
      <c r="H1894" s="1338" t="s">
        <v>77</v>
      </c>
      <c r="I1894" s="960"/>
      <c r="J1894" s="59"/>
      <c r="K1894" s="59"/>
    </row>
    <row r="1895" spans="1:11" ht="16.5" customHeight="1" x14ac:dyDescent="0.25">
      <c r="A1895" s="57" t="s">
        <v>67</v>
      </c>
      <c r="B1895" s="57" t="s">
        <v>68</v>
      </c>
      <c r="C1895" s="57">
        <v>2022</v>
      </c>
      <c r="D1895" s="58">
        <f>MATCH(B1895,{"GENNAIO","FEBBRAIO","MARZO","APRILE","MAGGIO","GIUGNO","LUGLIO","AGOSTO","SETTEMBRE","OTTOBRE","NOVEMBRE","DICEMBRE"},0)</f>
        <v>9</v>
      </c>
      <c r="E1895" s="57" t="str">
        <f t="shared" si="1234"/>
        <v>SETTEMBRE 2022</v>
      </c>
      <c r="F1895" s="57" t="str">
        <f t="shared" si="1235"/>
        <v>9 SETTEMBRE 2022</v>
      </c>
      <c r="G1895" s="59">
        <v>10</v>
      </c>
      <c r="H1895" s="1338" t="s">
        <v>69</v>
      </c>
      <c r="I1895" s="960"/>
      <c r="J1895" s="59"/>
      <c r="K1895" s="59"/>
    </row>
    <row r="1896" spans="1:11" ht="16.5" customHeight="1" x14ac:dyDescent="0.25">
      <c r="A1896" s="57" t="s">
        <v>67</v>
      </c>
      <c r="B1896" s="57" t="s">
        <v>68</v>
      </c>
      <c r="C1896" s="57">
        <v>2022</v>
      </c>
      <c r="D1896" s="58">
        <f>MATCH(B1896,{"GENNAIO","FEBBRAIO","MARZO","APRILE","MAGGIO","GIUGNO","LUGLIO","AGOSTO","SETTEMBRE","OTTOBRE","NOVEMBRE","DICEMBRE"},0)</f>
        <v>9</v>
      </c>
      <c r="E1896" s="57" t="str">
        <f t="shared" si="1234"/>
        <v>SETTEMBRE 2022</v>
      </c>
      <c r="F1896" s="57" t="str">
        <f t="shared" si="1235"/>
        <v>9 SETTEMBRE 2022</v>
      </c>
      <c r="G1896" s="59">
        <v>5</v>
      </c>
      <c r="H1896" s="1338" t="s">
        <v>776</v>
      </c>
      <c r="I1896" s="960"/>
      <c r="J1896" s="59"/>
      <c r="K1896" s="59"/>
    </row>
    <row r="1897" spans="1:11" ht="16.5" customHeight="1" x14ac:dyDescent="0.25">
      <c r="A1897" s="57" t="s">
        <v>121</v>
      </c>
      <c r="B1897" s="57" t="s">
        <v>68</v>
      </c>
      <c r="C1897" s="57">
        <v>2022</v>
      </c>
      <c r="D1897" s="58">
        <f>MATCH(B1897,{"GENNAIO","FEBBRAIO","MARZO","APRILE","MAGGIO","GIUGNO","LUGLIO","AGOSTO","SETTEMBRE","OTTOBRE","NOVEMBRE","DICEMBRE"},0)</f>
        <v>9</v>
      </c>
      <c r="E1897" s="57" t="str">
        <f t="shared" si="1234"/>
        <v>SETTEMBRE 2022</v>
      </c>
      <c r="F1897" s="57" t="str">
        <f t="shared" si="1235"/>
        <v>9 SETTEMBRE 2022</v>
      </c>
      <c r="G1897" s="59">
        <v>0.4</v>
      </c>
      <c r="H1897" s="1338" t="s">
        <v>777</v>
      </c>
      <c r="I1897" s="960"/>
      <c r="J1897" s="59"/>
      <c r="K1897" s="59"/>
    </row>
    <row r="1898" spans="1:11" ht="16.5" customHeight="1" x14ac:dyDescent="0.25">
      <c r="A1898" s="57" t="s">
        <v>282</v>
      </c>
      <c r="B1898" s="57" t="s">
        <v>68</v>
      </c>
      <c r="C1898" s="57">
        <v>2022</v>
      </c>
      <c r="D1898" s="58">
        <f>MATCH(B1898,{"GENNAIO","FEBBRAIO","MARZO","APRILE","MAGGIO","GIUGNO","LUGLIO","AGOSTO","SETTEMBRE","OTTOBRE","NOVEMBRE","DICEMBRE"},0)</f>
        <v>9</v>
      </c>
      <c r="E1898" s="57" t="str">
        <f t="shared" si="1234"/>
        <v>SETTEMBRE 2022</v>
      </c>
      <c r="F1898" s="57" t="str">
        <f t="shared" si="1235"/>
        <v>9 SETTEMBRE 2022</v>
      </c>
      <c r="G1898" s="59">
        <v>8</v>
      </c>
      <c r="H1898" s="1338" t="s">
        <v>69</v>
      </c>
      <c r="I1898" s="960"/>
      <c r="J1898" s="59"/>
      <c r="K1898" s="59"/>
    </row>
    <row r="1899" spans="1:11" ht="18.600000000000001" customHeight="1" x14ac:dyDescent="0.25">
      <c r="A1899" s="57" t="s">
        <v>121</v>
      </c>
      <c r="B1899" s="57" t="s">
        <v>68</v>
      </c>
      <c r="C1899" s="57">
        <v>2022</v>
      </c>
      <c r="D1899" s="58">
        <f>MATCH(B1899,{"GENNAIO","FEBBRAIO","MARZO","APRILE","MAGGIO","GIUGNO","LUGLIO","AGOSTO","SETTEMBRE","OTTOBRE","NOVEMBRE","DICEMBRE"},0)</f>
        <v>9</v>
      </c>
      <c r="E1899" s="57" t="str">
        <f t="shared" si="1234"/>
        <v>SETTEMBRE 2022</v>
      </c>
      <c r="F1899" s="57" t="str">
        <f t="shared" si="1235"/>
        <v>9 SETTEMBRE 2022</v>
      </c>
      <c r="G1899" s="59">
        <v>0.4</v>
      </c>
      <c r="H1899" s="1338" t="s">
        <v>777</v>
      </c>
      <c r="I1899" s="960"/>
      <c r="J1899" s="59"/>
      <c r="K1899" s="59"/>
    </row>
    <row r="1900" spans="1:11" x14ac:dyDescent="0.25">
      <c r="A1900" s="57" t="s">
        <v>278</v>
      </c>
      <c r="B1900" s="57" t="s">
        <v>68</v>
      </c>
      <c r="C1900" s="57">
        <v>2022</v>
      </c>
      <c r="D1900" s="58">
        <f>MATCH(B1900,{"GENNAIO","FEBBRAIO","MARZO","APRILE","MAGGIO","GIUGNO","LUGLIO","AGOSTO","SETTEMBRE","OTTOBRE","NOVEMBRE","DICEMBRE"},0)</f>
        <v>9</v>
      </c>
      <c r="E1900" s="57" t="str">
        <f t="shared" si="1234"/>
        <v>SETTEMBRE 2022</v>
      </c>
      <c r="F1900" s="57" t="str">
        <f t="shared" si="1235"/>
        <v>9 SETTEMBRE 2022</v>
      </c>
      <c r="G1900" s="59">
        <v>33</v>
      </c>
      <c r="H1900" s="1338" t="s">
        <v>114</v>
      </c>
      <c r="I1900" s="960"/>
      <c r="J1900" s="59"/>
      <c r="K1900" s="59"/>
    </row>
    <row r="1901" spans="1:11" ht="16.5" customHeight="1" x14ac:dyDescent="0.25">
      <c r="A1901" s="57" t="s">
        <v>109</v>
      </c>
      <c r="B1901" s="57" t="s">
        <v>68</v>
      </c>
      <c r="C1901" s="57">
        <v>2022</v>
      </c>
      <c r="D1901" s="58">
        <f>MATCH(B1901,{"GENNAIO","FEBBRAIO","MARZO","APRILE","MAGGIO","GIUGNO","LUGLIO","AGOSTO","SETTEMBRE","OTTOBRE","NOVEMBRE","DICEMBRE"},0)</f>
        <v>9</v>
      </c>
      <c r="E1901" s="57" t="str">
        <f t="shared" si="1234"/>
        <v>SETTEMBRE 2022</v>
      </c>
      <c r="F1901" s="57" t="str">
        <f t="shared" si="1235"/>
        <v>9 SETTEMBRE 2022</v>
      </c>
      <c r="G1901" s="59">
        <v>21.5</v>
      </c>
      <c r="H1901" s="1338" t="s">
        <v>69</v>
      </c>
      <c r="I1901" s="960"/>
      <c r="J1901" s="59"/>
      <c r="K1901" s="59"/>
    </row>
    <row r="1902" spans="1:11" x14ac:dyDescent="0.25">
      <c r="A1902" s="57" t="s">
        <v>164</v>
      </c>
      <c r="B1902" s="57" t="s">
        <v>68</v>
      </c>
      <c r="C1902" s="57">
        <v>2022</v>
      </c>
      <c r="D1902" s="58">
        <f>MATCH(B1902,{"GENNAIO","FEBBRAIO","MARZO","APRILE","MAGGIO","GIUGNO","LUGLIO","AGOSTO","SETTEMBRE","OTTOBRE","NOVEMBRE","DICEMBRE"},0)</f>
        <v>9</v>
      </c>
      <c r="E1902" s="57" t="str">
        <f t="shared" si="1234"/>
        <v>SETTEMBRE 2022</v>
      </c>
      <c r="F1902" s="57" t="str">
        <f t="shared" si="1235"/>
        <v>9 SETTEMBRE 2022</v>
      </c>
      <c r="G1902" s="59">
        <v>9.4</v>
      </c>
      <c r="H1902" s="1338" t="s">
        <v>77</v>
      </c>
      <c r="I1902" s="960"/>
      <c r="J1902" s="59"/>
      <c r="K1902" s="59"/>
    </row>
    <row r="1903" spans="1:11" x14ac:dyDescent="0.25">
      <c r="A1903" s="57" t="s">
        <v>154</v>
      </c>
      <c r="B1903" s="57" t="s">
        <v>80</v>
      </c>
      <c r="C1903" s="57">
        <v>2022</v>
      </c>
      <c r="D1903" s="58">
        <f>MATCH(B1903,{"GENNAIO","FEBBRAIO","MARZO","APRILE","MAGGIO","GIUGNO","LUGLIO","AGOSTO","SETTEMBRE","OTTOBRE","NOVEMBRE","DICEMBRE"},0)</f>
        <v>8</v>
      </c>
      <c r="E1903" s="57" t="str">
        <f t="shared" si="1234"/>
        <v>AGOSTO 2022</v>
      </c>
      <c r="F1903" s="57" t="str">
        <f t="shared" si="1235"/>
        <v>8 AGOSTO 2022</v>
      </c>
      <c r="G1903" s="59">
        <v>89.9</v>
      </c>
      <c r="H1903" s="1338" t="s">
        <v>155</v>
      </c>
      <c r="I1903" s="960"/>
      <c r="J1903" s="59"/>
      <c r="K1903" s="59"/>
    </row>
    <row r="1904" spans="1:11" ht="16.5" customHeight="1" x14ac:dyDescent="0.25">
      <c r="A1904" s="57" t="s">
        <v>86</v>
      </c>
      <c r="B1904" s="57" t="s">
        <v>80</v>
      </c>
      <c r="C1904" s="57">
        <v>2022</v>
      </c>
      <c r="D1904" s="58">
        <f>MATCH(B1904,{"GENNAIO","FEBBRAIO","MARZO","APRILE","MAGGIO","GIUGNO","LUGLIO","AGOSTO","SETTEMBRE","OTTOBRE","NOVEMBRE","DICEMBRE"},0)</f>
        <v>8</v>
      </c>
      <c r="E1904" s="57" t="str">
        <f t="shared" si="1234"/>
        <v>AGOSTO 2022</v>
      </c>
      <c r="F1904" s="57" t="str">
        <f t="shared" si="1235"/>
        <v>8 AGOSTO 2022</v>
      </c>
      <c r="G1904" s="59">
        <v>8</v>
      </c>
      <c r="H1904" s="1338" t="s">
        <v>69</v>
      </c>
      <c r="I1904" s="960"/>
      <c r="J1904" s="59"/>
      <c r="K1904" s="59"/>
    </row>
    <row r="1905" spans="1:11" ht="16.5" customHeight="1" x14ac:dyDescent="0.25">
      <c r="A1905" s="57" t="s">
        <v>1056</v>
      </c>
      <c r="B1905" s="57" t="s">
        <v>80</v>
      </c>
      <c r="C1905" s="57">
        <v>2022</v>
      </c>
      <c r="D1905" s="58">
        <f>MATCH(B1905,{"GENNAIO","FEBBRAIO","MARZO","APRILE","MAGGIO","GIUGNO","LUGLIO","AGOSTO","SETTEMBRE","OTTOBRE","NOVEMBRE","DICEMBRE"},0)</f>
        <v>8</v>
      </c>
      <c r="E1905" s="57" t="str">
        <f t="shared" si="1234"/>
        <v>AGOSTO 2022</v>
      </c>
      <c r="F1905" s="57" t="str">
        <f t="shared" si="1235"/>
        <v>8 AGOSTO 2022</v>
      </c>
      <c r="G1905" s="60">
        <v>4.8899999999999997</v>
      </c>
      <c r="H1905" s="1338" t="s">
        <v>741</v>
      </c>
      <c r="I1905" s="960"/>
      <c r="J1905" s="59"/>
      <c r="K1905" s="59"/>
    </row>
    <row r="1906" spans="1:11" ht="16.5" customHeight="1" x14ac:dyDescent="0.25">
      <c r="A1906" s="57" t="s">
        <v>79</v>
      </c>
      <c r="B1906" s="57" t="s">
        <v>80</v>
      </c>
      <c r="C1906" s="57">
        <v>2022</v>
      </c>
      <c r="D1906" s="58">
        <f>MATCH(B1906,{"GENNAIO","FEBBRAIO","MARZO","APRILE","MAGGIO","GIUGNO","LUGLIO","AGOSTO","SETTEMBRE","OTTOBRE","NOVEMBRE","DICEMBRE"},0)</f>
        <v>8</v>
      </c>
      <c r="E1906" s="57" t="str">
        <f t="shared" si="1234"/>
        <v>AGOSTO 2022</v>
      </c>
      <c r="F1906" s="57" t="str">
        <f t="shared" si="1235"/>
        <v>8 AGOSTO 2022</v>
      </c>
      <c r="G1906" s="59">
        <v>11.99</v>
      </c>
      <c r="H1906" s="1338" t="s">
        <v>81</v>
      </c>
      <c r="I1906" s="960"/>
      <c r="J1906" s="59"/>
      <c r="K1906" s="59"/>
    </row>
    <row r="1907" spans="1:11" ht="16.5" customHeight="1" x14ac:dyDescent="0.25">
      <c r="A1907" s="57" t="s">
        <v>283</v>
      </c>
      <c r="B1907" s="57" t="s">
        <v>80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34"/>
        <v>AGOSTO 2022</v>
      </c>
      <c r="F1907" s="57" t="str">
        <f t="shared" si="1235"/>
        <v>8 AGOSTO 2022</v>
      </c>
      <c r="G1907" s="59">
        <v>45</v>
      </c>
      <c r="H1907" s="1338" t="s">
        <v>70</v>
      </c>
      <c r="I1907" s="960"/>
      <c r="J1907" s="59"/>
      <c r="K1907" s="59"/>
    </row>
    <row r="1908" spans="1:11" ht="18.600000000000001" customHeight="1" x14ac:dyDescent="0.25">
      <c r="A1908" s="57" t="s">
        <v>284</v>
      </c>
      <c r="B1908" s="57" t="s">
        <v>80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34"/>
        <v>AGOSTO 2022</v>
      </c>
      <c r="F1908" s="57" t="str">
        <f t="shared" si="1235"/>
        <v>8 AGOSTO 2022</v>
      </c>
      <c r="G1908" s="59">
        <v>7.1</v>
      </c>
      <c r="H1908" s="1338" t="s">
        <v>69</v>
      </c>
      <c r="I1908" s="960"/>
      <c r="J1908" s="59"/>
      <c r="K1908" s="59"/>
    </row>
    <row r="1909" spans="1:11" ht="16.5" customHeight="1" x14ac:dyDescent="0.25">
      <c r="A1909" s="57" t="s">
        <v>109</v>
      </c>
      <c r="B1909" s="57" t="s">
        <v>80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34"/>
        <v>AGOSTO 2022</v>
      </c>
      <c r="F1909" s="57" t="str">
        <f t="shared" si="1235"/>
        <v>8 AGOSTO 2022</v>
      </c>
      <c r="G1909" s="59">
        <v>16.5</v>
      </c>
      <c r="H1909" s="1338" t="s">
        <v>69</v>
      </c>
      <c r="I1909" s="960"/>
      <c r="J1909" s="59"/>
      <c r="K1909" s="59"/>
    </row>
    <row r="1910" spans="1:11" ht="16.5" customHeight="1" x14ac:dyDescent="0.25">
      <c r="A1910" s="57" t="s">
        <v>124</v>
      </c>
      <c r="B1910" s="57" t="s">
        <v>80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34"/>
        <v>AGOSTO 2022</v>
      </c>
      <c r="F1910" s="57" t="str">
        <f t="shared" si="1235"/>
        <v>8 AGOSTO 2022</v>
      </c>
      <c r="G1910" s="59">
        <v>27</v>
      </c>
      <c r="H1910" s="1338" t="s">
        <v>69</v>
      </c>
      <c r="I1910" s="960"/>
      <c r="J1910" s="59"/>
      <c r="K1910" s="59"/>
    </row>
    <row r="1911" spans="1:11" ht="16.5" customHeight="1" x14ac:dyDescent="0.25">
      <c r="A1911" s="57" t="s">
        <v>76</v>
      </c>
      <c r="B1911" s="57" t="s">
        <v>80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34"/>
        <v>AGOSTO 2022</v>
      </c>
      <c r="F1911" s="57" t="str">
        <f t="shared" si="1235"/>
        <v>8 AGOSTO 2022</v>
      </c>
      <c r="G1911" s="59">
        <v>7.02</v>
      </c>
      <c r="H1911" s="1338" t="s">
        <v>77</v>
      </c>
      <c r="I1911" s="960"/>
      <c r="J1911" s="59"/>
      <c r="K1911" s="59"/>
    </row>
    <row r="1912" spans="1:11" ht="16.5" customHeight="1" x14ac:dyDescent="0.25">
      <c r="A1912" s="57" t="s">
        <v>237</v>
      </c>
      <c r="B1912" s="57" t="s">
        <v>80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34"/>
        <v>AGOSTO 2022</v>
      </c>
      <c r="F1912" s="57" t="str">
        <f t="shared" si="1235"/>
        <v>8 AGOSTO 2022</v>
      </c>
      <c r="G1912" s="59">
        <v>6</v>
      </c>
      <c r="H1912" s="1338" t="s">
        <v>69</v>
      </c>
      <c r="I1912" s="960"/>
      <c r="J1912" s="59"/>
      <c r="K1912" s="59"/>
    </row>
    <row r="1913" spans="1:11" ht="16.5" customHeight="1" x14ac:dyDescent="0.25">
      <c r="A1913" s="57" t="s">
        <v>109</v>
      </c>
      <c r="B1913" s="57" t="s">
        <v>80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34"/>
        <v>AGOSTO 2022</v>
      </c>
      <c r="F1913" s="57" t="str">
        <f t="shared" si="1235"/>
        <v>8 AGOSTO 2022</v>
      </c>
      <c r="G1913" s="59">
        <v>8</v>
      </c>
      <c r="H1913" s="1338" t="s">
        <v>69</v>
      </c>
      <c r="I1913" s="960"/>
      <c r="J1913" s="59"/>
      <c r="K1913" s="59"/>
    </row>
    <row r="1914" spans="1:11" ht="16.5" customHeight="1" x14ac:dyDescent="0.25">
      <c r="A1914" s="57" t="s">
        <v>109</v>
      </c>
      <c r="B1914" s="57" t="s">
        <v>80</v>
      </c>
      <c r="C1914" s="57">
        <v>2022</v>
      </c>
      <c r="D1914" s="58">
        <f>MATCH(B1914,{"GENNAIO","FEBBRAIO","MARZO","APRILE","MAGGIO","GIUGNO","LUGLIO","AGOSTO","SETTEMBRE","OTTOBRE","NOVEMBRE","DICEMBRE"},0)</f>
        <v>8</v>
      </c>
      <c r="E1914" s="57" t="str">
        <f t="shared" si="1234"/>
        <v>AGOSTO 2022</v>
      </c>
      <c r="F1914" s="57" t="str">
        <f t="shared" si="1235"/>
        <v>8 AGOSTO 2022</v>
      </c>
      <c r="G1914" s="59">
        <v>15</v>
      </c>
      <c r="H1914" s="1338" t="s">
        <v>69</v>
      </c>
      <c r="I1914" s="960"/>
      <c r="J1914" s="59"/>
      <c r="K1914" s="59"/>
    </row>
    <row r="1915" spans="1:11" ht="18.600000000000001" customHeight="1" x14ac:dyDescent="0.25">
      <c r="A1915" s="57" t="s">
        <v>285</v>
      </c>
      <c r="B1915" s="57" t="s">
        <v>80</v>
      </c>
      <c r="C1915" s="57">
        <v>2022</v>
      </c>
      <c r="D1915" s="58">
        <f>MATCH(B1915,{"GENNAIO","FEBBRAIO","MARZO","APRILE","MAGGIO","GIUGNO","LUGLIO","AGOSTO","SETTEMBRE","OTTOBRE","NOVEMBRE","DICEMBRE"},0)</f>
        <v>8</v>
      </c>
      <c r="E1915" s="57" t="str">
        <f t="shared" si="1234"/>
        <v>AGOSTO 2022</v>
      </c>
      <c r="F1915" s="57" t="str">
        <f t="shared" si="1235"/>
        <v>8 AGOSTO 2022</v>
      </c>
      <c r="G1915" s="59">
        <v>31.5</v>
      </c>
      <c r="H1915" s="1338" t="s">
        <v>69</v>
      </c>
      <c r="I1915" s="960"/>
      <c r="J1915" s="59"/>
      <c r="K1915" s="59"/>
    </row>
    <row r="1916" spans="1:11" ht="18.600000000000001" customHeight="1" x14ac:dyDescent="0.25">
      <c r="A1916" s="57" t="s">
        <v>67</v>
      </c>
      <c r="B1916" s="57" t="s">
        <v>80</v>
      </c>
      <c r="C1916" s="57">
        <v>2022</v>
      </c>
      <c r="D1916" s="58">
        <f>MATCH(B1916,{"GENNAIO","FEBBRAIO","MARZO","APRILE","MAGGIO","GIUGNO","LUGLIO","AGOSTO","SETTEMBRE","OTTOBRE","NOVEMBRE","DICEMBRE"},0)</f>
        <v>8</v>
      </c>
      <c r="E1916" s="57" t="str">
        <f t="shared" si="1234"/>
        <v>AGOSTO 2022</v>
      </c>
      <c r="F1916" s="57" t="str">
        <f t="shared" si="1235"/>
        <v>8 AGOSTO 2022</v>
      </c>
      <c r="G1916" s="59">
        <v>5</v>
      </c>
      <c r="H1916" s="1338" t="s">
        <v>776</v>
      </c>
      <c r="I1916" s="960"/>
      <c r="J1916" s="59"/>
      <c r="K1916" s="59"/>
    </row>
    <row r="1917" spans="1:11" x14ac:dyDescent="0.25">
      <c r="A1917" s="57" t="s">
        <v>67</v>
      </c>
      <c r="B1917" s="57" t="s">
        <v>80</v>
      </c>
      <c r="C1917" s="57">
        <v>2022</v>
      </c>
      <c r="D1917" s="58">
        <f>MATCH(B1917,{"GENNAIO","FEBBRAIO","MARZO","APRILE","MAGGIO","GIUGNO","LUGLIO","AGOSTO","SETTEMBRE","OTTOBRE","NOVEMBRE","DICEMBRE"},0)</f>
        <v>8</v>
      </c>
      <c r="E1917" s="57" t="str">
        <f t="shared" si="1234"/>
        <v>AGOSTO 2022</v>
      </c>
      <c r="F1917" s="57" t="str">
        <f t="shared" si="1235"/>
        <v>8 AGOSTO 2022</v>
      </c>
      <c r="G1917" s="59">
        <v>5</v>
      </c>
      <c r="H1917" s="1338" t="s">
        <v>776</v>
      </c>
      <c r="I1917" s="960"/>
      <c r="J1917" s="59"/>
      <c r="K1917" s="59"/>
    </row>
    <row r="1918" spans="1:11" ht="16.5" customHeight="1" x14ac:dyDescent="0.25">
      <c r="A1918" s="57" t="s">
        <v>76</v>
      </c>
      <c r="B1918" s="57" t="s">
        <v>80</v>
      </c>
      <c r="C1918" s="57">
        <v>2022</v>
      </c>
      <c r="D1918" s="58">
        <f>MATCH(B1918,{"GENNAIO","FEBBRAIO","MARZO","APRILE","MAGGIO","GIUGNO","LUGLIO","AGOSTO","SETTEMBRE","OTTOBRE","NOVEMBRE","DICEMBRE"},0)</f>
        <v>8</v>
      </c>
      <c r="E1918" s="57" t="str">
        <f t="shared" si="1234"/>
        <v>AGOSTO 2022</v>
      </c>
      <c r="F1918" s="57" t="str">
        <f t="shared" si="1235"/>
        <v>8 AGOSTO 2022</v>
      </c>
      <c r="G1918" s="59">
        <v>6.83</v>
      </c>
      <c r="H1918" s="1338" t="s">
        <v>77</v>
      </c>
      <c r="I1918" s="960"/>
      <c r="J1918" s="59"/>
      <c r="K1918" s="59"/>
    </row>
    <row r="1919" spans="1:11" ht="16.5" customHeight="1" x14ac:dyDescent="0.25">
      <c r="A1919" s="57" t="s">
        <v>164</v>
      </c>
      <c r="B1919" s="57" t="s">
        <v>80</v>
      </c>
      <c r="C1919" s="57">
        <v>2022</v>
      </c>
      <c r="D1919" s="58">
        <f>MATCH(B1919,{"GENNAIO","FEBBRAIO","MARZO","APRILE","MAGGIO","GIUGNO","LUGLIO","AGOSTO","SETTEMBRE","OTTOBRE","NOVEMBRE","DICEMBRE"},0)</f>
        <v>8</v>
      </c>
      <c r="E1919" s="57" t="str">
        <f t="shared" si="1234"/>
        <v>AGOSTO 2022</v>
      </c>
      <c r="F1919" s="57" t="str">
        <f t="shared" si="1235"/>
        <v>8 AGOSTO 2022</v>
      </c>
      <c r="G1919" s="59">
        <v>60.39</v>
      </c>
      <c r="H1919" s="1338" t="s">
        <v>77</v>
      </c>
      <c r="I1919" s="960"/>
      <c r="J1919" s="59"/>
      <c r="K1919" s="59"/>
    </row>
    <row r="1920" spans="1:11" ht="16.5" customHeight="1" x14ac:dyDescent="0.25">
      <c r="A1920" s="57" t="s">
        <v>79</v>
      </c>
      <c r="B1920" s="57" t="s">
        <v>80</v>
      </c>
      <c r="C1920" s="57">
        <v>2022</v>
      </c>
      <c r="D1920" s="58">
        <f>MATCH(B1920,{"GENNAIO","FEBBRAIO","MARZO","APRILE","MAGGIO","GIUGNO","LUGLIO","AGOSTO","SETTEMBRE","OTTOBRE","NOVEMBRE","DICEMBRE"},0)</f>
        <v>8</v>
      </c>
      <c r="E1920" s="57" t="str">
        <f t="shared" si="1234"/>
        <v>AGOSTO 2022</v>
      </c>
      <c r="F1920" s="57" t="str">
        <f t="shared" si="1235"/>
        <v>8 AGOSTO 2022</v>
      </c>
      <c r="G1920" s="59">
        <v>20.100000000000001</v>
      </c>
      <c r="H1920" s="1338" t="s">
        <v>81</v>
      </c>
      <c r="I1920" s="960"/>
      <c r="J1920" s="59"/>
      <c r="K1920" s="59"/>
    </row>
    <row r="1921" spans="1:11" ht="16.5" customHeight="1" x14ac:dyDescent="0.25">
      <c r="A1921" s="57" t="s">
        <v>251</v>
      </c>
      <c r="B1921" s="57" t="s">
        <v>80</v>
      </c>
      <c r="C1921" s="57">
        <v>2022</v>
      </c>
      <c r="D1921" s="58">
        <f>MATCH(B1921,{"GENNAIO","FEBBRAIO","MARZO","APRILE","MAGGIO","GIUGNO","LUGLIO","AGOSTO","SETTEMBRE","OTTOBRE","NOVEMBRE","DICEMBRE"},0)</f>
        <v>8</v>
      </c>
      <c r="E1921" s="57" t="str">
        <f t="shared" si="1234"/>
        <v>AGOSTO 2022</v>
      </c>
      <c r="F1921" s="57" t="str">
        <f t="shared" si="1235"/>
        <v>8 AGOSTO 2022</v>
      </c>
      <c r="G1921" s="59">
        <v>21.5</v>
      </c>
      <c r="H1921" s="1338" t="s">
        <v>69</v>
      </c>
      <c r="I1921" s="960"/>
      <c r="J1921" s="59"/>
      <c r="K1921" s="59"/>
    </row>
    <row r="1922" spans="1:11" ht="18.600000000000001" customHeight="1" x14ac:dyDescent="0.25">
      <c r="A1922" s="57" t="s">
        <v>286</v>
      </c>
      <c r="B1922" s="57" t="s">
        <v>80</v>
      </c>
      <c r="C1922" s="57">
        <v>2022</v>
      </c>
      <c r="D1922" s="58">
        <f>MATCH(B1922,{"GENNAIO","FEBBRAIO","MARZO","APRILE","MAGGIO","GIUGNO","LUGLIO","AGOSTO","SETTEMBRE","OTTOBRE","NOVEMBRE","DICEMBRE"},0)</f>
        <v>8</v>
      </c>
      <c r="E1922" s="57" t="str">
        <f t="shared" si="1234"/>
        <v>AGOSTO 2022</v>
      </c>
      <c r="F1922" s="57" t="str">
        <f t="shared" si="1235"/>
        <v>8 AGOSTO 2022</v>
      </c>
      <c r="G1922" s="59">
        <v>5</v>
      </c>
      <c r="H1922" s="1338" t="s">
        <v>69</v>
      </c>
      <c r="I1922" s="960"/>
      <c r="J1922" s="59"/>
      <c r="K1922" s="59"/>
    </row>
    <row r="1923" spans="1:11" ht="16.5" customHeight="1" x14ac:dyDescent="0.25">
      <c r="A1923" s="57" t="s">
        <v>232</v>
      </c>
      <c r="B1923" s="57" t="s">
        <v>80</v>
      </c>
      <c r="C1923" s="57">
        <v>2022</v>
      </c>
      <c r="D1923" s="58">
        <f>MATCH(B1923,{"GENNAIO","FEBBRAIO","MARZO","APRILE","MAGGIO","GIUGNO","LUGLIO","AGOSTO","SETTEMBRE","OTTOBRE","NOVEMBRE","DICEMBRE"},0)</f>
        <v>8</v>
      </c>
      <c r="E1923" s="57" t="str">
        <f t="shared" si="1234"/>
        <v>AGOSTO 2022</v>
      </c>
      <c r="F1923" s="57" t="str">
        <f t="shared" si="1235"/>
        <v>8 AGOSTO 2022</v>
      </c>
      <c r="G1923" s="59">
        <v>1.7</v>
      </c>
      <c r="H1923" s="1338" t="s">
        <v>91</v>
      </c>
      <c r="I1923" s="960"/>
      <c r="J1923" s="59"/>
      <c r="K1923" s="59"/>
    </row>
    <row r="1924" spans="1:11" ht="16.5" customHeight="1" x14ac:dyDescent="0.25">
      <c r="A1924" s="57" t="s">
        <v>124</v>
      </c>
      <c r="B1924" s="57" t="s">
        <v>80</v>
      </c>
      <c r="C1924" s="57">
        <v>2022</v>
      </c>
      <c r="D1924" s="58">
        <f>MATCH(B1924,{"GENNAIO","FEBBRAIO","MARZO","APRILE","MAGGIO","GIUGNO","LUGLIO","AGOSTO","SETTEMBRE","OTTOBRE","NOVEMBRE","DICEMBRE"},0)</f>
        <v>8</v>
      </c>
      <c r="E1924" s="57" t="str">
        <f t="shared" si="1234"/>
        <v>AGOSTO 2022</v>
      </c>
      <c r="F1924" s="57" t="str">
        <f t="shared" si="1235"/>
        <v>8 AGOSTO 2022</v>
      </c>
      <c r="G1924" s="59">
        <v>37</v>
      </c>
      <c r="H1924" s="1338" t="s">
        <v>69</v>
      </c>
      <c r="I1924" s="960"/>
      <c r="J1924" s="59"/>
      <c r="K1924" s="59"/>
    </row>
    <row r="1925" spans="1:11" ht="18.600000000000001" customHeight="1" x14ac:dyDescent="0.25">
      <c r="A1925" s="57" t="s">
        <v>76</v>
      </c>
      <c r="B1925" s="57" t="s">
        <v>119</v>
      </c>
      <c r="C1925" s="57">
        <v>2022</v>
      </c>
      <c r="D1925" s="58">
        <f>MATCH(B1925,{"GENNAIO","FEBBRAIO","MARZO","APRILE","MAGGIO","GIUGNO","LUGLIO","AGOSTO","SETTEMBRE","OTTOBRE","NOVEMBRE","DICEMBRE"},0)</f>
        <v>7</v>
      </c>
      <c r="E1925" s="57" t="str">
        <f t="shared" si="1234"/>
        <v>LUGLIO 2022</v>
      </c>
      <c r="F1925" s="57" t="str">
        <f t="shared" si="1235"/>
        <v>7 LUGLIO 2022</v>
      </c>
      <c r="G1925" s="59">
        <v>1.97</v>
      </c>
      <c r="H1925" s="1338" t="s">
        <v>77</v>
      </c>
      <c r="I1925" s="960"/>
      <c r="J1925" s="59"/>
      <c r="K1925" s="59"/>
    </row>
    <row r="1926" spans="1:11" ht="16.5" customHeight="1" x14ac:dyDescent="0.25">
      <c r="A1926" s="57" t="s">
        <v>67</v>
      </c>
      <c r="B1926" s="57" t="s">
        <v>119</v>
      </c>
      <c r="C1926" s="57">
        <v>2022</v>
      </c>
      <c r="D1926" s="58">
        <f>MATCH(B1926,{"GENNAIO","FEBBRAIO","MARZO","APRILE","MAGGIO","GIUGNO","LUGLIO","AGOSTO","SETTEMBRE","OTTOBRE","NOVEMBRE","DICEMBRE"},0)</f>
        <v>7</v>
      </c>
      <c r="E1926" s="57" t="str">
        <f t="shared" si="1234"/>
        <v>LUGLIO 2022</v>
      </c>
      <c r="F1926" s="57" t="str">
        <f t="shared" si="1235"/>
        <v>7 LUGLIO 2022</v>
      </c>
      <c r="G1926" s="59">
        <v>5</v>
      </c>
      <c r="H1926" s="1338" t="s">
        <v>776</v>
      </c>
      <c r="I1926" s="960"/>
      <c r="J1926" s="59"/>
      <c r="K1926" s="59"/>
    </row>
    <row r="1927" spans="1:11" ht="16.5" customHeight="1" x14ac:dyDescent="0.25">
      <c r="A1927" s="57" t="s">
        <v>67</v>
      </c>
      <c r="B1927" s="57" t="s">
        <v>119</v>
      </c>
      <c r="C1927" s="57">
        <v>2022</v>
      </c>
      <c r="D1927" s="58">
        <f>MATCH(B1927,{"GENNAIO","FEBBRAIO","MARZO","APRILE","MAGGIO","GIUGNO","LUGLIO","AGOSTO","SETTEMBRE","OTTOBRE","NOVEMBRE","DICEMBRE"},0)</f>
        <v>7</v>
      </c>
      <c r="E1927" s="57" t="str">
        <f t="shared" si="1234"/>
        <v>LUGLIO 2022</v>
      </c>
      <c r="F1927" s="57" t="str">
        <f t="shared" si="1235"/>
        <v>7 LUGLIO 2022</v>
      </c>
      <c r="G1927" s="59">
        <v>5</v>
      </c>
      <c r="H1927" s="1338" t="s">
        <v>776</v>
      </c>
      <c r="I1927" s="960"/>
      <c r="J1927" s="59"/>
      <c r="K1927" s="59"/>
    </row>
    <row r="1928" spans="1:11" ht="18.600000000000001" customHeight="1" x14ac:dyDescent="0.25">
      <c r="A1928" s="57" t="s">
        <v>76</v>
      </c>
      <c r="B1928" s="57" t="s">
        <v>119</v>
      </c>
      <c r="C1928" s="57">
        <v>2022</v>
      </c>
      <c r="D1928" s="58">
        <f>MATCH(B1928,{"GENNAIO","FEBBRAIO","MARZO","APRILE","MAGGIO","GIUGNO","LUGLIO","AGOSTO","SETTEMBRE","OTTOBRE","NOVEMBRE","DICEMBRE"},0)</f>
        <v>7</v>
      </c>
      <c r="E1928" s="57" t="str">
        <f t="shared" si="1234"/>
        <v>LUGLIO 2022</v>
      </c>
      <c r="F1928" s="57" t="str">
        <f t="shared" si="1235"/>
        <v>7 LUGLIO 2022</v>
      </c>
      <c r="G1928" s="59">
        <v>31.44</v>
      </c>
      <c r="H1928" s="1338" t="s">
        <v>77</v>
      </c>
      <c r="I1928" s="960"/>
      <c r="J1928" s="59"/>
      <c r="K1928" s="59"/>
    </row>
    <row r="1929" spans="1:11" ht="16.5" customHeight="1" x14ac:dyDescent="0.25">
      <c r="A1929" s="57" t="s">
        <v>124</v>
      </c>
      <c r="B1929" s="57" t="s">
        <v>119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34"/>
        <v>LUGLIO 2022</v>
      </c>
      <c r="F1929" s="57" t="str">
        <f t="shared" si="1235"/>
        <v>7 LUGLIO 2022</v>
      </c>
      <c r="G1929" s="59">
        <v>25</v>
      </c>
      <c r="H1929" s="1338" t="s">
        <v>69</v>
      </c>
      <c r="I1929" s="960"/>
      <c r="J1929" s="59"/>
      <c r="K1929" s="59"/>
    </row>
    <row r="1930" spans="1:11" ht="16.5" customHeight="1" x14ac:dyDescent="0.25">
      <c r="A1930" s="57" t="s">
        <v>109</v>
      </c>
      <c r="B1930" s="57" t="s">
        <v>119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34"/>
        <v>LUGLIO 2022</v>
      </c>
      <c r="F1930" s="57" t="str">
        <f t="shared" si="1235"/>
        <v>7 LUGLIO 2022</v>
      </c>
      <c r="G1930" s="59">
        <v>30</v>
      </c>
      <c r="H1930" s="1338" t="s">
        <v>69</v>
      </c>
      <c r="I1930" s="960"/>
      <c r="J1930" s="59"/>
      <c r="K1930" s="59"/>
    </row>
    <row r="1931" spans="1:11" ht="16.5" customHeight="1" x14ac:dyDescent="0.25">
      <c r="A1931" s="57" t="s">
        <v>164</v>
      </c>
      <c r="B1931" s="57" t="s">
        <v>119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34"/>
        <v>LUGLIO 2022</v>
      </c>
      <c r="F1931" s="57" t="str">
        <f t="shared" si="1235"/>
        <v>7 LUGLIO 2022</v>
      </c>
      <c r="G1931" s="59">
        <v>10.34</v>
      </c>
      <c r="H1931" s="1338" t="s">
        <v>77</v>
      </c>
      <c r="I1931" s="960"/>
      <c r="J1931" s="59"/>
      <c r="K1931" s="59"/>
    </row>
    <row r="1932" spans="1:11" x14ac:dyDescent="0.25">
      <c r="A1932" s="57" t="s">
        <v>108</v>
      </c>
      <c r="B1932" s="57" t="s">
        <v>119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34"/>
        <v>LUGLIO 2022</v>
      </c>
      <c r="F1932" s="57" t="str">
        <f t="shared" si="1235"/>
        <v>7 LUGLIO 2022</v>
      </c>
      <c r="G1932" s="59">
        <v>37.97</v>
      </c>
      <c r="H1932" s="1338" t="s">
        <v>75</v>
      </c>
      <c r="I1932" s="960"/>
      <c r="J1932" s="57" t="s">
        <v>108</v>
      </c>
      <c r="K1932" s="59"/>
    </row>
    <row r="1933" spans="1:11" ht="16.5" customHeight="1" x14ac:dyDescent="0.25">
      <c r="A1933" s="57" t="s">
        <v>67</v>
      </c>
      <c r="B1933" s="57" t="s">
        <v>119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34"/>
        <v>LUGLIO 2022</v>
      </c>
      <c r="F1933" s="57" t="str">
        <f t="shared" si="1235"/>
        <v>7 LUGLIO 2022</v>
      </c>
      <c r="G1933" s="59">
        <v>5</v>
      </c>
      <c r="H1933" s="1338" t="s">
        <v>776</v>
      </c>
      <c r="I1933" s="960"/>
      <c r="J1933" s="59"/>
      <c r="K1933" s="59"/>
    </row>
    <row r="1934" spans="1:11" ht="16.5" customHeight="1" x14ac:dyDescent="0.25">
      <c r="A1934" s="57" t="s">
        <v>108</v>
      </c>
      <c r="B1934" s="57" t="s">
        <v>119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34"/>
        <v>LUGLIO 2022</v>
      </c>
      <c r="F1934" s="57" t="str">
        <f t="shared" si="1235"/>
        <v>7 LUGLIO 2022</v>
      </c>
      <c r="G1934" s="59">
        <v>2.77</v>
      </c>
      <c r="H1934" s="1338" t="s">
        <v>75</v>
      </c>
      <c r="I1934" s="960"/>
      <c r="J1934" s="57" t="s">
        <v>108</v>
      </c>
      <c r="K1934" s="59"/>
    </row>
    <row r="1935" spans="1:11" ht="16.5" customHeight="1" x14ac:dyDescent="0.25">
      <c r="A1935" s="57" t="s">
        <v>79</v>
      </c>
      <c r="B1935" s="57" t="s">
        <v>119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si="1234"/>
        <v>LUGLIO 2022</v>
      </c>
      <c r="F1935" s="57" t="str">
        <f t="shared" si="1235"/>
        <v>7 LUGLIO 2022</v>
      </c>
      <c r="G1935" s="59">
        <v>25.29</v>
      </c>
      <c r="H1935" s="1338" t="s">
        <v>81</v>
      </c>
      <c r="I1935" s="960"/>
      <c r="J1935" s="59"/>
      <c r="K1935" s="59"/>
    </row>
    <row r="1936" spans="1:11" ht="16.5" customHeight="1" x14ac:dyDescent="0.25">
      <c r="A1936" s="57" t="s">
        <v>237</v>
      </c>
      <c r="B1936" s="57" t="s">
        <v>119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34"/>
        <v>LUGLIO 2022</v>
      </c>
      <c r="F1936" s="57" t="str">
        <f t="shared" si="1235"/>
        <v>7 LUGLIO 2022</v>
      </c>
      <c r="G1936" s="59">
        <v>10</v>
      </c>
      <c r="H1936" s="1338" t="s">
        <v>69</v>
      </c>
      <c r="I1936" s="960"/>
      <c r="J1936" s="59"/>
      <c r="K1936" s="59"/>
    </row>
    <row r="1937" spans="1:11" ht="16.5" customHeight="1" x14ac:dyDescent="0.25">
      <c r="A1937" s="57" t="s">
        <v>109</v>
      </c>
      <c r="B1937" s="57" t="s">
        <v>119</v>
      </c>
      <c r="C1937" s="57">
        <v>2022</v>
      </c>
      <c r="D1937" s="58">
        <f>MATCH(B1937,{"GENNAIO","FEBBRAIO","MARZO","APRILE","MAGGIO","GIUGNO","LUGLIO","AGOSTO","SETTEMBRE","OTTOBRE","NOVEMBRE","DICEMBRE"},0)</f>
        <v>7</v>
      </c>
      <c r="E1937" s="57" t="str">
        <f t="shared" si="1234"/>
        <v>LUGLIO 2022</v>
      </c>
      <c r="F1937" s="57" t="str">
        <f t="shared" si="1235"/>
        <v>7 LUGLIO 2022</v>
      </c>
      <c r="G1937" s="59">
        <v>11</v>
      </c>
      <c r="H1937" s="1338" t="s">
        <v>69</v>
      </c>
      <c r="I1937" s="960"/>
      <c r="J1937" s="59"/>
      <c r="K1937" s="59"/>
    </row>
    <row r="1938" spans="1:11" ht="18.600000000000001" customHeight="1" x14ac:dyDescent="0.25">
      <c r="A1938" s="57" t="s">
        <v>109</v>
      </c>
      <c r="B1938" s="57" t="s">
        <v>119</v>
      </c>
      <c r="C1938" s="57">
        <v>2022</v>
      </c>
      <c r="D1938" s="58">
        <f>MATCH(B1938,{"GENNAIO","FEBBRAIO","MARZO","APRILE","MAGGIO","GIUGNO","LUGLIO","AGOSTO","SETTEMBRE","OTTOBRE","NOVEMBRE","DICEMBRE"},0)</f>
        <v>7</v>
      </c>
      <c r="E1938" s="57" t="str">
        <f t="shared" si="1234"/>
        <v>LUGLIO 2022</v>
      </c>
      <c r="F1938" s="57" t="str">
        <f t="shared" si="1235"/>
        <v>7 LUGLIO 2022</v>
      </c>
      <c r="G1938" s="59">
        <v>19.5</v>
      </c>
      <c r="H1938" s="1338" t="s">
        <v>69</v>
      </c>
      <c r="I1938" s="960"/>
      <c r="J1938" s="59"/>
      <c r="K1938" s="59"/>
    </row>
    <row r="1939" spans="1:11" ht="16.5" customHeight="1" x14ac:dyDescent="0.25">
      <c r="A1939" s="57" t="s">
        <v>287</v>
      </c>
      <c r="B1939" s="57" t="s">
        <v>119</v>
      </c>
      <c r="C1939" s="57">
        <v>2022</v>
      </c>
      <c r="D1939" s="58">
        <f>MATCH(B1939,{"GENNAIO","FEBBRAIO","MARZO","APRILE","MAGGIO","GIUGNO","LUGLIO","AGOSTO","SETTEMBRE","OTTOBRE","NOVEMBRE","DICEMBRE"},0)</f>
        <v>7</v>
      </c>
      <c r="E1939" s="57" t="str">
        <f t="shared" si="1234"/>
        <v>LUGLIO 2022</v>
      </c>
      <c r="F1939" s="57" t="str">
        <f t="shared" si="1235"/>
        <v>7 LUGLIO 2022</v>
      </c>
      <c r="G1939" s="59">
        <v>12</v>
      </c>
      <c r="H1939" s="1338" t="s">
        <v>772</v>
      </c>
      <c r="I1939" s="960"/>
      <c r="J1939" s="59"/>
      <c r="K1939" s="59"/>
    </row>
    <row r="1940" spans="1:11" x14ac:dyDescent="0.25">
      <c r="A1940" s="57" t="s">
        <v>108</v>
      </c>
      <c r="B1940" s="57" t="s">
        <v>119</v>
      </c>
      <c r="C1940" s="57">
        <v>2022</v>
      </c>
      <c r="D1940" s="58">
        <f>MATCH(B1940,{"GENNAIO","FEBBRAIO","MARZO","APRILE","MAGGIO","GIUGNO","LUGLIO","AGOSTO","SETTEMBRE","OTTOBRE","NOVEMBRE","DICEMBRE"},0)</f>
        <v>7</v>
      </c>
      <c r="E1940" s="57" t="str">
        <f t="shared" si="1234"/>
        <v>LUGLIO 2022</v>
      </c>
      <c r="F1940" s="57" t="str">
        <f t="shared" si="1235"/>
        <v>7 LUGLIO 2022</v>
      </c>
      <c r="G1940" s="59">
        <v>1.99</v>
      </c>
      <c r="H1940" s="1338" t="s">
        <v>75</v>
      </c>
      <c r="I1940" s="960"/>
      <c r="J1940" s="57" t="s">
        <v>108</v>
      </c>
      <c r="K1940" s="59"/>
    </row>
    <row r="1941" spans="1:11" ht="14.25" customHeight="1" x14ac:dyDescent="0.25">
      <c r="A1941" s="57" t="s">
        <v>76</v>
      </c>
      <c r="B1941" s="57" t="s">
        <v>119</v>
      </c>
      <c r="C1941" s="57">
        <v>2022</v>
      </c>
      <c r="D1941" s="58">
        <f>MATCH(B1941,{"GENNAIO","FEBBRAIO","MARZO","APRILE","MAGGIO","GIUGNO","LUGLIO","AGOSTO","SETTEMBRE","OTTOBRE","NOVEMBRE","DICEMBRE"},0)</f>
        <v>7</v>
      </c>
      <c r="E1941" s="57" t="str">
        <f t="shared" si="1234"/>
        <v>LUGLIO 2022</v>
      </c>
      <c r="F1941" s="57" t="str">
        <f t="shared" si="1235"/>
        <v>7 LUGLIO 2022</v>
      </c>
      <c r="G1941" s="59">
        <v>12.09</v>
      </c>
      <c r="H1941" s="1338" t="s">
        <v>77</v>
      </c>
      <c r="I1941" s="960"/>
      <c r="J1941" s="59"/>
      <c r="K1941" s="59"/>
    </row>
    <row r="1942" spans="1:11" ht="18.600000000000001" customHeight="1" x14ac:dyDescent="0.25">
      <c r="A1942" s="57" t="s">
        <v>263</v>
      </c>
      <c r="B1942" s="57" t="s">
        <v>119</v>
      </c>
      <c r="C1942" s="57">
        <v>2022</v>
      </c>
      <c r="D1942" s="58">
        <f>MATCH(B1942,{"GENNAIO","FEBBRAIO","MARZO","APRILE","MAGGIO","GIUGNO","LUGLIO","AGOSTO","SETTEMBRE","OTTOBRE","NOVEMBRE","DICEMBRE"},0)</f>
        <v>7</v>
      </c>
      <c r="E1942" s="57" t="str">
        <f t="shared" si="1234"/>
        <v>LUGLIO 2022</v>
      </c>
      <c r="F1942" s="57" t="str">
        <f t="shared" si="1235"/>
        <v>7 LUGLIO 2022</v>
      </c>
      <c r="G1942" s="59">
        <v>23.88</v>
      </c>
      <c r="H1942" s="1338" t="s">
        <v>69</v>
      </c>
      <c r="I1942" s="960"/>
      <c r="J1942" s="59"/>
      <c r="K1942" s="59"/>
    </row>
    <row r="1943" spans="1:11" ht="16.5" customHeight="1" x14ac:dyDescent="0.25">
      <c r="A1943" s="57" t="s">
        <v>79</v>
      </c>
      <c r="B1943" s="57" t="s">
        <v>119</v>
      </c>
      <c r="C1943" s="57">
        <v>2022</v>
      </c>
      <c r="D1943" s="58">
        <f>MATCH(B1943,{"GENNAIO","FEBBRAIO","MARZO","APRILE","MAGGIO","GIUGNO","LUGLIO","AGOSTO","SETTEMBRE","OTTOBRE","NOVEMBRE","DICEMBRE"},0)</f>
        <v>7</v>
      </c>
      <c r="E1943" s="57" t="str">
        <f t="shared" si="1234"/>
        <v>LUGLIO 2022</v>
      </c>
      <c r="F1943" s="57" t="str">
        <f t="shared" si="1235"/>
        <v>7 LUGLIO 2022</v>
      </c>
      <c r="G1943" s="59">
        <v>16.63</v>
      </c>
      <c r="H1943" s="1338" t="s">
        <v>81</v>
      </c>
      <c r="I1943" s="960"/>
      <c r="J1943" s="59"/>
      <c r="K1943" s="59"/>
    </row>
    <row r="1944" spans="1:11" ht="16.5" customHeight="1" x14ac:dyDescent="0.25">
      <c r="A1944" s="57" t="s">
        <v>73</v>
      </c>
      <c r="B1944" s="57" t="s">
        <v>119</v>
      </c>
      <c r="C1944" s="57">
        <v>2022</v>
      </c>
      <c r="D1944" s="58">
        <f>MATCH(B1944,{"GENNAIO","FEBBRAIO","MARZO","APRILE","MAGGIO","GIUGNO","LUGLIO","AGOSTO","SETTEMBRE","OTTOBRE","NOVEMBRE","DICEMBRE"},0)</f>
        <v>7</v>
      </c>
      <c r="E1944" s="57" t="str">
        <f t="shared" si="1234"/>
        <v>LUGLIO 2022</v>
      </c>
      <c r="F1944" s="57" t="str">
        <f t="shared" si="1235"/>
        <v>7 LUGLIO 2022</v>
      </c>
      <c r="G1944" s="59">
        <v>25</v>
      </c>
      <c r="H1944" s="1338" t="s">
        <v>74</v>
      </c>
      <c r="I1944" s="960"/>
      <c r="J1944" s="59"/>
      <c r="K1944" s="59"/>
    </row>
    <row r="1945" spans="1:11" ht="16.5" customHeight="1" x14ac:dyDescent="0.25">
      <c r="A1945" s="57" t="s">
        <v>83</v>
      </c>
      <c r="B1945" s="57" t="s">
        <v>119</v>
      </c>
      <c r="C1945" s="57">
        <v>2022</v>
      </c>
      <c r="D1945" s="58">
        <f>MATCH(B1945,{"GENNAIO","FEBBRAIO","MARZO","APRILE","MAGGIO","GIUGNO","LUGLIO","AGOSTO","SETTEMBRE","OTTOBRE","NOVEMBRE","DICEMBRE"},0)</f>
        <v>7</v>
      </c>
      <c r="E1945" s="57" t="str">
        <f t="shared" si="1234"/>
        <v>LUGLIO 2022</v>
      </c>
      <c r="F1945" s="57" t="str">
        <f t="shared" si="1235"/>
        <v>7 LUGLIO 2022</v>
      </c>
      <c r="G1945" s="59">
        <v>22.43</v>
      </c>
      <c r="H1945" s="1338" t="s">
        <v>77</v>
      </c>
      <c r="I1945" s="960"/>
      <c r="J1945" s="59"/>
      <c r="K1945" s="59"/>
    </row>
    <row r="1946" spans="1:11" ht="18.600000000000001" customHeight="1" x14ac:dyDescent="0.25">
      <c r="A1946" s="57" t="s">
        <v>286</v>
      </c>
      <c r="B1946" s="57" t="s">
        <v>119</v>
      </c>
      <c r="C1946" s="57">
        <v>2022</v>
      </c>
      <c r="D1946" s="58">
        <f>MATCH(B1946,{"GENNAIO","FEBBRAIO","MARZO","APRILE","MAGGIO","GIUGNO","LUGLIO","AGOSTO","SETTEMBRE","OTTOBRE","NOVEMBRE","DICEMBRE"},0)</f>
        <v>7</v>
      </c>
      <c r="E1946" s="57" t="str">
        <f t="shared" ref="E1946:E2009" si="1236">CONCATENATE(,B1946," ",C1946)</f>
        <v>LUGLIO 2022</v>
      </c>
      <c r="F1946" s="57" t="str">
        <f t="shared" ref="F1946:F2009" si="1237">CONCATENATE(D1946," ",E1946)</f>
        <v>7 LUGLIO 2022</v>
      </c>
      <c r="G1946" s="59">
        <v>5</v>
      </c>
      <c r="H1946" s="1338" t="s">
        <v>69</v>
      </c>
      <c r="I1946" s="960"/>
      <c r="J1946" s="59"/>
      <c r="K1946" s="59"/>
    </row>
    <row r="1947" spans="1:11" x14ac:dyDescent="0.25">
      <c r="A1947" s="57" t="s">
        <v>124</v>
      </c>
      <c r="B1947" s="57" t="s">
        <v>119</v>
      </c>
      <c r="C1947" s="57">
        <v>2022</v>
      </c>
      <c r="D1947" s="58">
        <f>MATCH(B1947,{"GENNAIO","FEBBRAIO","MARZO","APRILE","MAGGIO","GIUGNO","LUGLIO","AGOSTO","SETTEMBRE","OTTOBRE","NOVEMBRE","DICEMBRE"},0)</f>
        <v>7</v>
      </c>
      <c r="E1947" s="57" t="str">
        <f t="shared" si="1236"/>
        <v>LUGLIO 2022</v>
      </c>
      <c r="F1947" s="57" t="str">
        <f t="shared" si="1237"/>
        <v>7 LUGLIO 2022</v>
      </c>
      <c r="G1947" s="59">
        <v>27</v>
      </c>
      <c r="H1947" s="1338" t="s">
        <v>69</v>
      </c>
      <c r="I1947" s="960"/>
      <c r="J1947" s="59"/>
      <c r="K1947" s="59"/>
    </row>
    <row r="1948" spans="1:11" ht="16.5" customHeight="1" x14ac:dyDescent="0.25">
      <c r="A1948" s="57" t="s">
        <v>108</v>
      </c>
      <c r="B1948" s="57" t="s">
        <v>131</v>
      </c>
      <c r="C1948" s="57">
        <v>2022</v>
      </c>
      <c r="D1948" s="58">
        <f>MATCH(B1948,{"GENNAIO","FEBBRAIO","MARZO","APRILE","MAGGIO","GIUGNO","LUGLIO","AGOSTO","SETTEMBRE","OTTOBRE","NOVEMBRE","DICEMBRE"},0)</f>
        <v>6</v>
      </c>
      <c r="E1948" s="57" t="str">
        <f t="shared" si="1236"/>
        <v>GIUGNO 2022</v>
      </c>
      <c r="F1948" s="57" t="str">
        <f t="shared" si="1237"/>
        <v>6 GIUGNO 2022</v>
      </c>
      <c r="G1948" s="59">
        <v>16</v>
      </c>
      <c r="H1948" s="1338" t="s">
        <v>75</v>
      </c>
      <c r="I1948" s="960"/>
      <c r="J1948" s="57" t="s">
        <v>108</v>
      </c>
      <c r="K1948" s="59"/>
    </row>
    <row r="1949" spans="1:11" ht="16.5" customHeight="1" x14ac:dyDescent="0.25">
      <c r="A1949" s="57" t="s">
        <v>120</v>
      </c>
      <c r="B1949" s="57" t="s">
        <v>131</v>
      </c>
      <c r="C1949" s="57">
        <v>2022</v>
      </c>
      <c r="D1949" s="58">
        <f>MATCH(B1949,{"GENNAIO","FEBBRAIO","MARZO","APRILE","MAGGIO","GIUGNO","LUGLIO","AGOSTO","SETTEMBRE","OTTOBRE","NOVEMBRE","DICEMBRE"},0)</f>
        <v>6</v>
      </c>
      <c r="E1949" s="57" t="str">
        <f t="shared" si="1236"/>
        <v>GIUGNO 2022</v>
      </c>
      <c r="F1949" s="57" t="str">
        <f t="shared" si="1237"/>
        <v>6 GIUGNO 2022</v>
      </c>
      <c r="G1949" s="59">
        <v>13.96</v>
      </c>
      <c r="H1949" s="1338" t="s">
        <v>77</v>
      </c>
      <c r="I1949" s="960"/>
      <c r="J1949" s="59"/>
      <c r="K1949" s="59"/>
    </row>
    <row r="1950" spans="1:11" x14ac:dyDescent="0.25">
      <c r="A1950" s="57" t="s">
        <v>79</v>
      </c>
      <c r="B1950" s="57" t="s">
        <v>131</v>
      </c>
      <c r="C1950" s="57">
        <v>2022</v>
      </c>
      <c r="D1950" s="58">
        <f>MATCH(B1950,{"GENNAIO","FEBBRAIO","MARZO","APRILE","MAGGIO","GIUGNO","LUGLIO","AGOSTO","SETTEMBRE","OTTOBRE","NOVEMBRE","DICEMBRE"},0)</f>
        <v>6</v>
      </c>
      <c r="E1950" s="57" t="str">
        <f t="shared" si="1236"/>
        <v>GIUGNO 2022</v>
      </c>
      <c r="F1950" s="57" t="str">
        <f t="shared" si="1237"/>
        <v>6 GIUGNO 2022</v>
      </c>
      <c r="G1950" s="59">
        <v>15.81</v>
      </c>
      <c r="H1950" s="1338" t="s">
        <v>81</v>
      </c>
      <c r="I1950" s="960"/>
      <c r="J1950" s="59"/>
      <c r="K1950" s="59"/>
    </row>
    <row r="1951" spans="1:11" ht="16.5" customHeight="1" x14ac:dyDescent="0.25">
      <c r="A1951" s="57" t="s">
        <v>288</v>
      </c>
      <c r="B1951" s="57" t="s">
        <v>131</v>
      </c>
      <c r="C1951" s="57">
        <v>2022</v>
      </c>
      <c r="D1951" s="58">
        <f>MATCH(B1951,{"GENNAIO","FEBBRAIO","MARZO","APRILE","MAGGIO","GIUGNO","LUGLIO","AGOSTO","SETTEMBRE","OTTOBRE","NOVEMBRE","DICEMBRE"},0)</f>
        <v>6</v>
      </c>
      <c r="E1951" s="57" t="str">
        <f t="shared" si="1236"/>
        <v>GIUGNO 2022</v>
      </c>
      <c r="F1951" s="57" t="str">
        <f t="shared" si="1237"/>
        <v>6 GIUGNO 2022</v>
      </c>
      <c r="G1951" s="59">
        <v>20</v>
      </c>
      <c r="H1951" s="1338" t="s">
        <v>69</v>
      </c>
      <c r="I1951" s="960"/>
      <c r="J1951" s="59"/>
      <c r="K1951" s="59"/>
    </row>
    <row r="1952" spans="1:11" ht="16.5" customHeight="1" x14ac:dyDescent="0.25">
      <c r="A1952" s="57" t="s">
        <v>288</v>
      </c>
      <c r="B1952" s="57" t="s">
        <v>131</v>
      </c>
      <c r="C1952" s="57">
        <v>2022</v>
      </c>
      <c r="D1952" s="58">
        <f>MATCH(B1952,{"GENNAIO","FEBBRAIO","MARZO","APRILE","MAGGIO","GIUGNO","LUGLIO","AGOSTO","SETTEMBRE","OTTOBRE","NOVEMBRE","DICEMBRE"},0)</f>
        <v>6</v>
      </c>
      <c r="E1952" s="57" t="str">
        <f t="shared" si="1236"/>
        <v>GIUGNO 2022</v>
      </c>
      <c r="F1952" s="57" t="str">
        <f t="shared" si="1237"/>
        <v>6 GIUGNO 2022</v>
      </c>
      <c r="G1952" s="59">
        <v>30</v>
      </c>
      <c r="H1952" s="1338" t="s">
        <v>69</v>
      </c>
      <c r="I1952" s="960"/>
      <c r="J1952" s="59"/>
      <c r="K1952" s="59"/>
    </row>
    <row r="1953" spans="1:11" x14ac:dyDescent="0.25">
      <c r="A1953" s="57" t="s">
        <v>289</v>
      </c>
      <c r="B1953" s="57" t="s">
        <v>131</v>
      </c>
      <c r="C1953" s="57">
        <v>2022</v>
      </c>
      <c r="D1953" s="58">
        <f>MATCH(B1953,{"GENNAIO","FEBBRAIO","MARZO","APRILE","MAGGIO","GIUGNO","LUGLIO","AGOSTO","SETTEMBRE","OTTOBRE","NOVEMBRE","DICEMBRE"},0)</f>
        <v>6</v>
      </c>
      <c r="E1953" s="57" t="str">
        <f t="shared" si="1236"/>
        <v>GIUGNO 2022</v>
      </c>
      <c r="F1953" s="57" t="str">
        <f t="shared" si="1237"/>
        <v>6 GIUGNO 2022</v>
      </c>
      <c r="G1953" s="59">
        <v>3</v>
      </c>
      <c r="H1953" s="1338" t="s">
        <v>69</v>
      </c>
      <c r="I1953" s="960"/>
      <c r="J1953" s="59"/>
      <c r="K1953" s="59"/>
    </row>
    <row r="1954" spans="1:11" ht="16.5" customHeight="1" x14ac:dyDescent="0.25">
      <c r="A1954" s="57" t="s">
        <v>278</v>
      </c>
      <c r="B1954" s="57" t="s">
        <v>131</v>
      </c>
      <c r="C1954" s="57">
        <v>2022</v>
      </c>
      <c r="D1954" s="58">
        <f>MATCH(B1954,{"GENNAIO","FEBBRAIO","MARZO","APRILE","MAGGIO","GIUGNO","LUGLIO","AGOSTO","SETTEMBRE","OTTOBRE","NOVEMBRE","DICEMBRE"},0)</f>
        <v>6</v>
      </c>
      <c r="E1954" s="57" t="str">
        <f t="shared" si="1236"/>
        <v>GIUGNO 2022</v>
      </c>
      <c r="F1954" s="57" t="str">
        <f t="shared" si="1237"/>
        <v>6 GIUGNO 2022</v>
      </c>
      <c r="G1954" s="59">
        <v>33</v>
      </c>
      <c r="H1954" s="1338" t="s">
        <v>114</v>
      </c>
      <c r="I1954" s="960"/>
      <c r="J1954" s="59"/>
      <c r="K1954" s="59"/>
    </row>
    <row r="1955" spans="1:11" x14ac:dyDescent="0.25">
      <c r="A1955" s="57" t="s">
        <v>108</v>
      </c>
      <c r="B1955" s="57" t="s">
        <v>131</v>
      </c>
      <c r="C1955" s="57">
        <v>2022</v>
      </c>
      <c r="D1955" s="58">
        <f>MATCH(B1955,{"GENNAIO","FEBBRAIO","MARZO","APRILE","MAGGIO","GIUGNO","LUGLIO","AGOSTO","SETTEMBRE","OTTOBRE","NOVEMBRE","DICEMBRE"},0)</f>
        <v>6</v>
      </c>
      <c r="E1955" s="57" t="str">
        <f t="shared" si="1236"/>
        <v>GIUGNO 2022</v>
      </c>
      <c r="F1955" s="57" t="str">
        <f t="shared" si="1237"/>
        <v>6 GIUGNO 2022</v>
      </c>
      <c r="G1955" s="59">
        <v>48.98</v>
      </c>
      <c r="H1955" s="1338" t="s">
        <v>137</v>
      </c>
      <c r="I1955" s="960"/>
      <c r="J1955" s="57" t="s">
        <v>108</v>
      </c>
      <c r="K1955" s="59"/>
    </row>
    <row r="1956" spans="1:11" ht="16.5" customHeight="1" x14ac:dyDescent="0.25">
      <c r="A1956" s="57" t="s">
        <v>998</v>
      </c>
      <c r="B1956" s="57" t="s">
        <v>131</v>
      </c>
      <c r="C1956" s="57">
        <v>2022</v>
      </c>
      <c r="D1956" s="58">
        <f>MATCH(B1956,{"GENNAIO","FEBBRAIO","MARZO","APRILE","MAGGIO","GIUGNO","LUGLIO","AGOSTO","SETTEMBRE","OTTOBRE","NOVEMBRE","DICEMBRE"},0)</f>
        <v>6</v>
      </c>
      <c r="E1956" s="57" t="str">
        <f t="shared" si="1236"/>
        <v>GIUGNO 2022</v>
      </c>
      <c r="F1956" s="57" t="str">
        <f t="shared" si="1237"/>
        <v>6 GIUGNO 2022</v>
      </c>
      <c r="G1956" s="59">
        <v>20.86</v>
      </c>
      <c r="H1956" s="1338" t="s">
        <v>70</v>
      </c>
      <c r="I1956" s="960" t="s">
        <v>989</v>
      </c>
      <c r="J1956" s="59" t="s">
        <v>768</v>
      </c>
      <c r="K1956" s="59"/>
    </row>
    <row r="1957" spans="1:11" ht="16.5" customHeight="1" x14ac:dyDescent="0.25">
      <c r="A1957" s="57" t="s">
        <v>108</v>
      </c>
      <c r="B1957" s="57" t="s">
        <v>131</v>
      </c>
      <c r="C1957" s="57">
        <v>2022</v>
      </c>
      <c r="D1957" s="58">
        <f>MATCH(B1957,{"GENNAIO","FEBBRAIO","MARZO","APRILE","MAGGIO","GIUGNO","LUGLIO","AGOSTO","SETTEMBRE","OTTOBRE","NOVEMBRE","DICEMBRE"},0)</f>
        <v>6</v>
      </c>
      <c r="E1957" s="57" t="str">
        <f t="shared" si="1236"/>
        <v>GIUGNO 2022</v>
      </c>
      <c r="F1957" s="57" t="str">
        <f t="shared" si="1237"/>
        <v>6 GIUGNO 2022</v>
      </c>
      <c r="G1957" s="59">
        <v>11.58</v>
      </c>
      <c r="H1957" s="1338" t="s">
        <v>75</v>
      </c>
      <c r="I1957" s="960"/>
      <c r="J1957" s="57" t="s">
        <v>108</v>
      </c>
      <c r="K1957" s="59"/>
    </row>
    <row r="1958" spans="1:11" ht="16.5" customHeight="1" x14ac:dyDescent="0.25">
      <c r="A1958" s="57" t="s">
        <v>1054</v>
      </c>
      <c r="B1958" s="57" t="s">
        <v>131</v>
      </c>
      <c r="C1958" s="57">
        <v>2022</v>
      </c>
      <c r="D1958" s="58">
        <f>MATCH(B1958,{"GENNAIO","FEBBRAIO","MARZO","APRILE","MAGGIO","GIUGNO","LUGLIO","AGOSTO","SETTEMBRE","OTTOBRE","NOVEMBRE","DICEMBRE"},0)</f>
        <v>6</v>
      </c>
      <c r="E1958" s="57" t="str">
        <f t="shared" si="1236"/>
        <v>GIUGNO 2022</v>
      </c>
      <c r="F1958" s="57" t="str">
        <f t="shared" si="1237"/>
        <v>6 GIUGNO 2022</v>
      </c>
      <c r="G1958" s="59">
        <v>31</v>
      </c>
      <c r="H1958" s="1338" t="s">
        <v>91</v>
      </c>
      <c r="I1958" s="960"/>
      <c r="J1958" s="59" t="s">
        <v>768</v>
      </c>
      <c r="K1958" s="59"/>
    </row>
    <row r="1959" spans="1:11" ht="16.5" customHeight="1" x14ac:dyDescent="0.25">
      <c r="A1959" s="57" t="s">
        <v>67</v>
      </c>
      <c r="B1959" s="57" t="s">
        <v>131</v>
      </c>
      <c r="C1959" s="57">
        <v>2022</v>
      </c>
      <c r="D1959" s="58">
        <f>MATCH(B1959,{"GENNAIO","FEBBRAIO","MARZO","APRILE","MAGGIO","GIUGNO","LUGLIO","AGOSTO","SETTEMBRE","OTTOBRE","NOVEMBRE","DICEMBRE"},0)</f>
        <v>6</v>
      </c>
      <c r="E1959" s="57" t="str">
        <f t="shared" si="1236"/>
        <v>GIUGNO 2022</v>
      </c>
      <c r="F1959" s="57" t="str">
        <f t="shared" si="1237"/>
        <v>6 GIUGNO 2022</v>
      </c>
      <c r="G1959" s="59">
        <v>5</v>
      </c>
      <c r="H1959" s="1338" t="s">
        <v>776</v>
      </c>
      <c r="I1959" s="960"/>
      <c r="J1959" s="59"/>
      <c r="K1959" s="59"/>
    </row>
    <row r="1960" spans="1:11" ht="16.5" customHeight="1" x14ac:dyDescent="0.25">
      <c r="A1960" s="57" t="s">
        <v>232</v>
      </c>
      <c r="B1960" s="57" t="s">
        <v>131</v>
      </c>
      <c r="C1960" s="57">
        <v>2022</v>
      </c>
      <c r="D1960" s="58">
        <f>MATCH(B1960,{"GENNAIO","FEBBRAIO","MARZO","APRILE","MAGGIO","GIUGNO","LUGLIO","AGOSTO","SETTEMBRE","OTTOBRE","NOVEMBRE","DICEMBRE"},0)</f>
        <v>6</v>
      </c>
      <c r="E1960" s="57" t="str">
        <f t="shared" si="1236"/>
        <v>GIUGNO 2022</v>
      </c>
      <c r="F1960" s="57" t="str">
        <f t="shared" si="1237"/>
        <v>6 GIUGNO 2022</v>
      </c>
      <c r="G1960" s="59">
        <v>1.7</v>
      </c>
      <c r="H1960" s="1338" t="s">
        <v>91</v>
      </c>
      <c r="I1960" s="960"/>
      <c r="J1960" s="59"/>
      <c r="K1960" s="59"/>
    </row>
    <row r="1961" spans="1:11" ht="16.5" customHeight="1" x14ac:dyDescent="0.25">
      <c r="A1961" s="57" t="s">
        <v>124</v>
      </c>
      <c r="B1961" s="57" t="s">
        <v>131</v>
      </c>
      <c r="C1961" s="57">
        <v>2022</v>
      </c>
      <c r="D1961" s="58">
        <f>MATCH(B1961,{"GENNAIO","FEBBRAIO","MARZO","APRILE","MAGGIO","GIUGNO","LUGLIO","AGOSTO","SETTEMBRE","OTTOBRE","NOVEMBRE","DICEMBRE"},0)</f>
        <v>6</v>
      </c>
      <c r="E1961" s="57" t="str">
        <f t="shared" si="1236"/>
        <v>GIUGNO 2022</v>
      </c>
      <c r="F1961" s="57" t="str">
        <f t="shared" si="1237"/>
        <v>6 GIUGNO 2022</v>
      </c>
      <c r="G1961" s="59">
        <v>18</v>
      </c>
      <c r="H1961" s="1338" t="s">
        <v>69</v>
      </c>
      <c r="I1961" s="960"/>
      <c r="J1961" s="59"/>
      <c r="K1961" s="59"/>
    </row>
    <row r="1962" spans="1:11" ht="16.5" customHeight="1" x14ac:dyDescent="0.25">
      <c r="A1962" s="57" t="s">
        <v>67</v>
      </c>
      <c r="B1962" s="57" t="s">
        <v>131</v>
      </c>
      <c r="C1962" s="57">
        <v>2022</v>
      </c>
      <c r="D1962" s="58">
        <f>MATCH(B1962,{"GENNAIO","FEBBRAIO","MARZO","APRILE","MAGGIO","GIUGNO","LUGLIO","AGOSTO","SETTEMBRE","OTTOBRE","NOVEMBRE","DICEMBRE"},0)</f>
        <v>6</v>
      </c>
      <c r="E1962" s="57" t="str">
        <f t="shared" si="1236"/>
        <v>GIUGNO 2022</v>
      </c>
      <c r="F1962" s="57" t="str">
        <f t="shared" si="1237"/>
        <v>6 GIUGNO 2022</v>
      </c>
      <c r="G1962" s="59">
        <v>5</v>
      </c>
      <c r="H1962" s="1338" t="s">
        <v>776</v>
      </c>
      <c r="I1962" s="960"/>
      <c r="J1962" s="59"/>
      <c r="K1962" s="59"/>
    </row>
    <row r="1963" spans="1:11" ht="16.5" customHeight="1" x14ac:dyDescent="0.25">
      <c r="A1963" s="57" t="s">
        <v>67</v>
      </c>
      <c r="B1963" s="57" t="s">
        <v>143</v>
      </c>
      <c r="C1963" s="57">
        <v>2022</v>
      </c>
      <c r="D1963" s="58">
        <f>MATCH(B1963,{"GENNAIO","FEBBRAIO","MARZO","APRILE","MAGGIO","GIUGNO","LUGLIO","AGOSTO","SETTEMBRE","OTTOBRE","NOVEMBRE","DICEMBRE"},0)</f>
        <v>5</v>
      </c>
      <c r="E1963" s="57" t="str">
        <f t="shared" si="1236"/>
        <v>MAGGIO 2022</v>
      </c>
      <c r="F1963" s="57" t="str">
        <f t="shared" si="1237"/>
        <v>5 MAGGIO 2022</v>
      </c>
      <c r="G1963" s="59">
        <v>5</v>
      </c>
      <c r="H1963" s="1338" t="s">
        <v>776</v>
      </c>
      <c r="I1963" s="960"/>
      <c r="J1963" s="59"/>
      <c r="K1963" s="59"/>
    </row>
    <row r="1964" spans="1:11" ht="16.5" customHeight="1" x14ac:dyDescent="0.25">
      <c r="A1964" s="57" t="s">
        <v>290</v>
      </c>
      <c r="B1964" s="57" t="s">
        <v>143</v>
      </c>
      <c r="C1964" s="57">
        <v>2022</v>
      </c>
      <c r="D1964" s="58">
        <f>MATCH(B1964,{"GENNAIO","FEBBRAIO","MARZO","APRILE","MAGGIO","GIUGNO","LUGLIO","AGOSTO","SETTEMBRE","OTTOBRE","NOVEMBRE","DICEMBRE"},0)</f>
        <v>5</v>
      </c>
      <c r="E1964" s="57" t="str">
        <f t="shared" si="1236"/>
        <v>MAGGIO 2022</v>
      </c>
      <c r="F1964" s="57" t="str">
        <f t="shared" si="1237"/>
        <v>5 MAGGIO 2022</v>
      </c>
      <c r="G1964" s="59">
        <v>16</v>
      </c>
      <c r="H1964" s="1338" t="s">
        <v>70</v>
      </c>
      <c r="I1964" s="960"/>
      <c r="J1964" s="59"/>
      <c r="K1964" s="59"/>
    </row>
    <row r="1965" spans="1:11" ht="16.5" customHeight="1" x14ac:dyDescent="0.25">
      <c r="A1965" s="57" t="s">
        <v>290</v>
      </c>
      <c r="B1965" s="57" t="s">
        <v>143</v>
      </c>
      <c r="C1965" s="57">
        <v>2022</v>
      </c>
      <c r="D1965" s="58">
        <f>MATCH(B1965,{"GENNAIO","FEBBRAIO","MARZO","APRILE","MAGGIO","GIUGNO","LUGLIO","AGOSTO","SETTEMBRE","OTTOBRE","NOVEMBRE","DICEMBRE"},0)</f>
        <v>5</v>
      </c>
      <c r="E1965" s="57" t="str">
        <f t="shared" si="1236"/>
        <v>MAGGIO 2022</v>
      </c>
      <c r="F1965" s="57" t="str">
        <f t="shared" si="1237"/>
        <v>5 MAGGIO 2022</v>
      </c>
      <c r="G1965" s="59">
        <v>20</v>
      </c>
      <c r="H1965" s="1338" t="s">
        <v>70</v>
      </c>
      <c r="I1965" s="960"/>
      <c r="J1965" s="59"/>
      <c r="K1965" s="59"/>
    </row>
    <row r="1966" spans="1:11" ht="16.5" customHeight="1" x14ac:dyDescent="0.25">
      <c r="A1966" s="57" t="s">
        <v>67</v>
      </c>
      <c r="B1966" s="57" t="s">
        <v>143</v>
      </c>
      <c r="C1966" s="57">
        <v>2022</v>
      </c>
      <c r="D1966" s="58">
        <f>MATCH(B1966,{"GENNAIO","FEBBRAIO","MARZO","APRILE","MAGGIO","GIUGNO","LUGLIO","AGOSTO","SETTEMBRE","OTTOBRE","NOVEMBRE","DICEMBRE"},0)</f>
        <v>5</v>
      </c>
      <c r="E1966" s="57" t="str">
        <f t="shared" si="1236"/>
        <v>MAGGIO 2022</v>
      </c>
      <c r="F1966" s="57" t="str">
        <f t="shared" si="1237"/>
        <v>5 MAGGIO 2022</v>
      </c>
      <c r="G1966" s="59">
        <v>5</v>
      </c>
      <c r="H1966" s="1338" t="s">
        <v>776</v>
      </c>
      <c r="I1966" s="960"/>
      <c r="J1966" s="59"/>
      <c r="K1966" s="59"/>
    </row>
    <row r="1967" spans="1:11" ht="16.5" customHeight="1" x14ac:dyDescent="0.25">
      <c r="A1967" s="57" t="s">
        <v>67</v>
      </c>
      <c r="B1967" s="57" t="s">
        <v>143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36"/>
        <v>MAGGIO 2022</v>
      </c>
      <c r="F1967" s="57" t="str">
        <f t="shared" si="1237"/>
        <v>5 MAGGIO 2022</v>
      </c>
      <c r="G1967" s="59">
        <v>5</v>
      </c>
      <c r="H1967" s="1338" t="s">
        <v>776</v>
      </c>
      <c r="I1967" s="960"/>
      <c r="J1967" s="59"/>
      <c r="K1967" s="59"/>
    </row>
    <row r="1968" spans="1:11" ht="16.5" customHeight="1" x14ac:dyDescent="0.25">
      <c r="A1968" s="57" t="s">
        <v>232</v>
      </c>
      <c r="B1968" s="57" t="s">
        <v>143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36"/>
        <v>MAGGIO 2022</v>
      </c>
      <c r="F1968" s="57" t="str">
        <f t="shared" si="1237"/>
        <v>5 MAGGIO 2022</v>
      </c>
      <c r="G1968" s="59">
        <v>1.7</v>
      </c>
      <c r="H1968" s="1338" t="s">
        <v>91</v>
      </c>
      <c r="I1968" s="960"/>
      <c r="J1968" s="59"/>
      <c r="K1968" s="59"/>
    </row>
    <row r="1969" spans="1:11" ht="16.5" customHeight="1" x14ac:dyDescent="0.25">
      <c r="A1969" s="57" t="s">
        <v>251</v>
      </c>
      <c r="B1969" s="57" t="s">
        <v>143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36"/>
        <v>MAGGIO 2022</v>
      </c>
      <c r="F1969" s="57" t="str">
        <f t="shared" si="1237"/>
        <v>5 MAGGIO 2022</v>
      </c>
      <c r="G1969" s="59">
        <v>9.5</v>
      </c>
      <c r="H1969" s="1338" t="s">
        <v>69</v>
      </c>
      <c r="I1969" s="960"/>
      <c r="J1969" s="59"/>
      <c r="K1969" s="59"/>
    </row>
    <row r="1970" spans="1:11" ht="18.600000000000001" customHeight="1" x14ac:dyDescent="0.25">
      <c r="A1970" s="57" t="s">
        <v>67</v>
      </c>
      <c r="B1970" s="57" t="s">
        <v>143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36"/>
        <v>MAGGIO 2022</v>
      </c>
      <c r="F1970" s="57" t="str">
        <f t="shared" si="1237"/>
        <v>5 MAGGIO 2022</v>
      </c>
      <c r="G1970" s="59">
        <v>12</v>
      </c>
      <c r="H1970" s="1338" t="s">
        <v>69</v>
      </c>
      <c r="I1970" s="960"/>
      <c r="J1970" s="59"/>
      <c r="K1970" s="59"/>
    </row>
    <row r="1971" spans="1:11" ht="16.5" customHeight="1" x14ac:dyDescent="0.25">
      <c r="A1971" s="57" t="s">
        <v>139</v>
      </c>
      <c r="B1971" s="57" t="s">
        <v>143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36"/>
        <v>MAGGIO 2022</v>
      </c>
      <c r="F1971" s="57" t="str">
        <f t="shared" si="1237"/>
        <v>5 MAGGIO 2022</v>
      </c>
      <c r="G1971" s="59">
        <v>30</v>
      </c>
      <c r="H1971" s="1338" t="s">
        <v>69</v>
      </c>
      <c r="I1971" s="960"/>
      <c r="J1971" s="59"/>
      <c r="K1971" s="59"/>
    </row>
    <row r="1972" spans="1:11" x14ac:dyDescent="0.25">
      <c r="A1972" s="57" t="s">
        <v>124</v>
      </c>
      <c r="B1972" s="57" t="s">
        <v>143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36"/>
        <v>MAGGIO 2022</v>
      </c>
      <c r="F1972" s="57" t="str">
        <f t="shared" si="1237"/>
        <v>5 MAGGIO 2022</v>
      </c>
      <c r="G1972" s="59">
        <v>30</v>
      </c>
      <c r="H1972" s="1338" t="s">
        <v>69</v>
      </c>
      <c r="I1972" s="960"/>
      <c r="J1972" s="59"/>
      <c r="K1972" s="59"/>
    </row>
    <row r="1973" spans="1:11" ht="18.600000000000001" customHeight="1" x14ac:dyDescent="0.25">
      <c r="A1973" s="57" t="s">
        <v>83</v>
      </c>
      <c r="B1973" s="57" t="s">
        <v>143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36"/>
        <v>MAGGIO 2022</v>
      </c>
      <c r="F1973" s="57" t="str">
        <f t="shared" si="1237"/>
        <v>5 MAGGIO 2022</v>
      </c>
      <c r="G1973" s="59">
        <v>8.36</v>
      </c>
      <c r="H1973" s="1338" t="s">
        <v>77</v>
      </c>
      <c r="I1973" s="960"/>
      <c r="J1973" s="59"/>
      <c r="K1973" s="59"/>
    </row>
    <row r="1974" spans="1:11" ht="18.600000000000001" customHeight="1" x14ac:dyDescent="0.25">
      <c r="A1974" s="57" t="s">
        <v>108</v>
      </c>
      <c r="B1974" s="57" t="s">
        <v>143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36"/>
        <v>MAGGIO 2022</v>
      </c>
      <c r="F1974" s="57" t="str">
        <f t="shared" si="1237"/>
        <v>5 MAGGIO 2022</v>
      </c>
      <c r="G1974" s="59">
        <v>20.98</v>
      </c>
      <c r="H1974" s="1338" t="s">
        <v>75</v>
      </c>
      <c r="I1974" s="960"/>
      <c r="J1974" s="57" t="s">
        <v>108</v>
      </c>
      <c r="K1974" s="59"/>
    </row>
    <row r="1975" spans="1:11" ht="18.600000000000001" customHeight="1" x14ac:dyDescent="0.25">
      <c r="A1975" s="57" t="s">
        <v>79</v>
      </c>
      <c r="B1975" s="57" t="s">
        <v>143</v>
      </c>
      <c r="C1975" s="57">
        <v>2022</v>
      </c>
      <c r="D1975" s="58">
        <f>MATCH(B1975,{"GENNAIO","FEBBRAIO","MARZO","APRILE","MAGGIO","GIUGNO","LUGLIO","AGOSTO","SETTEMBRE","OTTOBRE","NOVEMBRE","DICEMBRE"},0)</f>
        <v>5</v>
      </c>
      <c r="E1975" s="57" t="str">
        <f t="shared" si="1236"/>
        <v>MAGGIO 2022</v>
      </c>
      <c r="F1975" s="57" t="str">
        <f t="shared" si="1237"/>
        <v>5 MAGGIO 2022</v>
      </c>
      <c r="G1975" s="59">
        <v>7.9</v>
      </c>
      <c r="H1975" s="1338" t="s">
        <v>81</v>
      </c>
      <c r="I1975" s="960"/>
      <c r="J1975" s="59"/>
      <c r="K1975" s="59"/>
    </row>
    <row r="1976" spans="1:11" x14ac:dyDescent="0.25">
      <c r="A1976" s="57" t="s">
        <v>120</v>
      </c>
      <c r="B1976" s="57" t="s">
        <v>143</v>
      </c>
      <c r="C1976" s="57">
        <v>2022</v>
      </c>
      <c r="D1976" s="58">
        <f>MATCH(B1976,{"GENNAIO","FEBBRAIO","MARZO","APRILE","MAGGIO","GIUGNO","LUGLIO","AGOSTO","SETTEMBRE","OTTOBRE","NOVEMBRE","DICEMBRE"},0)</f>
        <v>5</v>
      </c>
      <c r="E1976" s="57" t="str">
        <f t="shared" si="1236"/>
        <v>MAGGIO 2022</v>
      </c>
      <c r="F1976" s="57" t="str">
        <f t="shared" si="1237"/>
        <v>5 MAGGIO 2022</v>
      </c>
      <c r="G1976" s="59">
        <v>22.83</v>
      </c>
      <c r="H1976" s="1338" t="s">
        <v>77</v>
      </c>
      <c r="I1976" s="960"/>
      <c r="J1976" s="59"/>
      <c r="K1976" s="59"/>
    </row>
    <row r="1977" spans="1:11" x14ac:dyDescent="0.25">
      <c r="A1977" s="57" t="s">
        <v>83</v>
      </c>
      <c r="B1977" s="57" t="s">
        <v>143</v>
      </c>
      <c r="C1977" s="57">
        <v>2022</v>
      </c>
      <c r="D1977" s="58">
        <f>MATCH(B1977,{"GENNAIO","FEBBRAIO","MARZO","APRILE","MAGGIO","GIUGNO","LUGLIO","AGOSTO","SETTEMBRE","OTTOBRE","NOVEMBRE","DICEMBRE"},0)</f>
        <v>5</v>
      </c>
      <c r="E1977" s="57" t="str">
        <f t="shared" si="1236"/>
        <v>MAGGIO 2022</v>
      </c>
      <c r="F1977" s="57" t="str">
        <f t="shared" si="1237"/>
        <v>5 MAGGIO 2022</v>
      </c>
      <c r="G1977" s="59">
        <v>36.659999999999997</v>
      </c>
      <c r="H1977" s="1338" t="s">
        <v>77</v>
      </c>
      <c r="I1977" s="960"/>
      <c r="J1977" s="59"/>
      <c r="K1977" s="59"/>
    </row>
    <row r="1978" spans="1:11" ht="16.5" customHeight="1" x14ac:dyDescent="0.25">
      <c r="A1978" s="57" t="s">
        <v>76</v>
      </c>
      <c r="B1978" s="57" t="s">
        <v>143</v>
      </c>
      <c r="C1978" s="57">
        <v>2022</v>
      </c>
      <c r="D1978" s="58">
        <f>MATCH(B1978,{"GENNAIO","FEBBRAIO","MARZO","APRILE","MAGGIO","GIUGNO","LUGLIO","AGOSTO","SETTEMBRE","OTTOBRE","NOVEMBRE","DICEMBRE"},0)</f>
        <v>5</v>
      </c>
      <c r="E1978" s="57" t="str">
        <f t="shared" si="1236"/>
        <v>MAGGIO 2022</v>
      </c>
      <c r="F1978" s="57" t="str">
        <f t="shared" si="1237"/>
        <v>5 MAGGIO 2022</v>
      </c>
      <c r="G1978" s="59">
        <v>17.75</v>
      </c>
      <c r="H1978" s="1338" t="s">
        <v>77</v>
      </c>
      <c r="I1978" s="960"/>
      <c r="J1978" s="59"/>
      <c r="K1978" s="59"/>
    </row>
    <row r="1979" spans="1:11" ht="16.5" customHeight="1" x14ac:dyDescent="0.25">
      <c r="A1979" s="57" t="s">
        <v>998</v>
      </c>
      <c r="B1979" s="57" t="s">
        <v>143</v>
      </c>
      <c r="C1979" s="57">
        <v>2022</v>
      </c>
      <c r="D1979" s="58">
        <f>MATCH(B1979,{"GENNAIO","FEBBRAIO","MARZO","APRILE","MAGGIO","GIUGNO","LUGLIO","AGOSTO","SETTEMBRE","OTTOBRE","NOVEMBRE","DICEMBRE"},0)</f>
        <v>5</v>
      </c>
      <c r="E1979" s="57" t="str">
        <f t="shared" si="1236"/>
        <v>MAGGIO 2022</v>
      </c>
      <c r="F1979" s="57" t="str">
        <f t="shared" si="1237"/>
        <v>5 MAGGIO 2022</v>
      </c>
      <c r="G1979" s="59">
        <v>20.87</v>
      </c>
      <c r="H1979" s="1338" t="s">
        <v>70</v>
      </c>
      <c r="I1979" s="960" t="s">
        <v>988</v>
      </c>
      <c r="J1979" s="59" t="s">
        <v>768</v>
      </c>
      <c r="K1979" s="59"/>
    </row>
    <row r="1980" spans="1:11" ht="16.5" customHeight="1" x14ac:dyDescent="0.25">
      <c r="A1980" s="57" t="s">
        <v>289</v>
      </c>
      <c r="B1980" s="57" t="s">
        <v>143</v>
      </c>
      <c r="C1980" s="57">
        <v>2022</v>
      </c>
      <c r="D1980" s="58">
        <f>MATCH(B1980,{"GENNAIO","FEBBRAIO","MARZO","APRILE","MAGGIO","GIUGNO","LUGLIO","AGOSTO","SETTEMBRE","OTTOBRE","NOVEMBRE","DICEMBRE"},0)</f>
        <v>5</v>
      </c>
      <c r="E1980" s="57" t="str">
        <f t="shared" si="1236"/>
        <v>MAGGIO 2022</v>
      </c>
      <c r="F1980" s="57" t="str">
        <f t="shared" si="1237"/>
        <v>5 MAGGIO 2022</v>
      </c>
      <c r="G1980" s="59">
        <v>29.16</v>
      </c>
      <c r="H1980" s="1338" t="s">
        <v>91</v>
      </c>
      <c r="I1980" s="960" t="s">
        <v>989</v>
      </c>
      <c r="J1980" s="59" t="s">
        <v>768</v>
      </c>
      <c r="K1980" s="59"/>
    </row>
    <row r="1981" spans="1:11" ht="16.5" customHeight="1" x14ac:dyDescent="0.25">
      <c r="A1981" s="57" t="s">
        <v>291</v>
      </c>
      <c r="B1981" s="57" t="s">
        <v>143</v>
      </c>
      <c r="C1981" s="57">
        <v>2022</v>
      </c>
      <c r="D1981" s="58">
        <f>MATCH(B1981,{"GENNAIO","FEBBRAIO","MARZO","APRILE","MAGGIO","GIUGNO","LUGLIO","AGOSTO","SETTEMBRE","OTTOBRE","NOVEMBRE","DICEMBRE"},0)</f>
        <v>5</v>
      </c>
      <c r="E1981" s="57" t="str">
        <f t="shared" si="1236"/>
        <v>MAGGIO 2022</v>
      </c>
      <c r="F1981" s="57" t="str">
        <f t="shared" si="1237"/>
        <v>5 MAGGIO 2022</v>
      </c>
      <c r="G1981" s="59">
        <v>9.5</v>
      </c>
      <c r="H1981" s="1338" t="s">
        <v>69</v>
      </c>
      <c r="I1981" s="960"/>
      <c r="J1981" s="59"/>
      <c r="K1981" s="59"/>
    </row>
    <row r="1982" spans="1:11" ht="16.5" customHeight="1" x14ac:dyDescent="0.25">
      <c r="A1982" s="57" t="s">
        <v>292</v>
      </c>
      <c r="B1982" s="57" t="s">
        <v>143</v>
      </c>
      <c r="C1982" s="57">
        <v>2022</v>
      </c>
      <c r="D1982" s="58">
        <f>MATCH(B1982,{"GENNAIO","FEBBRAIO","MARZO","APRILE","MAGGIO","GIUGNO","LUGLIO","AGOSTO","SETTEMBRE","OTTOBRE","NOVEMBRE","DICEMBRE"},0)</f>
        <v>5</v>
      </c>
      <c r="E1982" s="57" t="str">
        <f t="shared" si="1236"/>
        <v>MAGGIO 2022</v>
      </c>
      <c r="F1982" s="57" t="str">
        <f t="shared" si="1237"/>
        <v>5 MAGGIO 2022</v>
      </c>
      <c r="G1982" s="59">
        <v>62</v>
      </c>
      <c r="H1982" s="1338" t="s">
        <v>69</v>
      </c>
      <c r="I1982" s="960"/>
      <c r="J1982" s="59"/>
      <c r="K1982" s="59"/>
    </row>
    <row r="1983" spans="1:11" ht="16.5" customHeight="1" x14ac:dyDescent="0.25">
      <c r="A1983" s="57" t="s">
        <v>251</v>
      </c>
      <c r="B1983" s="57" t="s">
        <v>143</v>
      </c>
      <c r="C1983" s="57">
        <v>2022</v>
      </c>
      <c r="D1983" s="58">
        <f>MATCH(B1983,{"GENNAIO","FEBBRAIO","MARZO","APRILE","MAGGIO","GIUGNO","LUGLIO","AGOSTO","SETTEMBRE","OTTOBRE","NOVEMBRE","DICEMBRE"},0)</f>
        <v>5</v>
      </c>
      <c r="E1983" s="57" t="str">
        <f t="shared" si="1236"/>
        <v>MAGGIO 2022</v>
      </c>
      <c r="F1983" s="57" t="str">
        <f t="shared" si="1237"/>
        <v>5 MAGGIO 2022</v>
      </c>
      <c r="G1983" s="59">
        <v>22.5</v>
      </c>
      <c r="H1983" s="1338" t="s">
        <v>69</v>
      </c>
      <c r="I1983" s="960"/>
      <c r="J1983" s="59"/>
      <c r="K1983" s="59"/>
    </row>
    <row r="1984" spans="1:11" ht="16.5" customHeight="1" x14ac:dyDescent="0.25">
      <c r="A1984" s="57" t="s">
        <v>108</v>
      </c>
      <c r="B1984" s="57" t="s">
        <v>143</v>
      </c>
      <c r="C1984" s="57">
        <v>2022</v>
      </c>
      <c r="D1984" s="58">
        <f>MATCH(B1984,{"GENNAIO","FEBBRAIO","MARZO","APRILE","MAGGIO","GIUGNO","LUGLIO","AGOSTO","SETTEMBRE","OTTOBRE","NOVEMBRE","DICEMBRE"},0)</f>
        <v>5</v>
      </c>
      <c r="E1984" s="57" t="str">
        <f t="shared" si="1236"/>
        <v>MAGGIO 2022</v>
      </c>
      <c r="F1984" s="57" t="str">
        <f t="shared" si="1237"/>
        <v>5 MAGGIO 2022</v>
      </c>
      <c r="G1984" s="59">
        <v>12.99</v>
      </c>
      <c r="H1984" s="1338" t="s">
        <v>75</v>
      </c>
      <c r="I1984" s="960"/>
      <c r="J1984" s="57" t="s">
        <v>108</v>
      </c>
      <c r="K1984" s="59"/>
    </row>
    <row r="1985" spans="1:11" ht="16.5" customHeight="1" x14ac:dyDescent="0.25">
      <c r="A1985" s="57" t="s">
        <v>108</v>
      </c>
      <c r="B1985" s="57" t="s">
        <v>143</v>
      </c>
      <c r="C1985" s="57">
        <v>2022</v>
      </c>
      <c r="D1985" s="58">
        <f>MATCH(B1985,{"GENNAIO","FEBBRAIO","MARZO","APRILE","MAGGIO","GIUGNO","LUGLIO","AGOSTO","SETTEMBRE","OTTOBRE","NOVEMBRE","DICEMBRE"},0)</f>
        <v>5</v>
      </c>
      <c r="E1985" s="57" t="str">
        <f t="shared" si="1236"/>
        <v>MAGGIO 2022</v>
      </c>
      <c r="F1985" s="57" t="str">
        <f t="shared" si="1237"/>
        <v>5 MAGGIO 2022</v>
      </c>
      <c r="G1985" s="59">
        <v>45</v>
      </c>
      <c r="H1985" s="1338" t="s">
        <v>75</v>
      </c>
      <c r="I1985" s="960"/>
      <c r="J1985" s="57" t="s">
        <v>108</v>
      </c>
      <c r="K1985" s="59"/>
    </row>
    <row r="1986" spans="1:11" x14ac:dyDescent="0.25">
      <c r="A1986" s="57" t="s">
        <v>237</v>
      </c>
      <c r="B1986" s="57" t="s">
        <v>159</v>
      </c>
      <c r="C1986" s="57">
        <v>2022</v>
      </c>
      <c r="D1986" s="58">
        <f>MATCH(B1986,{"GENNAIO","FEBBRAIO","MARZO","APRILE","MAGGIO","GIUGNO","LUGLIO","AGOSTO","SETTEMBRE","OTTOBRE","NOVEMBRE","DICEMBRE"},0)</f>
        <v>4</v>
      </c>
      <c r="E1986" s="57" t="str">
        <f t="shared" si="1236"/>
        <v>APRILE 2022</v>
      </c>
      <c r="F1986" s="57" t="str">
        <f t="shared" si="1237"/>
        <v>4 APRILE 2022</v>
      </c>
      <c r="G1986" s="59">
        <v>7.5</v>
      </c>
      <c r="H1986" s="1338" t="s">
        <v>69</v>
      </c>
      <c r="I1986" s="960"/>
      <c r="J1986" s="59"/>
      <c r="K1986" s="59"/>
    </row>
    <row r="1987" spans="1:11" ht="16.5" customHeight="1" x14ac:dyDescent="0.25">
      <c r="A1987" s="57" t="s">
        <v>286</v>
      </c>
      <c r="B1987" s="57" t="s">
        <v>159</v>
      </c>
      <c r="C1987" s="57">
        <v>2022</v>
      </c>
      <c r="D1987" s="58">
        <f>MATCH(B1987,{"GENNAIO","FEBBRAIO","MARZO","APRILE","MAGGIO","GIUGNO","LUGLIO","AGOSTO","SETTEMBRE","OTTOBRE","NOVEMBRE","DICEMBRE"},0)</f>
        <v>4</v>
      </c>
      <c r="E1987" s="57" t="str">
        <f t="shared" si="1236"/>
        <v>APRILE 2022</v>
      </c>
      <c r="F1987" s="57" t="str">
        <f t="shared" si="1237"/>
        <v>4 APRILE 2022</v>
      </c>
      <c r="G1987" s="59">
        <v>7</v>
      </c>
      <c r="H1987" s="1338" t="s">
        <v>69</v>
      </c>
      <c r="I1987" s="960"/>
      <c r="J1987" s="59"/>
      <c r="K1987" s="59"/>
    </row>
    <row r="1988" spans="1:11" ht="14.25" customHeight="1" x14ac:dyDescent="0.25">
      <c r="A1988" s="57" t="s">
        <v>67</v>
      </c>
      <c r="B1988" s="57" t="s">
        <v>159</v>
      </c>
      <c r="C1988" s="57">
        <v>2022</v>
      </c>
      <c r="D1988" s="58">
        <f>MATCH(B1988,{"GENNAIO","FEBBRAIO","MARZO","APRILE","MAGGIO","GIUGNO","LUGLIO","AGOSTO","SETTEMBRE","OTTOBRE","NOVEMBRE","DICEMBRE"},0)</f>
        <v>4</v>
      </c>
      <c r="E1988" s="57" t="str">
        <f t="shared" si="1236"/>
        <v>APRILE 2022</v>
      </c>
      <c r="F1988" s="57" t="str">
        <f t="shared" si="1237"/>
        <v>4 APRILE 2022</v>
      </c>
      <c r="G1988" s="59">
        <v>7.5</v>
      </c>
      <c r="H1988" s="1338" t="s">
        <v>69</v>
      </c>
      <c r="I1988" s="960"/>
      <c r="J1988" s="59"/>
      <c r="K1988" s="59"/>
    </row>
    <row r="1989" spans="1:11" ht="16.5" customHeight="1" x14ac:dyDescent="0.25">
      <c r="A1989" s="57" t="s">
        <v>341</v>
      </c>
      <c r="B1989" s="57" t="s">
        <v>159</v>
      </c>
      <c r="C1989" s="57">
        <v>2022</v>
      </c>
      <c r="D1989" s="58">
        <f>MATCH(B1989,{"GENNAIO","FEBBRAIO","MARZO","APRILE","MAGGIO","GIUGNO","LUGLIO","AGOSTO","SETTEMBRE","OTTOBRE","NOVEMBRE","DICEMBRE"},0)</f>
        <v>4</v>
      </c>
      <c r="E1989" s="57" t="str">
        <f t="shared" si="1236"/>
        <v>APRILE 2022</v>
      </c>
      <c r="F1989" s="57" t="str">
        <f t="shared" si="1237"/>
        <v>4 APRILE 2022</v>
      </c>
      <c r="G1989" s="59">
        <v>1.1200000000000001</v>
      </c>
      <c r="H1989" s="1338" t="s">
        <v>91</v>
      </c>
      <c r="I1989" s="960"/>
      <c r="J1989" s="59" t="s">
        <v>768</v>
      </c>
      <c r="K1989" s="59"/>
    </row>
    <row r="1990" spans="1:11" x14ac:dyDescent="0.25">
      <c r="A1990" s="57" t="s">
        <v>286</v>
      </c>
      <c r="B1990" s="57" t="s">
        <v>159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36"/>
        <v>APRILE 2022</v>
      </c>
      <c r="F1990" s="57" t="str">
        <f t="shared" si="1237"/>
        <v>4 APRILE 2022</v>
      </c>
      <c r="G1990" s="59">
        <v>5</v>
      </c>
      <c r="H1990" s="1338" t="s">
        <v>69</v>
      </c>
      <c r="I1990" s="960"/>
      <c r="J1990" s="59"/>
      <c r="K1990" s="59"/>
    </row>
    <row r="1991" spans="1:11" x14ac:dyDescent="0.25">
      <c r="A1991" s="57" t="s">
        <v>996</v>
      </c>
      <c r="B1991" s="57" t="s">
        <v>159</v>
      </c>
      <c r="C1991" s="57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36"/>
        <v>APRILE 2022</v>
      </c>
      <c r="F1991" s="57" t="str">
        <f t="shared" si="1237"/>
        <v>4 APRILE 2022</v>
      </c>
      <c r="G1991" s="59">
        <v>15.32</v>
      </c>
      <c r="H1991" s="1338" t="s">
        <v>75</v>
      </c>
      <c r="I1991" s="960"/>
      <c r="J1991" s="59" t="s">
        <v>768</v>
      </c>
      <c r="K1991" s="59"/>
    </row>
    <row r="1992" spans="1:11" x14ac:dyDescent="0.25">
      <c r="A1992" s="57" t="s">
        <v>108</v>
      </c>
      <c r="B1992" s="57" t="s">
        <v>159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36"/>
        <v>APRILE 2022</v>
      </c>
      <c r="F1992" s="57" t="str">
        <f t="shared" si="1237"/>
        <v>4 APRILE 2022</v>
      </c>
      <c r="G1992" s="59">
        <v>6.64</v>
      </c>
      <c r="H1992" s="1338" t="s">
        <v>75</v>
      </c>
      <c r="I1992" s="960"/>
      <c r="J1992" s="57" t="s">
        <v>108</v>
      </c>
      <c r="K1992" s="59"/>
    </row>
    <row r="1993" spans="1:11" ht="14.25" customHeight="1" x14ac:dyDescent="0.25">
      <c r="A1993" s="57" t="s">
        <v>998</v>
      </c>
      <c r="B1993" s="61" t="s">
        <v>159</v>
      </c>
      <c r="C1993" s="61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36"/>
        <v>APRILE 2022</v>
      </c>
      <c r="F1993" s="57" t="str">
        <f t="shared" si="1237"/>
        <v>4 APRILE 2022</v>
      </c>
      <c r="G1993" s="62">
        <v>-125.18</v>
      </c>
      <c r="H1993" s="1338" t="s">
        <v>1042</v>
      </c>
      <c r="I1993" s="960"/>
      <c r="J1993" s="59"/>
      <c r="K1993" s="59"/>
    </row>
    <row r="1994" spans="1:11" x14ac:dyDescent="0.25">
      <c r="A1994" s="57" t="s">
        <v>218</v>
      </c>
      <c r="B1994" s="57" t="s">
        <v>159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36"/>
        <v>APRILE 2022</v>
      </c>
      <c r="F1994" s="57" t="str">
        <f t="shared" si="1237"/>
        <v>4 APRILE 2022</v>
      </c>
      <c r="G1994" s="59">
        <v>26.1</v>
      </c>
      <c r="H1994" s="1338" t="s">
        <v>137</v>
      </c>
      <c r="I1994" s="960"/>
      <c r="J1994" s="59"/>
      <c r="K1994" s="59"/>
    </row>
    <row r="1995" spans="1:11" ht="18.600000000000001" customHeight="1" x14ac:dyDescent="0.25">
      <c r="A1995" s="57" t="s">
        <v>79</v>
      </c>
      <c r="B1995" s="57" t="s">
        <v>159</v>
      </c>
      <c r="C1995" s="57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36"/>
        <v>APRILE 2022</v>
      </c>
      <c r="F1995" s="57" t="str">
        <f t="shared" si="1237"/>
        <v>4 APRILE 2022</v>
      </c>
      <c r="G1995" s="59">
        <v>12.53</v>
      </c>
      <c r="H1995" s="1338" t="s">
        <v>81</v>
      </c>
      <c r="I1995" s="960"/>
      <c r="J1995" s="59"/>
      <c r="K1995" s="59"/>
    </row>
    <row r="1996" spans="1:11" ht="16.5" customHeight="1" x14ac:dyDescent="0.25">
      <c r="A1996" s="57" t="s">
        <v>73</v>
      </c>
      <c r="B1996" s="57" t="s">
        <v>159</v>
      </c>
      <c r="C1996" s="57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36"/>
        <v>APRILE 2022</v>
      </c>
      <c r="F1996" s="57" t="str">
        <f t="shared" si="1237"/>
        <v>4 APRILE 2022</v>
      </c>
      <c r="G1996" s="59">
        <v>25</v>
      </c>
      <c r="H1996" s="1338" t="s">
        <v>74</v>
      </c>
      <c r="I1996" s="960"/>
      <c r="J1996" s="59"/>
      <c r="K1996" s="59"/>
    </row>
    <row r="1997" spans="1:11" x14ac:dyDescent="0.25">
      <c r="A1997" s="57" t="s">
        <v>1056</v>
      </c>
      <c r="B1997" s="57" t="s">
        <v>159</v>
      </c>
      <c r="C1997" s="57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36"/>
        <v>APRILE 2022</v>
      </c>
      <c r="F1997" s="57" t="str">
        <f t="shared" si="1237"/>
        <v>4 APRILE 2022</v>
      </c>
      <c r="G1997" s="60">
        <v>59.99</v>
      </c>
      <c r="H1997" s="1338" t="s">
        <v>174</v>
      </c>
      <c r="I1997" s="960"/>
      <c r="J1997" s="59"/>
      <c r="K1997" s="59"/>
    </row>
    <row r="1998" spans="1:11" x14ac:dyDescent="0.25">
      <c r="A1998" s="57" t="s">
        <v>78</v>
      </c>
      <c r="B1998" s="57" t="s">
        <v>159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36"/>
        <v>APRILE 2022</v>
      </c>
      <c r="F1998" s="57" t="str">
        <f t="shared" si="1237"/>
        <v>4 APRILE 2022</v>
      </c>
      <c r="G1998" s="59">
        <v>12.49</v>
      </c>
      <c r="H1998" s="1338" t="s">
        <v>77</v>
      </c>
      <c r="I1998" s="960"/>
      <c r="J1998" s="59"/>
      <c r="K1998" s="59"/>
    </row>
    <row r="1999" spans="1:11" x14ac:dyDescent="0.25">
      <c r="A1999" s="57" t="s">
        <v>121</v>
      </c>
      <c r="B1999" s="57" t="s">
        <v>159</v>
      </c>
      <c r="C1999" s="57">
        <v>2022</v>
      </c>
      <c r="D1999" s="58">
        <f>MATCH(B1999,{"GENNAIO","FEBBRAIO","MARZO","APRILE","MAGGIO","GIUGNO","LUGLIO","AGOSTO","SETTEMBRE","OTTOBRE","NOVEMBRE","DICEMBRE"},0)</f>
        <v>4</v>
      </c>
      <c r="E1999" s="57" t="str">
        <f t="shared" si="1236"/>
        <v>APRILE 2022</v>
      </c>
      <c r="F1999" s="57" t="str">
        <f t="shared" si="1237"/>
        <v>4 APRILE 2022</v>
      </c>
      <c r="G1999" s="59">
        <v>0.4</v>
      </c>
      <c r="H1999" s="1338" t="s">
        <v>777</v>
      </c>
      <c r="I1999" s="960"/>
      <c r="J1999" s="59"/>
      <c r="K1999" s="59"/>
    </row>
    <row r="2000" spans="1:11" x14ac:dyDescent="0.25">
      <c r="A2000" s="57" t="s">
        <v>998</v>
      </c>
      <c r="B2000" s="57" t="s">
        <v>159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36"/>
        <v>APRILE 2022</v>
      </c>
      <c r="F2000" s="57" t="str">
        <f t="shared" si="1237"/>
        <v>4 APRILE 2022</v>
      </c>
      <c r="G2000" s="59">
        <v>20.86</v>
      </c>
      <c r="H2000" s="1338" t="s">
        <v>70</v>
      </c>
      <c r="I2000" s="960" t="s">
        <v>993</v>
      </c>
      <c r="J2000" s="59" t="s">
        <v>768</v>
      </c>
      <c r="K2000" s="59"/>
    </row>
    <row r="2001" spans="1:11" x14ac:dyDescent="0.25">
      <c r="A2001" s="57" t="s">
        <v>998</v>
      </c>
      <c r="B2001" s="57" t="s">
        <v>159</v>
      </c>
      <c r="C2001" s="57">
        <v>2022</v>
      </c>
      <c r="D2001" s="58">
        <f>MATCH(B2001,{"GENNAIO","FEBBRAIO","MARZO","APRILE","MAGGIO","GIUGNO","LUGLIO","AGOSTO","SETTEMBRE","OTTOBRE","NOVEMBRE","DICEMBRE"},0)</f>
        <v>4</v>
      </c>
      <c r="E2001" s="57" t="str">
        <f t="shared" si="1236"/>
        <v>APRILE 2022</v>
      </c>
      <c r="F2001" s="57" t="str">
        <f t="shared" si="1237"/>
        <v>4 APRILE 2022</v>
      </c>
      <c r="G2001" s="59">
        <v>62.59</v>
      </c>
      <c r="H2001" s="1338" t="s">
        <v>70</v>
      </c>
      <c r="I2001" s="960"/>
      <c r="J2001" s="59"/>
      <c r="K2001" s="59"/>
    </row>
    <row r="2002" spans="1:11" ht="14.25" customHeight="1" x14ac:dyDescent="0.25">
      <c r="A2002" s="57" t="s">
        <v>998</v>
      </c>
      <c r="B2002" s="61" t="s">
        <v>159</v>
      </c>
      <c r="C2002" s="61">
        <v>2022</v>
      </c>
      <c r="D2002" s="58">
        <f>MATCH(B2002,{"GENNAIO","FEBBRAIO","MARZO","APRILE","MAGGIO","GIUGNO","LUGLIO","AGOSTO","SETTEMBRE","OTTOBRE","NOVEMBRE","DICEMBRE"},0)</f>
        <v>4</v>
      </c>
      <c r="E2002" s="57" t="str">
        <f t="shared" si="1236"/>
        <v>APRILE 2022</v>
      </c>
      <c r="F2002" s="57" t="str">
        <f t="shared" si="1237"/>
        <v>4 APRILE 2022</v>
      </c>
      <c r="G2002" s="62">
        <v>125.18</v>
      </c>
      <c r="H2002" s="1338" t="s">
        <v>70</v>
      </c>
      <c r="I2002" s="960"/>
      <c r="J2002" s="59"/>
      <c r="K2002" s="59"/>
    </row>
    <row r="2003" spans="1:11" ht="14.25" customHeight="1" x14ac:dyDescent="0.25">
      <c r="A2003" s="57" t="s">
        <v>289</v>
      </c>
      <c r="B2003" s="57" t="s">
        <v>159</v>
      </c>
      <c r="C2003" s="57">
        <v>2022</v>
      </c>
      <c r="D2003" s="58">
        <f>MATCH(B2003,{"GENNAIO","FEBBRAIO","MARZO","APRILE","MAGGIO","GIUGNO","LUGLIO","AGOSTO","SETTEMBRE","OTTOBRE","NOVEMBRE","DICEMBRE"},0)</f>
        <v>4</v>
      </c>
      <c r="E2003" s="57" t="str">
        <f t="shared" si="1236"/>
        <v>APRILE 2022</v>
      </c>
      <c r="F2003" s="57" t="str">
        <f t="shared" si="1237"/>
        <v>4 APRILE 2022</v>
      </c>
      <c r="G2003" s="59">
        <v>29.16</v>
      </c>
      <c r="H2003" s="1338" t="s">
        <v>91</v>
      </c>
      <c r="I2003" s="960" t="s">
        <v>988</v>
      </c>
      <c r="J2003" s="59" t="s">
        <v>768</v>
      </c>
      <c r="K2003" s="59"/>
    </row>
    <row r="2004" spans="1:11" x14ac:dyDescent="0.25">
      <c r="A2004" s="57" t="s">
        <v>998</v>
      </c>
      <c r="B2004" s="57" t="s">
        <v>159</v>
      </c>
      <c r="C2004" s="57">
        <v>2022</v>
      </c>
      <c r="D2004" s="58">
        <f>MATCH(B2004,{"GENNAIO","FEBBRAIO","MARZO","APRILE","MAGGIO","GIUGNO","LUGLIO","AGOSTO","SETTEMBRE","OTTOBRE","NOVEMBRE","DICEMBRE"},0)</f>
        <v>4</v>
      </c>
      <c r="E2004" s="57" t="str">
        <f t="shared" si="1236"/>
        <v>APRILE 2022</v>
      </c>
      <c r="F2004" s="57" t="str">
        <f t="shared" si="1237"/>
        <v>4 APRILE 2022</v>
      </c>
      <c r="G2004" s="60">
        <f>67.49*2</f>
        <v>134.97999999999999</v>
      </c>
      <c r="H2004" s="1338" t="s">
        <v>70</v>
      </c>
      <c r="I2004" s="960"/>
      <c r="J2004" s="59"/>
      <c r="K2004" s="59"/>
    </row>
    <row r="2005" spans="1:11" ht="18.95" customHeight="1" x14ac:dyDescent="0.25">
      <c r="A2005" s="57" t="s">
        <v>293</v>
      </c>
      <c r="B2005" s="57" t="s">
        <v>159</v>
      </c>
      <c r="C2005" s="57">
        <v>2022</v>
      </c>
      <c r="D2005" s="58">
        <f>MATCH(B2005,{"GENNAIO","FEBBRAIO","MARZO","APRILE","MAGGIO","GIUGNO","LUGLIO","AGOSTO","SETTEMBRE","OTTOBRE","NOVEMBRE","DICEMBRE"},0)</f>
        <v>4</v>
      </c>
      <c r="E2005" s="57" t="str">
        <f t="shared" si="1236"/>
        <v>APRILE 2022</v>
      </c>
      <c r="F2005" s="57" t="str">
        <f t="shared" si="1237"/>
        <v>4 APRILE 2022</v>
      </c>
      <c r="G2005" s="59">
        <v>10</v>
      </c>
      <c r="H2005" s="1338" t="s">
        <v>69</v>
      </c>
      <c r="I2005" s="960"/>
      <c r="J2005" s="59"/>
      <c r="K2005" s="59"/>
    </row>
    <row r="2006" spans="1:11" ht="18.600000000000001" customHeight="1" x14ac:dyDescent="0.25">
      <c r="A2006" s="57" t="s">
        <v>140</v>
      </c>
      <c r="B2006" s="57" t="s">
        <v>159</v>
      </c>
      <c r="C2006" s="57">
        <v>2022</v>
      </c>
      <c r="D2006" s="58">
        <f>MATCH(B2006,{"GENNAIO","FEBBRAIO","MARZO","APRILE","MAGGIO","GIUGNO","LUGLIO","AGOSTO","SETTEMBRE","OTTOBRE","NOVEMBRE","DICEMBRE"},0)</f>
        <v>4</v>
      </c>
      <c r="E2006" s="57" t="str">
        <f t="shared" si="1236"/>
        <v>APRILE 2022</v>
      </c>
      <c r="F2006" s="57" t="str">
        <f t="shared" si="1237"/>
        <v>4 APRILE 2022</v>
      </c>
      <c r="G2006" s="59">
        <v>88.2</v>
      </c>
      <c r="H2006" s="1338" t="s">
        <v>69</v>
      </c>
      <c r="I2006" s="960"/>
      <c r="J2006" s="59"/>
      <c r="K2006" s="59"/>
    </row>
    <row r="2007" spans="1:11" ht="14.25" customHeight="1" x14ac:dyDescent="0.25">
      <c r="A2007" s="57" t="s">
        <v>294</v>
      </c>
      <c r="B2007" s="57" t="s">
        <v>159</v>
      </c>
      <c r="C2007" s="57">
        <v>2022</v>
      </c>
      <c r="D2007" s="58">
        <f>MATCH(B2007,{"GENNAIO","FEBBRAIO","MARZO","APRILE","MAGGIO","GIUGNO","LUGLIO","AGOSTO","SETTEMBRE","OTTOBRE","NOVEMBRE","DICEMBRE"},0)</f>
        <v>4</v>
      </c>
      <c r="E2007" s="57" t="str">
        <f t="shared" si="1236"/>
        <v>APRILE 2022</v>
      </c>
      <c r="F2007" s="57" t="str">
        <f t="shared" si="1237"/>
        <v>4 APRILE 2022</v>
      </c>
      <c r="G2007" s="59">
        <v>20</v>
      </c>
      <c r="H2007" s="1338" t="s">
        <v>137</v>
      </c>
      <c r="I2007" s="960"/>
      <c r="J2007" s="59"/>
      <c r="K2007" s="59"/>
    </row>
    <row r="2008" spans="1:11" ht="18.95" customHeight="1" x14ac:dyDescent="0.25">
      <c r="A2008" s="57" t="s">
        <v>67</v>
      </c>
      <c r="B2008" s="57" t="s">
        <v>159</v>
      </c>
      <c r="C2008" s="57">
        <v>2022</v>
      </c>
      <c r="D2008" s="58">
        <f>MATCH(B2008,{"GENNAIO","FEBBRAIO","MARZO","APRILE","MAGGIO","GIUGNO","LUGLIO","AGOSTO","SETTEMBRE","OTTOBRE","NOVEMBRE","DICEMBRE"},0)</f>
        <v>4</v>
      </c>
      <c r="E2008" s="57" t="str">
        <f t="shared" si="1236"/>
        <v>APRILE 2022</v>
      </c>
      <c r="F2008" s="57" t="str">
        <f t="shared" si="1237"/>
        <v>4 APRILE 2022</v>
      </c>
      <c r="G2008" s="59">
        <v>5</v>
      </c>
      <c r="H2008" s="1338" t="s">
        <v>776</v>
      </c>
      <c r="I2008" s="960"/>
      <c r="J2008" s="59"/>
      <c r="K2008" s="59"/>
    </row>
    <row r="2009" spans="1:11" ht="16.5" customHeight="1" x14ac:dyDescent="0.25">
      <c r="A2009" s="57" t="s">
        <v>76</v>
      </c>
      <c r="B2009" s="57" t="s">
        <v>159</v>
      </c>
      <c r="C2009" s="57">
        <v>2022</v>
      </c>
      <c r="D2009" s="58">
        <f>MATCH(B2009,{"GENNAIO","FEBBRAIO","MARZO","APRILE","MAGGIO","GIUGNO","LUGLIO","AGOSTO","SETTEMBRE","OTTOBRE","NOVEMBRE","DICEMBRE"},0)</f>
        <v>4</v>
      </c>
      <c r="E2009" s="57" t="str">
        <f t="shared" si="1236"/>
        <v>APRILE 2022</v>
      </c>
      <c r="F2009" s="57" t="str">
        <f t="shared" si="1237"/>
        <v>4 APRILE 2022</v>
      </c>
      <c r="G2009" s="59">
        <v>27.32</v>
      </c>
      <c r="H2009" s="1338" t="s">
        <v>77</v>
      </c>
      <c r="I2009" s="960"/>
      <c r="J2009" s="59"/>
      <c r="K2009" s="59"/>
    </row>
    <row r="2010" spans="1:11" x14ac:dyDescent="0.25">
      <c r="A2010" s="57" t="s">
        <v>295</v>
      </c>
      <c r="B2010" s="57" t="s">
        <v>168</v>
      </c>
      <c r="C2010" s="57">
        <v>2022</v>
      </c>
      <c r="D2010" s="58">
        <f>MATCH(B2010,{"GENNAIO","FEBBRAIO","MARZO","APRILE","MAGGIO","GIUGNO","LUGLIO","AGOSTO","SETTEMBRE","OTTOBRE","NOVEMBRE","DICEMBRE"},0)</f>
        <v>3</v>
      </c>
      <c r="E2010" s="57" t="str">
        <f t="shared" ref="E2010:E2073" si="1238">CONCATENATE(,B2010," ",C2010)</f>
        <v>MARZO 2022</v>
      </c>
      <c r="F2010" s="57" t="str">
        <f t="shared" ref="F2010:F2073" si="1239">CONCATENATE(D2010," ",E2010)</f>
        <v>3 MARZO 2022</v>
      </c>
      <c r="G2010" s="59">
        <v>2.99</v>
      </c>
      <c r="H2010" s="1338" t="s">
        <v>74</v>
      </c>
      <c r="I2010" s="960"/>
      <c r="J2010" s="59" t="s">
        <v>768</v>
      </c>
      <c r="K2010" s="59"/>
    </row>
    <row r="2011" spans="1:11" x14ac:dyDescent="0.25">
      <c r="A2011" s="57" t="s">
        <v>296</v>
      </c>
      <c r="B2011" s="57" t="s">
        <v>168</v>
      </c>
      <c r="C2011" s="57">
        <v>2022</v>
      </c>
      <c r="D2011" s="58">
        <f>MATCH(B2011,{"GENNAIO","FEBBRAIO","MARZO","APRILE","MAGGIO","GIUGNO","LUGLIO","AGOSTO","SETTEMBRE","OTTOBRE","NOVEMBRE","DICEMBRE"},0)</f>
        <v>3</v>
      </c>
      <c r="E2011" s="57" t="str">
        <f t="shared" si="1238"/>
        <v>MARZO 2022</v>
      </c>
      <c r="F2011" s="57" t="str">
        <f t="shared" si="1239"/>
        <v>3 MARZO 2022</v>
      </c>
      <c r="G2011" s="59">
        <v>23.84</v>
      </c>
      <c r="H2011" s="1338" t="s">
        <v>166</v>
      </c>
      <c r="I2011" s="960"/>
      <c r="J2011" s="59"/>
      <c r="K2011" s="59"/>
    </row>
    <row r="2012" spans="1:11" ht="16.5" customHeight="1" x14ac:dyDescent="0.25">
      <c r="A2012" s="57" t="s">
        <v>232</v>
      </c>
      <c r="B2012" s="57" t="s">
        <v>168</v>
      </c>
      <c r="C2012" s="57">
        <v>2022</v>
      </c>
      <c r="D2012" s="58">
        <f>MATCH(B2012,{"GENNAIO","FEBBRAIO","MARZO","APRILE","MAGGIO","GIUGNO","LUGLIO","AGOSTO","SETTEMBRE","OTTOBRE","NOVEMBRE","DICEMBRE"},0)</f>
        <v>3</v>
      </c>
      <c r="E2012" s="57" t="str">
        <f t="shared" si="1238"/>
        <v>MARZO 2022</v>
      </c>
      <c r="F2012" s="57" t="str">
        <f t="shared" si="1239"/>
        <v>3 MARZO 2022</v>
      </c>
      <c r="G2012" s="59">
        <v>1.7</v>
      </c>
      <c r="H2012" s="1338" t="s">
        <v>91</v>
      </c>
      <c r="I2012" s="960"/>
      <c r="J2012" s="59"/>
      <c r="K2012" s="59"/>
    </row>
    <row r="2013" spans="1:11" x14ac:dyDescent="0.25">
      <c r="A2013" s="57" t="s">
        <v>998</v>
      </c>
      <c r="B2013" s="57" t="s">
        <v>168</v>
      </c>
      <c r="C2013" s="57">
        <v>2022</v>
      </c>
      <c r="D2013" s="58">
        <f>MATCH(B2013,{"GENNAIO","FEBBRAIO","MARZO","APRILE","MAGGIO","GIUGNO","LUGLIO","AGOSTO","SETTEMBRE","OTTOBRE","NOVEMBRE","DICEMBRE"},0)</f>
        <v>3</v>
      </c>
      <c r="E2013" s="57" t="str">
        <f t="shared" si="1238"/>
        <v>MARZO 2022</v>
      </c>
      <c r="F2013" s="57" t="str">
        <f t="shared" si="1239"/>
        <v>3 MARZO 2022</v>
      </c>
      <c r="G2013" s="60">
        <v>21.5</v>
      </c>
      <c r="H2013" s="1338" t="s">
        <v>70</v>
      </c>
      <c r="I2013" s="960"/>
      <c r="J2013" s="59"/>
      <c r="K2013" s="59"/>
    </row>
    <row r="2014" spans="1:11" ht="18.95" customHeight="1" x14ac:dyDescent="0.25">
      <c r="A2014" s="57" t="s">
        <v>218</v>
      </c>
      <c r="B2014" s="57" t="s">
        <v>168</v>
      </c>
      <c r="C2014" s="57">
        <v>2022</v>
      </c>
      <c r="D2014" s="58">
        <f>MATCH(B2014,{"GENNAIO","FEBBRAIO","MARZO","APRILE","MAGGIO","GIUGNO","LUGLIO","AGOSTO","SETTEMBRE","OTTOBRE","NOVEMBRE","DICEMBRE"},0)</f>
        <v>3</v>
      </c>
      <c r="E2014" s="57" t="str">
        <f t="shared" si="1238"/>
        <v>MARZO 2022</v>
      </c>
      <c r="F2014" s="57" t="str">
        <f t="shared" si="1239"/>
        <v>3 MARZO 2022</v>
      </c>
      <c r="G2014" s="59">
        <v>20.99</v>
      </c>
      <c r="H2014" s="1338" t="s">
        <v>137</v>
      </c>
      <c r="I2014" s="960"/>
      <c r="J2014" s="59"/>
      <c r="K2014" s="59"/>
    </row>
    <row r="2015" spans="1:11" ht="16.5" customHeight="1" x14ac:dyDescent="0.25">
      <c r="A2015" s="57" t="s">
        <v>278</v>
      </c>
      <c r="B2015" s="57" t="s">
        <v>168</v>
      </c>
      <c r="C2015" s="57">
        <v>2022</v>
      </c>
      <c r="D2015" s="58">
        <f>MATCH(B2015,{"GENNAIO","FEBBRAIO","MARZO","APRILE","MAGGIO","GIUGNO","LUGLIO","AGOSTO","SETTEMBRE","OTTOBRE","NOVEMBRE","DICEMBRE"},0)</f>
        <v>3</v>
      </c>
      <c r="E2015" s="57" t="str">
        <f t="shared" si="1238"/>
        <v>MARZO 2022</v>
      </c>
      <c r="F2015" s="57" t="str">
        <f t="shared" si="1239"/>
        <v>3 MARZO 2022</v>
      </c>
      <c r="G2015" s="59">
        <v>33</v>
      </c>
      <c r="H2015" s="1338" t="s">
        <v>114</v>
      </c>
      <c r="I2015" s="960"/>
      <c r="J2015" s="59"/>
      <c r="K2015" s="59"/>
    </row>
    <row r="2016" spans="1:11" ht="16.5" customHeight="1" x14ac:dyDescent="0.25">
      <c r="A2016" s="57" t="s">
        <v>289</v>
      </c>
      <c r="B2016" s="57" t="s">
        <v>168</v>
      </c>
      <c r="C2016" s="57">
        <v>2022</v>
      </c>
      <c r="D2016" s="58">
        <f>MATCH(B2016,{"GENNAIO","FEBBRAIO","MARZO","APRILE","MAGGIO","GIUGNO","LUGLIO","AGOSTO","SETTEMBRE","OTTOBRE","NOVEMBRE","DICEMBRE"},0)</f>
        <v>3</v>
      </c>
      <c r="E2016" s="57" t="str">
        <f t="shared" si="1238"/>
        <v>MARZO 2022</v>
      </c>
      <c r="F2016" s="57" t="str">
        <f t="shared" si="1239"/>
        <v>3 MARZO 2022</v>
      </c>
      <c r="G2016" s="59">
        <v>29.16</v>
      </c>
      <c r="H2016" s="1338" t="s">
        <v>91</v>
      </c>
      <c r="I2016" s="960" t="s">
        <v>993</v>
      </c>
      <c r="J2016" s="59" t="s">
        <v>768</v>
      </c>
      <c r="K2016" s="59"/>
    </row>
    <row r="2017" spans="1:11" ht="18.600000000000001" customHeight="1" x14ac:dyDescent="0.25">
      <c r="A2017" s="57" t="s">
        <v>83</v>
      </c>
      <c r="B2017" s="57" t="s">
        <v>168</v>
      </c>
      <c r="C2017" s="57">
        <v>2022</v>
      </c>
      <c r="D2017" s="58">
        <f>MATCH(B2017,{"GENNAIO","FEBBRAIO","MARZO","APRILE","MAGGIO","GIUGNO","LUGLIO","AGOSTO","SETTEMBRE","OTTOBRE","NOVEMBRE","DICEMBRE"},0)</f>
        <v>3</v>
      </c>
      <c r="E2017" s="57" t="str">
        <f t="shared" si="1238"/>
        <v>MARZO 2022</v>
      </c>
      <c r="F2017" s="57" t="str">
        <f t="shared" si="1239"/>
        <v>3 MARZO 2022</v>
      </c>
      <c r="G2017" s="59">
        <v>11.16</v>
      </c>
      <c r="H2017" s="1338" t="s">
        <v>77</v>
      </c>
      <c r="I2017" s="960"/>
      <c r="J2017" s="59"/>
      <c r="K2017" s="59"/>
    </row>
    <row r="2018" spans="1:11" x14ac:dyDescent="0.25">
      <c r="A2018" s="57" t="s">
        <v>108</v>
      </c>
      <c r="B2018" s="57" t="s">
        <v>168</v>
      </c>
      <c r="C2018" s="57">
        <v>2022</v>
      </c>
      <c r="D2018" s="58">
        <f>MATCH(B2018,{"GENNAIO","FEBBRAIO","MARZO","APRILE","MAGGIO","GIUGNO","LUGLIO","AGOSTO","SETTEMBRE","OTTOBRE","NOVEMBRE","DICEMBRE"},0)</f>
        <v>3</v>
      </c>
      <c r="E2018" s="57" t="str">
        <f t="shared" si="1238"/>
        <v>MARZO 2022</v>
      </c>
      <c r="F2018" s="57" t="str">
        <f t="shared" si="1239"/>
        <v>3 MARZO 2022</v>
      </c>
      <c r="G2018" s="59">
        <v>31.44</v>
      </c>
      <c r="H2018" s="1338" t="s">
        <v>75</v>
      </c>
      <c r="I2018" s="960"/>
      <c r="J2018" s="57" t="s">
        <v>108</v>
      </c>
      <c r="K2018" s="59"/>
    </row>
    <row r="2019" spans="1:11" x14ac:dyDescent="0.25">
      <c r="A2019" s="57" t="s">
        <v>108</v>
      </c>
      <c r="B2019" s="57" t="s">
        <v>168</v>
      </c>
      <c r="C2019" s="57">
        <v>2022</v>
      </c>
      <c r="D2019" s="58">
        <f>MATCH(B2019,{"GENNAIO","FEBBRAIO","MARZO","APRILE","MAGGIO","GIUGNO","LUGLIO","AGOSTO","SETTEMBRE","OTTOBRE","NOVEMBRE","DICEMBRE"},0)</f>
        <v>3</v>
      </c>
      <c r="E2019" s="57" t="str">
        <f t="shared" si="1238"/>
        <v>MARZO 2022</v>
      </c>
      <c r="F2019" s="57" t="str">
        <f t="shared" si="1239"/>
        <v>3 MARZO 2022</v>
      </c>
      <c r="G2019" s="59">
        <v>15.49</v>
      </c>
      <c r="H2019" s="1338" t="s">
        <v>75</v>
      </c>
      <c r="I2019" s="960"/>
      <c r="J2019" s="57" t="s">
        <v>108</v>
      </c>
      <c r="K2019" s="59"/>
    </row>
    <row r="2020" spans="1:11" x14ac:dyDescent="0.25">
      <c r="A2020" s="57" t="s">
        <v>76</v>
      </c>
      <c r="B2020" s="57" t="s">
        <v>168</v>
      </c>
      <c r="C2020" s="57">
        <v>2022</v>
      </c>
      <c r="D2020" s="58">
        <f>MATCH(B2020,{"GENNAIO","FEBBRAIO","MARZO","APRILE","MAGGIO","GIUGNO","LUGLIO","AGOSTO","SETTEMBRE","OTTOBRE","NOVEMBRE","DICEMBRE"},0)</f>
        <v>3</v>
      </c>
      <c r="E2020" s="57" t="str">
        <f t="shared" si="1238"/>
        <v>MARZO 2022</v>
      </c>
      <c r="F2020" s="57" t="str">
        <f t="shared" si="1239"/>
        <v>3 MARZO 2022</v>
      </c>
      <c r="G2020" s="59">
        <v>47.26</v>
      </c>
      <c r="H2020" s="1338" t="s">
        <v>77</v>
      </c>
      <c r="I2020" s="960"/>
      <c r="J2020" s="59"/>
      <c r="K2020" s="59"/>
    </row>
    <row r="2021" spans="1:11" x14ac:dyDescent="0.25">
      <c r="A2021" s="57" t="s">
        <v>297</v>
      </c>
      <c r="B2021" s="57" t="s">
        <v>168</v>
      </c>
      <c r="C2021" s="57">
        <v>2022</v>
      </c>
      <c r="D2021" s="58">
        <f>MATCH(B2021,{"GENNAIO","FEBBRAIO","MARZO","APRILE","MAGGIO","GIUGNO","LUGLIO","AGOSTO","SETTEMBRE","OTTOBRE","NOVEMBRE","DICEMBRE"},0)</f>
        <v>3</v>
      </c>
      <c r="E2021" s="57" t="str">
        <f t="shared" si="1238"/>
        <v>MARZO 2022</v>
      </c>
      <c r="F2021" s="57" t="str">
        <f t="shared" si="1239"/>
        <v>3 MARZO 2022</v>
      </c>
      <c r="G2021" s="59">
        <v>3.82</v>
      </c>
      <c r="H2021" s="1338" t="s">
        <v>69</v>
      </c>
      <c r="I2021" s="960"/>
      <c r="J2021" s="59"/>
      <c r="K2021" s="59"/>
    </row>
    <row r="2022" spans="1:11" ht="16.5" customHeight="1" x14ac:dyDescent="0.25">
      <c r="A2022" s="57" t="s">
        <v>297</v>
      </c>
      <c r="B2022" s="57" t="s">
        <v>168</v>
      </c>
      <c r="C2022" s="57">
        <v>2022</v>
      </c>
      <c r="D2022" s="58">
        <f>MATCH(B2022,{"GENNAIO","FEBBRAIO","MARZO","APRILE","MAGGIO","GIUGNO","LUGLIO","AGOSTO","SETTEMBRE","OTTOBRE","NOVEMBRE","DICEMBRE"},0)</f>
        <v>3</v>
      </c>
      <c r="E2022" s="57" t="str">
        <f t="shared" si="1238"/>
        <v>MARZO 2022</v>
      </c>
      <c r="F2022" s="57" t="str">
        <f t="shared" si="1239"/>
        <v>3 MARZO 2022</v>
      </c>
      <c r="G2022" s="59">
        <v>7.43</v>
      </c>
      <c r="H2022" s="1338" t="s">
        <v>69</v>
      </c>
      <c r="I2022" s="960"/>
      <c r="J2022" s="59"/>
      <c r="K2022" s="59"/>
    </row>
    <row r="2023" spans="1:11" x14ac:dyDescent="0.25">
      <c r="A2023" s="57" t="s">
        <v>297</v>
      </c>
      <c r="B2023" s="57" t="s">
        <v>168</v>
      </c>
      <c r="C2023" s="57">
        <v>2022</v>
      </c>
      <c r="D2023" s="58">
        <f>MATCH(B2023,{"GENNAIO","FEBBRAIO","MARZO","APRILE","MAGGIO","GIUGNO","LUGLIO","AGOSTO","SETTEMBRE","OTTOBRE","NOVEMBRE","DICEMBRE"},0)</f>
        <v>3</v>
      </c>
      <c r="E2023" s="57" t="str">
        <f t="shared" si="1238"/>
        <v>MARZO 2022</v>
      </c>
      <c r="F2023" s="57" t="str">
        <f t="shared" si="1239"/>
        <v>3 MARZO 2022</v>
      </c>
      <c r="G2023" s="59">
        <v>2.4900000000000002</v>
      </c>
      <c r="H2023" s="1338" t="s">
        <v>69</v>
      </c>
      <c r="I2023" s="960"/>
      <c r="J2023" s="59"/>
      <c r="K2023" s="59"/>
    </row>
    <row r="2024" spans="1:11" ht="18.95" customHeight="1" x14ac:dyDescent="0.25">
      <c r="A2024" s="57" t="s">
        <v>998</v>
      </c>
      <c r="B2024" s="57" t="s">
        <v>176</v>
      </c>
      <c r="C2024" s="57">
        <v>2022</v>
      </c>
      <c r="D2024" s="58">
        <f>MATCH(B2024,{"GENNAIO","FEBBRAIO","MARZO","APRILE","MAGGIO","GIUGNO","LUGLIO","AGOSTO","SETTEMBRE","OTTOBRE","NOVEMBRE","DICEMBRE"},0)</f>
        <v>2</v>
      </c>
      <c r="E2024" s="57" t="str">
        <f t="shared" si="1238"/>
        <v>FEBBRAIO 2022</v>
      </c>
      <c r="F2024" s="57" t="str">
        <f t="shared" si="1239"/>
        <v>2 FEBBRAIO 2022</v>
      </c>
      <c r="G2024" s="60">
        <v>23</v>
      </c>
      <c r="H2024" s="1338" t="s">
        <v>70</v>
      </c>
      <c r="I2024" s="960"/>
      <c r="J2024" s="59"/>
      <c r="K2024" s="59"/>
    </row>
    <row r="2025" spans="1:11" ht="16.5" customHeight="1" x14ac:dyDescent="0.25">
      <c r="A2025" s="57" t="s">
        <v>251</v>
      </c>
      <c r="B2025" s="57" t="s">
        <v>176</v>
      </c>
      <c r="C2025" s="57">
        <v>2022</v>
      </c>
      <c r="D2025" s="58">
        <f>MATCH(B2025,{"GENNAIO","FEBBRAIO","MARZO","APRILE","MAGGIO","GIUGNO","LUGLIO","AGOSTO","SETTEMBRE","OTTOBRE","NOVEMBRE","DICEMBRE"},0)</f>
        <v>2</v>
      </c>
      <c r="E2025" s="57" t="str">
        <f t="shared" si="1238"/>
        <v>FEBBRAIO 2022</v>
      </c>
      <c r="F2025" s="57" t="str">
        <f t="shared" si="1239"/>
        <v>2 FEBBRAIO 2022</v>
      </c>
      <c r="G2025" s="59">
        <v>13</v>
      </c>
      <c r="H2025" s="1338" t="s">
        <v>69</v>
      </c>
      <c r="I2025" s="960"/>
      <c r="J2025" s="59"/>
      <c r="K2025" s="59"/>
    </row>
    <row r="2026" spans="1:11" ht="18.95" customHeight="1" x14ac:dyDescent="0.25">
      <c r="A2026" s="57" t="s">
        <v>67</v>
      </c>
      <c r="B2026" s="57" t="s">
        <v>176</v>
      </c>
      <c r="C2026" s="57">
        <v>2022</v>
      </c>
      <c r="D2026" s="58">
        <f>MATCH(B2026,{"GENNAIO","FEBBRAIO","MARZO","APRILE","MAGGIO","GIUGNO","LUGLIO","AGOSTO","SETTEMBRE","OTTOBRE","NOVEMBRE","DICEMBRE"},0)</f>
        <v>2</v>
      </c>
      <c r="E2026" s="57" t="str">
        <f t="shared" si="1238"/>
        <v>FEBBRAIO 2022</v>
      </c>
      <c r="F2026" s="57" t="str">
        <f t="shared" si="1239"/>
        <v>2 FEBBRAIO 2022</v>
      </c>
      <c r="G2026" s="59">
        <v>5</v>
      </c>
      <c r="H2026" s="1338" t="s">
        <v>776</v>
      </c>
      <c r="I2026" s="960"/>
      <c r="J2026" s="59"/>
      <c r="K2026" s="59"/>
    </row>
    <row r="2027" spans="1:11" x14ac:dyDescent="0.25">
      <c r="A2027" s="57" t="s">
        <v>286</v>
      </c>
      <c r="B2027" s="57" t="s">
        <v>176</v>
      </c>
      <c r="C2027" s="57">
        <v>2022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238"/>
        <v>FEBBRAIO 2022</v>
      </c>
      <c r="F2027" s="57" t="str">
        <f t="shared" si="1239"/>
        <v>2 FEBBRAIO 2022</v>
      </c>
      <c r="G2027" s="59">
        <v>5</v>
      </c>
      <c r="H2027" s="1338" t="s">
        <v>69</v>
      </c>
      <c r="I2027" s="960"/>
      <c r="J2027" s="59"/>
      <c r="K2027" s="59"/>
    </row>
    <row r="2028" spans="1:11" x14ac:dyDescent="0.25">
      <c r="A2028" s="57" t="s">
        <v>232</v>
      </c>
      <c r="B2028" s="57" t="s">
        <v>176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38"/>
        <v>FEBBRAIO 2022</v>
      </c>
      <c r="F2028" s="57" t="str">
        <f t="shared" si="1239"/>
        <v>2 FEBBRAIO 2022</v>
      </c>
      <c r="G2028" s="59">
        <v>1.7</v>
      </c>
      <c r="H2028" s="1338" t="s">
        <v>91</v>
      </c>
      <c r="I2028" s="960"/>
      <c r="J2028" s="59"/>
      <c r="K2028" s="59"/>
    </row>
    <row r="2029" spans="1:11" ht="18.600000000000001" customHeight="1" x14ac:dyDescent="0.25">
      <c r="A2029" s="57" t="s">
        <v>121</v>
      </c>
      <c r="B2029" s="57" t="s">
        <v>176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38"/>
        <v>FEBBRAIO 2022</v>
      </c>
      <c r="F2029" s="57" t="str">
        <f t="shared" si="1239"/>
        <v>2 FEBBRAIO 2022</v>
      </c>
      <c r="G2029" s="59">
        <v>0.4</v>
      </c>
      <c r="H2029" s="1338" t="s">
        <v>777</v>
      </c>
      <c r="I2029" s="960"/>
      <c r="J2029" s="59"/>
      <c r="K2029" s="59"/>
    </row>
    <row r="2030" spans="1:11" ht="18.95" customHeight="1" x14ac:dyDescent="0.25">
      <c r="A2030" s="57" t="s">
        <v>79</v>
      </c>
      <c r="B2030" s="57" t="s">
        <v>176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38"/>
        <v>FEBBRAIO 2022</v>
      </c>
      <c r="F2030" s="57" t="str">
        <f t="shared" si="1239"/>
        <v>2 FEBBRAIO 2022</v>
      </c>
      <c r="G2030" s="59">
        <v>3.7</v>
      </c>
      <c r="H2030" s="1338" t="s">
        <v>81</v>
      </c>
      <c r="I2030" s="960"/>
      <c r="J2030" s="59"/>
      <c r="K2030" s="59"/>
    </row>
    <row r="2031" spans="1:11" ht="18.95" customHeight="1" x14ac:dyDescent="0.25">
      <c r="A2031" s="57" t="s">
        <v>108</v>
      </c>
      <c r="B2031" s="57" t="s">
        <v>176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38"/>
        <v>FEBBRAIO 2022</v>
      </c>
      <c r="F2031" s="57" t="str">
        <f t="shared" si="1239"/>
        <v>2 FEBBRAIO 2022</v>
      </c>
      <c r="G2031" s="59">
        <v>19.25</v>
      </c>
      <c r="H2031" s="1338" t="s">
        <v>75</v>
      </c>
      <c r="I2031" s="960" t="s">
        <v>1045</v>
      </c>
      <c r="J2031" s="57" t="s">
        <v>108</v>
      </c>
      <c r="K2031" s="59"/>
    </row>
    <row r="2032" spans="1:11" ht="18.95" customHeight="1" x14ac:dyDescent="0.25">
      <c r="A2032" s="57" t="s">
        <v>164</v>
      </c>
      <c r="B2032" s="57" t="s">
        <v>176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38"/>
        <v>FEBBRAIO 2022</v>
      </c>
      <c r="F2032" s="57" t="str">
        <f t="shared" si="1239"/>
        <v>2 FEBBRAIO 2022</v>
      </c>
      <c r="G2032" s="59">
        <v>37.92</v>
      </c>
      <c r="H2032" s="1338" t="s">
        <v>77</v>
      </c>
      <c r="I2032" s="960"/>
      <c r="J2032" s="59"/>
      <c r="K2032" s="59"/>
    </row>
    <row r="2033" spans="1:11" ht="18.95" customHeight="1" x14ac:dyDescent="0.25">
      <c r="A2033" s="57" t="s">
        <v>121</v>
      </c>
      <c r="B2033" s="57" t="s">
        <v>176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38"/>
        <v>FEBBRAIO 2022</v>
      </c>
      <c r="F2033" s="57" t="str">
        <f t="shared" si="1239"/>
        <v>2 FEBBRAIO 2022</v>
      </c>
      <c r="G2033" s="59">
        <v>0.4</v>
      </c>
      <c r="H2033" s="1338" t="s">
        <v>777</v>
      </c>
      <c r="I2033" s="960"/>
      <c r="J2033" s="59"/>
      <c r="K2033" s="59"/>
    </row>
    <row r="2034" spans="1:11" ht="18.95" customHeight="1" x14ac:dyDescent="0.25">
      <c r="A2034" s="57" t="s">
        <v>121</v>
      </c>
      <c r="B2034" s="57" t="s">
        <v>176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38"/>
        <v>FEBBRAIO 2022</v>
      </c>
      <c r="F2034" s="57" t="str">
        <f t="shared" si="1239"/>
        <v>2 FEBBRAIO 2022</v>
      </c>
      <c r="G2034" s="59">
        <v>0.4</v>
      </c>
      <c r="H2034" s="1338" t="s">
        <v>777</v>
      </c>
      <c r="I2034" s="960"/>
      <c r="J2034" s="59"/>
      <c r="K2034" s="59"/>
    </row>
    <row r="2035" spans="1:11" ht="18.95" customHeight="1" x14ac:dyDescent="0.25">
      <c r="A2035" s="57" t="s">
        <v>121</v>
      </c>
      <c r="B2035" s="57" t="s">
        <v>176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38"/>
        <v>FEBBRAIO 2022</v>
      </c>
      <c r="F2035" s="57" t="str">
        <f t="shared" si="1239"/>
        <v>2 FEBBRAIO 2022</v>
      </c>
      <c r="G2035" s="59">
        <v>0.4</v>
      </c>
      <c r="H2035" s="1338" t="s">
        <v>777</v>
      </c>
      <c r="I2035" s="960"/>
      <c r="J2035" s="59"/>
      <c r="K2035" s="59"/>
    </row>
    <row r="2036" spans="1:11" ht="18.95" customHeight="1" x14ac:dyDescent="0.25">
      <c r="A2036" s="57" t="s">
        <v>121</v>
      </c>
      <c r="B2036" s="57" t="s">
        <v>176</v>
      </c>
      <c r="C2036" s="57">
        <v>2022</v>
      </c>
      <c r="D2036" s="58">
        <f>MATCH(B2036,{"GENNAIO","FEBBRAIO","MARZO","APRILE","MAGGIO","GIUGNO","LUGLIO","AGOSTO","SETTEMBRE","OTTOBRE","NOVEMBRE","DICEMBRE"},0)</f>
        <v>2</v>
      </c>
      <c r="E2036" s="57" t="str">
        <f t="shared" si="1238"/>
        <v>FEBBRAIO 2022</v>
      </c>
      <c r="F2036" s="57" t="str">
        <f t="shared" si="1239"/>
        <v>2 FEBBRAIO 2022</v>
      </c>
      <c r="G2036" s="59">
        <v>0.4</v>
      </c>
      <c r="H2036" s="1338" t="s">
        <v>777</v>
      </c>
      <c r="I2036" s="960"/>
      <c r="J2036" s="59"/>
      <c r="K2036" s="59"/>
    </row>
    <row r="2037" spans="1:11" ht="18.600000000000001" customHeight="1" x14ac:dyDescent="0.25">
      <c r="A2037" s="57" t="s">
        <v>298</v>
      </c>
      <c r="B2037" s="57" t="s">
        <v>176</v>
      </c>
      <c r="C2037" s="57">
        <v>2022</v>
      </c>
      <c r="D2037" s="58">
        <f>MATCH(B2037,{"GENNAIO","FEBBRAIO","MARZO","APRILE","MAGGIO","GIUGNO","LUGLIO","AGOSTO","SETTEMBRE","OTTOBRE","NOVEMBRE","DICEMBRE"},0)</f>
        <v>2</v>
      </c>
      <c r="E2037" s="57" t="str">
        <f t="shared" si="1238"/>
        <v>FEBBRAIO 2022</v>
      </c>
      <c r="F2037" s="57" t="str">
        <f t="shared" si="1239"/>
        <v>2 FEBBRAIO 2022</v>
      </c>
      <c r="G2037" s="59">
        <v>24.89</v>
      </c>
      <c r="H2037" s="1338" t="s">
        <v>155</v>
      </c>
      <c r="I2037" s="960"/>
      <c r="J2037" s="59"/>
      <c r="K2037" s="59" t="s">
        <v>299</v>
      </c>
    </row>
    <row r="2038" spans="1:11" ht="18.95" customHeight="1" x14ac:dyDescent="0.25">
      <c r="A2038" s="57" t="s">
        <v>71</v>
      </c>
      <c r="B2038" s="57" t="s">
        <v>176</v>
      </c>
      <c r="C2038" s="57">
        <v>2022</v>
      </c>
      <c r="D2038" s="58">
        <f>MATCH(B2038,{"GENNAIO","FEBBRAIO","MARZO","APRILE","MAGGIO","GIUGNO","LUGLIO","AGOSTO","SETTEMBRE","OTTOBRE","NOVEMBRE","DICEMBRE"},0)</f>
        <v>2</v>
      </c>
      <c r="E2038" s="57" t="str">
        <f t="shared" si="1238"/>
        <v>FEBBRAIO 2022</v>
      </c>
      <c r="F2038" s="57" t="str">
        <f t="shared" si="1239"/>
        <v>2 FEBBRAIO 2022</v>
      </c>
      <c r="G2038" s="59">
        <v>310</v>
      </c>
      <c r="H2038" s="1338" t="s">
        <v>74</v>
      </c>
      <c r="I2038" s="960"/>
      <c r="J2038" s="59"/>
      <c r="K2038" s="59"/>
    </row>
    <row r="2039" spans="1:11" ht="18.95" customHeight="1" x14ac:dyDescent="0.25">
      <c r="A2039" s="57" t="s">
        <v>121</v>
      </c>
      <c r="B2039" s="57" t="s">
        <v>176</v>
      </c>
      <c r="C2039" s="57">
        <v>2022</v>
      </c>
      <c r="D2039" s="58">
        <f>MATCH(B2039,{"GENNAIO","FEBBRAIO","MARZO","APRILE","MAGGIO","GIUGNO","LUGLIO","AGOSTO","SETTEMBRE","OTTOBRE","NOVEMBRE","DICEMBRE"},0)</f>
        <v>2</v>
      </c>
      <c r="E2039" s="57" t="str">
        <f t="shared" si="1238"/>
        <v>FEBBRAIO 2022</v>
      </c>
      <c r="F2039" s="57" t="str">
        <f t="shared" si="1239"/>
        <v>2 FEBBRAIO 2022</v>
      </c>
      <c r="G2039" s="59">
        <v>0.4</v>
      </c>
      <c r="H2039" s="1338" t="s">
        <v>777</v>
      </c>
      <c r="I2039" s="960"/>
      <c r="J2039" s="59"/>
      <c r="K2039" s="59"/>
    </row>
    <row r="2040" spans="1:11" ht="18.95" customHeight="1" x14ac:dyDescent="0.25">
      <c r="A2040" s="57" t="s">
        <v>76</v>
      </c>
      <c r="B2040" s="57" t="s">
        <v>176</v>
      </c>
      <c r="C2040" s="57">
        <v>2022</v>
      </c>
      <c r="D2040" s="58">
        <f>MATCH(B2040,{"GENNAIO","FEBBRAIO","MARZO","APRILE","MAGGIO","GIUGNO","LUGLIO","AGOSTO","SETTEMBRE","OTTOBRE","NOVEMBRE","DICEMBRE"},0)</f>
        <v>2</v>
      </c>
      <c r="E2040" s="57" t="str">
        <f t="shared" si="1238"/>
        <v>FEBBRAIO 2022</v>
      </c>
      <c r="F2040" s="57" t="str">
        <f t="shared" si="1239"/>
        <v>2 FEBBRAIO 2022</v>
      </c>
      <c r="G2040" s="59">
        <v>22.21</v>
      </c>
      <c r="H2040" s="1338" t="s">
        <v>77</v>
      </c>
      <c r="I2040" s="960"/>
      <c r="J2040" s="59"/>
      <c r="K2040" s="59"/>
    </row>
    <row r="2041" spans="1:11" ht="18.95" customHeight="1" x14ac:dyDescent="0.25">
      <c r="A2041" s="57" t="s">
        <v>83</v>
      </c>
      <c r="B2041" s="57" t="s">
        <v>176</v>
      </c>
      <c r="C2041" s="57">
        <v>2022</v>
      </c>
      <c r="D2041" s="58">
        <f>MATCH(B2041,{"GENNAIO","FEBBRAIO","MARZO","APRILE","MAGGIO","GIUGNO","LUGLIO","AGOSTO","SETTEMBRE","OTTOBRE","NOVEMBRE","DICEMBRE"},0)</f>
        <v>2</v>
      </c>
      <c r="E2041" s="57" t="str">
        <f t="shared" si="1238"/>
        <v>FEBBRAIO 2022</v>
      </c>
      <c r="F2041" s="57" t="str">
        <f t="shared" si="1239"/>
        <v>2 FEBBRAIO 2022</v>
      </c>
      <c r="G2041" s="59">
        <v>25.1</v>
      </c>
      <c r="H2041" s="1338" t="s">
        <v>77</v>
      </c>
      <c r="I2041" s="960"/>
      <c r="J2041" s="59"/>
      <c r="K2041" s="59"/>
    </row>
    <row r="2042" spans="1:11" ht="18.95" customHeight="1" x14ac:dyDescent="0.25">
      <c r="A2042" s="57" t="s">
        <v>83</v>
      </c>
      <c r="B2042" s="57" t="s">
        <v>176</v>
      </c>
      <c r="C2042" s="57">
        <v>2022</v>
      </c>
      <c r="D2042" s="58">
        <f>MATCH(B2042,{"GENNAIO","FEBBRAIO","MARZO","APRILE","MAGGIO","GIUGNO","LUGLIO","AGOSTO","SETTEMBRE","OTTOBRE","NOVEMBRE","DICEMBRE"},0)</f>
        <v>2</v>
      </c>
      <c r="E2042" s="57" t="str">
        <f t="shared" si="1238"/>
        <v>FEBBRAIO 2022</v>
      </c>
      <c r="F2042" s="57" t="str">
        <f t="shared" si="1239"/>
        <v>2 FEBBRAIO 2022</v>
      </c>
      <c r="G2042" s="59">
        <v>13.52</v>
      </c>
      <c r="H2042" s="1338" t="s">
        <v>77</v>
      </c>
      <c r="I2042" s="960"/>
      <c r="J2042" s="59"/>
      <c r="K2042" s="59"/>
    </row>
    <row r="2043" spans="1:11" ht="18.95" customHeight="1" x14ac:dyDescent="0.25">
      <c r="A2043" s="57" t="s">
        <v>121</v>
      </c>
      <c r="B2043" s="57" t="s">
        <v>176</v>
      </c>
      <c r="C2043" s="57">
        <v>2022</v>
      </c>
      <c r="D2043" s="58">
        <f>MATCH(B2043,{"GENNAIO","FEBBRAIO","MARZO","APRILE","MAGGIO","GIUGNO","LUGLIO","AGOSTO","SETTEMBRE","OTTOBRE","NOVEMBRE","DICEMBRE"},0)</f>
        <v>2</v>
      </c>
      <c r="E2043" s="57" t="str">
        <f t="shared" si="1238"/>
        <v>FEBBRAIO 2022</v>
      </c>
      <c r="F2043" s="57" t="str">
        <f t="shared" si="1239"/>
        <v>2 FEBBRAIO 2022</v>
      </c>
      <c r="G2043" s="59">
        <v>0.4</v>
      </c>
      <c r="H2043" s="1338" t="s">
        <v>777</v>
      </c>
      <c r="I2043" s="960"/>
      <c r="J2043" s="59"/>
      <c r="K2043" s="59"/>
    </row>
    <row r="2044" spans="1:11" ht="18.95" customHeight="1" x14ac:dyDescent="0.25">
      <c r="A2044" s="57" t="s">
        <v>298</v>
      </c>
      <c r="B2044" s="57" t="s">
        <v>176</v>
      </c>
      <c r="C2044" s="57">
        <v>2022</v>
      </c>
      <c r="D2044" s="58">
        <f>MATCH(B2044,{"GENNAIO","FEBBRAIO","MARZO","APRILE","MAGGIO","GIUGNO","LUGLIO","AGOSTO","SETTEMBRE","OTTOBRE","NOVEMBRE","DICEMBRE"},0)</f>
        <v>2</v>
      </c>
      <c r="E2044" s="57" t="str">
        <f t="shared" si="1238"/>
        <v>FEBBRAIO 2022</v>
      </c>
      <c r="F2044" s="57" t="str">
        <f t="shared" si="1239"/>
        <v>2 FEBBRAIO 2022</v>
      </c>
      <c r="G2044" s="59">
        <v>45.89</v>
      </c>
      <c r="H2044" s="1338" t="s">
        <v>155</v>
      </c>
      <c r="I2044" s="960"/>
      <c r="J2044" s="59"/>
      <c r="K2044" s="59" t="s">
        <v>299</v>
      </c>
    </row>
    <row r="2045" spans="1:11" ht="18.95" customHeight="1" x14ac:dyDescent="0.25">
      <c r="A2045" s="57" t="s">
        <v>79</v>
      </c>
      <c r="B2045" s="57" t="s">
        <v>176</v>
      </c>
      <c r="C2045" s="57">
        <v>2022</v>
      </c>
      <c r="D2045" s="58">
        <f>MATCH(B2045,{"GENNAIO","FEBBRAIO","MARZO","APRILE","MAGGIO","GIUGNO","LUGLIO","AGOSTO","SETTEMBRE","OTTOBRE","NOVEMBRE","DICEMBRE"},0)</f>
        <v>2</v>
      </c>
      <c r="E2045" s="57" t="str">
        <f t="shared" si="1238"/>
        <v>FEBBRAIO 2022</v>
      </c>
      <c r="F2045" s="57" t="str">
        <f t="shared" si="1239"/>
        <v>2 FEBBRAIO 2022</v>
      </c>
      <c r="G2045" s="59">
        <v>10.29</v>
      </c>
      <c r="H2045" s="1338" t="s">
        <v>155</v>
      </c>
      <c r="I2045" s="960"/>
      <c r="J2045" s="59"/>
      <c r="K2045" s="59" t="s">
        <v>299</v>
      </c>
    </row>
    <row r="2046" spans="1:11" ht="18.95" customHeight="1" x14ac:dyDescent="0.25">
      <c r="A2046" s="57" t="s">
        <v>298</v>
      </c>
      <c r="B2046" s="57" t="s">
        <v>176</v>
      </c>
      <c r="C2046" s="57">
        <v>2022</v>
      </c>
      <c r="D2046" s="58">
        <f>MATCH(B2046,{"GENNAIO","FEBBRAIO","MARZO","APRILE","MAGGIO","GIUGNO","LUGLIO","AGOSTO","SETTEMBRE","OTTOBRE","NOVEMBRE","DICEMBRE"},0)</f>
        <v>2</v>
      </c>
      <c r="E2046" s="57" t="str">
        <f t="shared" si="1238"/>
        <v>FEBBRAIO 2022</v>
      </c>
      <c r="F2046" s="57" t="str">
        <f t="shared" si="1239"/>
        <v>2 FEBBRAIO 2022</v>
      </c>
      <c r="G2046" s="59">
        <v>56.62</v>
      </c>
      <c r="H2046" s="1338" t="s">
        <v>155</v>
      </c>
      <c r="I2046" s="960"/>
      <c r="J2046" s="59"/>
      <c r="K2046" s="59" t="s">
        <v>299</v>
      </c>
    </row>
    <row r="2047" spans="1:11" ht="18.95" customHeight="1" x14ac:dyDescent="0.25">
      <c r="A2047" s="57" t="s">
        <v>121</v>
      </c>
      <c r="B2047" s="57" t="s">
        <v>183</v>
      </c>
      <c r="C2047" s="57">
        <v>2022</v>
      </c>
      <c r="D2047" s="58">
        <f>MATCH(B2047,{"GENNAIO","FEBBRAIO","MARZO","APRILE","MAGGIO","GIUGNO","LUGLIO","AGOSTO","SETTEMBRE","OTTOBRE","NOVEMBRE","DICEMBRE"},0)</f>
        <v>1</v>
      </c>
      <c r="E2047" s="57" t="str">
        <f t="shared" si="1238"/>
        <v>GENNAIO 2022</v>
      </c>
      <c r="F2047" s="57" t="str">
        <f t="shared" si="1239"/>
        <v>1 GENNAIO 2022</v>
      </c>
      <c r="G2047" s="59">
        <v>0.4</v>
      </c>
      <c r="H2047" s="1338" t="s">
        <v>777</v>
      </c>
      <c r="I2047" s="960"/>
      <c r="J2047" s="59"/>
      <c r="K2047" s="59"/>
    </row>
    <row r="2048" spans="1:11" ht="18.95" customHeight="1" x14ac:dyDescent="0.25">
      <c r="A2048" s="57" t="s">
        <v>121</v>
      </c>
      <c r="B2048" s="57" t="s">
        <v>183</v>
      </c>
      <c r="C2048" s="57">
        <v>2022</v>
      </c>
      <c r="D2048" s="58">
        <f>MATCH(B2048,{"GENNAIO","FEBBRAIO","MARZO","APRILE","MAGGIO","GIUGNO","LUGLIO","AGOSTO","SETTEMBRE","OTTOBRE","NOVEMBRE","DICEMBRE"},0)</f>
        <v>1</v>
      </c>
      <c r="E2048" s="57" t="str">
        <f t="shared" si="1238"/>
        <v>GENNAIO 2022</v>
      </c>
      <c r="F2048" s="57" t="str">
        <f t="shared" si="1239"/>
        <v>1 GENNAIO 2022</v>
      </c>
      <c r="G2048" s="59">
        <v>0.4</v>
      </c>
      <c r="H2048" s="1338" t="s">
        <v>777</v>
      </c>
      <c r="I2048" s="960"/>
      <c r="J2048" s="59"/>
      <c r="K2048" s="59"/>
    </row>
    <row r="2049" spans="1:11" ht="18.95" customHeight="1" x14ac:dyDescent="0.25">
      <c r="A2049" s="57" t="s">
        <v>121</v>
      </c>
      <c r="B2049" s="57" t="s">
        <v>183</v>
      </c>
      <c r="C2049" s="57">
        <v>2022</v>
      </c>
      <c r="D2049" s="58">
        <f>MATCH(B2049,{"GENNAIO","FEBBRAIO","MARZO","APRILE","MAGGIO","GIUGNO","LUGLIO","AGOSTO","SETTEMBRE","OTTOBRE","NOVEMBRE","DICEMBRE"},0)</f>
        <v>1</v>
      </c>
      <c r="E2049" s="57" t="str">
        <f t="shared" si="1238"/>
        <v>GENNAIO 2022</v>
      </c>
      <c r="F2049" s="57" t="str">
        <f t="shared" si="1239"/>
        <v>1 GENNAIO 2022</v>
      </c>
      <c r="G2049" s="59">
        <v>0.4</v>
      </c>
      <c r="H2049" s="1338" t="s">
        <v>777</v>
      </c>
      <c r="I2049" s="960"/>
      <c r="J2049" s="59"/>
      <c r="K2049" s="59"/>
    </row>
    <row r="2050" spans="1:11" ht="18.95" customHeight="1" x14ac:dyDescent="0.25">
      <c r="A2050" s="57" t="s">
        <v>300</v>
      </c>
      <c r="B2050" s="57" t="s">
        <v>183</v>
      </c>
      <c r="C2050" s="57">
        <v>2022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238"/>
        <v>GENNAIO 2022</v>
      </c>
      <c r="F2050" s="57" t="str">
        <f t="shared" si="1239"/>
        <v>1 GENNAIO 2022</v>
      </c>
      <c r="G2050" s="59">
        <v>24.5</v>
      </c>
      <c r="H2050" s="1338" t="s">
        <v>69</v>
      </c>
      <c r="I2050" s="960"/>
      <c r="J2050" s="59"/>
      <c r="K2050" s="59"/>
    </row>
    <row r="2051" spans="1:11" ht="18.95" customHeight="1" x14ac:dyDescent="0.25">
      <c r="A2051" s="57" t="s">
        <v>121</v>
      </c>
      <c r="B2051" s="57" t="s">
        <v>183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38"/>
        <v>GENNAIO 2022</v>
      </c>
      <c r="F2051" s="57" t="str">
        <f t="shared" si="1239"/>
        <v>1 GENNAIO 2022</v>
      </c>
      <c r="G2051" s="59">
        <v>0.4</v>
      </c>
      <c r="H2051" s="1338" t="s">
        <v>777</v>
      </c>
      <c r="I2051" s="960"/>
      <c r="J2051" s="59"/>
      <c r="K2051" s="59"/>
    </row>
    <row r="2052" spans="1:11" x14ac:dyDescent="0.25">
      <c r="A2052" s="57" t="s">
        <v>121</v>
      </c>
      <c r="B2052" s="57" t="s">
        <v>183</v>
      </c>
      <c r="C2052" s="57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38"/>
        <v>GENNAIO 2022</v>
      </c>
      <c r="F2052" s="57" t="str">
        <f t="shared" si="1239"/>
        <v>1 GENNAIO 2022</v>
      </c>
      <c r="G2052" s="59">
        <v>0.4</v>
      </c>
      <c r="H2052" s="1338" t="s">
        <v>777</v>
      </c>
      <c r="I2052" s="960"/>
      <c r="J2052" s="59"/>
      <c r="K2052" s="59"/>
    </row>
    <row r="2053" spans="1:11" x14ac:dyDescent="0.25">
      <c r="A2053" s="57" t="s">
        <v>121</v>
      </c>
      <c r="B2053" s="57" t="s">
        <v>183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38"/>
        <v>GENNAIO 2022</v>
      </c>
      <c r="F2053" s="57" t="str">
        <f t="shared" si="1239"/>
        <v>1 GENNAIO 2022</v>
      </c>
      <c r="G2053" s="59">
        <v>0.4</v>
      </c>
      <c r="H2053" s="1338" t="s">
        <v>777</v>
      </c>
      <c r="I2053" s="960"/>
      <c r="J2053" s="59"/>
      <c r="K2053" s="59"/>
    </row>
    <row r="2054" spans="1:11" ht="18.95" customHeight="1" x14ac:dyDescent="0.25">
      <c r="A2054" s="57" t="s">
        <v>121</v>
      </c>
      <c r="B2054" s="57" t="s">
        <v>183</v>
      </c>
      <c r="C2054" s="57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38"/>
        <v>GENNAIO 2022</v>
      </c>
      <c r="F2054" s="57" t="str">
        <f t="shared" si="1239"/>
        <v>1 GENNAIO 2022</v>
      </c>
      <c r="G2054" s="59">
        <v>0.4</v>
      </c>
      <c r="H2054" s="1338" t="s">
        <v>777</v>
      </c>
      <c r="I2054" s="960"/>
      <c r="J2054" s="59"/>
      <c r="K2054" s="59"/>
    </row>
    <row r="2055" spans="1:11" ht="18.95" customHeight="1" x14ac:dyDescent="0.25">
      <c r="A2055" s="57" t="s">
        <v>76</v>
      </c>
      <c r="B2055" s="57" t="s">
        <v>183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38"/>
        <v>GENNAIO 2022</v>
      </c>
      <c r="F2055" s="57" t="str">
        <f t="shared" si="1239"/>
        <v>1 GENNAIO 2022</v>
      </c>
      <c r="G2055" s="59">
        <v>23.84</v>
      </c>
      <c r="H2055" s="1338" t="s">
        <v>77</v>
      </c>
      <c r="I2055" s="960"/>
      <c r="J2055" s="59"/>
      <c r="K2055" s="59"/>
    </row>
    <row r="2056" spans="1:11" x14ac:dyDescent="0.25">
      <c r="A2056" s="57" t="s">
        <v>67</v>
      </c>
      <c r="B2056" s="57" t="s">
        <v>183</v>
      </c>
      <c r="C2056" s="57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38"/>
        <v>GENNAIO 2022</v>
      </c>
      <c r="F2056" s="57" t="str">
        <f t="shared" si="1239"/>
        <v>1 GENNAIO 2022</v>
      </c>
      <c r="G2056" s="59">
        <v>7.5</v>
      </c>
      <c r="H2056" s="1338" t="s">
        <v>69</v>
      </c>
      <c r="I2056" s="960"/>
      <c r="J2056" s="59"/>
      <c r="K2056" s="59"/>
    </row>
    <row r="2057" spans="1:11" ht="16.5" customHeight="1" x14ac:dyDescent="0.25">
      <c r="A2057" s="57" t="s">
        <v>121</v>
      </c>
      <c r="B2057" s="57" t="s">
        <v>183</v>
      </c>
      <c r="C2057" s="57">
        <v>2022</v>
      </c>
      <c r="D2057" s="58">
        <f>MATCH(B2057,{"GENNAIO","FEBBRAIO","MARZO","APRILE","MAGGIO","GIUGNO","LUGLIO","AGOSTO","SETTEMBRE","OTTOBRE","NOVEMBRE","DICEMBRE"},0)</f>
        <v>1</v>
      </c>
      <c r="E2057" s="57" t="str">
        <f t="shared" si="1238"/>
        <v>GENNAIO 2022</v>
      </c>
      <c r="F2057" s="57" t="str">
        <f t="shared" si="1239"/>
        <v>1 GENNAIO 2022</v>
      </c>
      <c r="G2057" s="59">
        <v>0.4</v>
      </c>
      <c r="H2057" s="1338" t="s">
        <v>777</v>
      </c>
      <c r="I2057" s="960"/>
      <c r="J2057" s="59"/>
      <c r="K2057" s="59"/>
    </row>
    <row r="2058" spans="1:11" x14ac:dyDescent="0.25">
      <c r="A2058" s="57" t="s">
        <v>121</v>
      </c>
      <c r="B2058" s="57" t="s">
        <v>183</v>
      </c>
      <c r="C2058" s="57">
        <v>2022</v>
      </c>
      <c r="D2058" s="58">
        <f>MATCH(B2058,{"GENNAIO","FEBBRAIO","MARZO","APRILE","MAGGIO","GIUGNO","LUGLIO","AGOSTO","SETTEMBRE","OTTOBRE","NOVEMBRE","DICEMBRE"},0)</f>
        <v>1</v>
      </c>
      <c r="E2058" s="57" t="str">
        <f t="shared" si="1238"/>
        <v>GENNAIO 2022</v>
      </c>
      <c r="F2058" s="57" t="str">
        <f t="shared" si="1239"/>
        <v>1 GENNAIO 2022</v>
      </c>
      <c r="G2058" s="59">
        <v>0.4</v>
      </c>
      <c r="H2058" s="1338" t="s">
        <v>777</v>
      </c>
      <c r="I2058" s="960"/>
      <c r="J2058" s="59"/>
      <c r="K2058" s="59"/>
    </row>
    <row r="2059" spans="1:11" ht="14.25" customHeight="1" x14ac:dyDescent="0.25">
      <c r="A2059" s="57" t="s">
        <v>108</v>
      </c>
      <c r="B2059" s="57" t="s">
        <v>183</v>
      </c>
      <c r="C2059" s="57">
        <v>2022</v>
      </c>
      <c r="D2059" s="58">
        <f>MATCH(B2059,{"GENNAIO","FEBBRAIO","MARZO","APRILE","MAGGIO","GIUGNO","LUGLIO","AGOSTO","SETTEMBRE","OTTOBRE","NOVEMBRE","DICEMBRE"},0)</f>
        <v>1</v>
      </c>
      <c r="E2059" s="57" t="str">
        <f t="shared" si="1238"/>
        <v>GENNAIO 2022</v>
      </c>
      <c r="F2059" s="57" t="str">
        <f t="shared" si="1239"/>
        <v>1 GENNAIO 2022</v>
      </c>
      <c r="G2059" s="59">
        <v>19.25</v>
      </c>
      <c r="H2059" s="1338" t="s">
        <v>75</v>
      </c>
      <c r="I2059" s="960" t="s">
        <v>1043</v>
      </c>
      <c r="J2059" s="57" t="s">
        <v>108</v>
      </c>
      <c r="K2059" s="59"/>
    </row>
    <row r="2060" spans="1:11" ht="16.5" customHeight="1" x14ac:dyDescent="0.25">
      <c r="A2060" s="57" t="s">
        <v>121</v>
      </c>
      <c r="B2060" s="57" t="s">
        <v>183</v>
      </c>
      <c r="C2060" s="57">
        <v>2022</v>
      </c>
      <c r="D2060" s="58">
        <f>MATCH(B2060,{"GENNAIO","FEBBRAIO","MARZO","APRILE","MAGGIO","GIUGNO","LUGLIO","AGOSTO","SETTEMBRE","OTTOBRE","NOVEMBRE","DICEMBRE"},0)</f>
        <v>1</v>
      </c>
      <c r="E2060" s="57" t="str">
        <f t="shared" si="1238"/>
        <v>GENNAIO 2022</v>
      </c>
      <c r="F2060" s="57" t="str">
        <f t="shared" si="1239"/>
        <v>1 GENNAIO 2022</v>
      </c>
      <c r="G2060" s="59">
        <v>0.4</v>
      </c>
      <c r="H2060" s="1338" t="s">
        <v>777</v>
      </c>
      <c r="I2060" s="960"/>
      <c r="J2060" s="59"/>
      <c r="K2060" s="59"/>
    </row>
    <row r="2061" spans="1:11" x14ac:dyDescent="0.25">
      <c r="A2061" s="57" t="s">
        <v>76</v>
      </c>
      <c r="B2061" s="57" t="s">
        <v>183</v>
      </c>
      <c r="C2061" s="57">
        <v>2022</v>
      </c>
      <c r="D2061" s="58">
        <f>MATCH(B2061,{"GENNAIO","FEBBRAIO","MARZO","APRILE","MAGGIO","GIUGNO","LUGLIO","AGOSTO","SETTEMBRE","OTTOBRE","NOVEMBRE","DICEMBRE"},0)</f>
        <v>1</v>
      </c>
      <c r="E2061" s="57" t="str">
        <f t="shared" si="1238"/>
        <v>GENNAIO 2022</v>
      </c>
      <c r="F2061" s="57" t="str">
        <f t="shared" si="1239"/>
        <v>1 GENNAIO 2022</v>
      </c>
      <c r="G2061" s="59">
        <v>19.170000000000002</v>
      </c>
      <c r="H2061" s="1338" t="s">
        <v>77</v>
      </c>
      <c r="I2061" s="960"/>
      <c r="J2061" s="59"/>
      <c r="K2061" s="59"/>
    </row>
    <row r="2062" spans="1:11" x14ac:dyDescent="0.25">
      <c r="A2062" s="57" t="s">
        <v>73</v>
      </c>
      <c r="B2062" s="57" t="s">
        <v>183</v>
      </c>
      <c r="C2062" s="57">
        <v>2022</v>
      </c>
      <c r="D2062" s="58">
        <f>MATCH(B2062,{"GENNAIO","FEBBRAIO","MARZO","APRILE","MAGGIO","GIUGNO","LUGLIO","AGOSTO","SETTEMBRE","OTTOBRE","NOVEMBRE","DICEMBRE"},0)</f>
        <v>1</v>
      </c>
      <c r="E2062" s="57" t="str">
        <f t="shared" si="1238"/>
        <v>GENNAIO 2022</v>
      </c>
      <c r="F2062" s="57" t="str">
        <f t="shared" si="1239"/>
        <v>1 GENNAIO 2022</v>
      </c>
      <c r="G2062" s="59">
        <v>25</v>
      </c>
      <c r="H2062" s="1338" t="s">
        <v>74</v>
      </c>
      <c r="I2062" s="960"/>
      <c r="J2062" s="59"/>
      <c r="K2062" s="59"/>
    </row>
    <row r="2063" spans="1:11" x14ac:dyDescent="0.25">
      <c r="A2063" s="57" t="s">
        <v>301</v>
      </c>
      <c r="B2063" s="61" t="s">
        <v>183</v>
      </c>
      <c r="C2063" s="61">
        <v>2022</v>
      </c>
      <c r="D2063" s="58">
        <f>MATCH(B2063,{"GENNAIO","FEBBRAIO","MARZO","APRILE","MAGGIO","GIUGNO","LUGLIO","AGOSTO","SETTEMBRE","OTTOBRE","NOVEMBRE","DICEMBRE"},0)</f>
        <v>1</v>
      </c>
      <c r="E2063" s="57" t="str">
        <f t="shared" si="1238"/>
        <v>GENNAIO 2022</v>
      </c>
      <c r="F2063" s="57" t="str">
        <f t="shared" si="1239"/>
        <v>1 GENNAIO 2022</v>
      </c>
      <c r="G2063" s="60">
        <v>18</v>
      </c>
      <c r="H2063" s="1338" t="s">
        <v>85</v>
      </c>
      <c r="I2063" s="960"/>
      <c r="J2063" s="59"/>
      <c r="K2063" s="59"/>
    </row>
    <row r="2064" spans="1:11" x14ac:dyDescent="0.25">
      <c r="A2064" s="57" t="s">
        <v>164</v>
      </c>
      <c r="B2064" s="57" t="s">
        <v>183</v>
      </c>
      <c r="C2064" s="57">
        <v>2022</v>
      </c>
      <c r="D2064" s="58">
        <f>MATCH(B2064,{"GENNAIO","FEBBRAIO","MARZO","APRILE","MAGGIO","GIUGNO","LUGLIO","AGOSTO","SETTEMBRE","OTTOBRE","NOVEMBRE","DICEMBRE"},0)</f>
        <v>1</v>
      </c>
      <c r="E2064" s="57" t="str">
        <f t="shared" si="1238"/>
        <v>GENNAIO 2022</v>
      </c>
      <c r="F2064" s="57" t="str">
        <f t="shared" si="1239"/>
        <v>1 GENNAIO 2022</v>
      </c>
      <c r="G2064" s="59">
        <v>58.27</v>
      </c>
      <c r="H2064" s="1338" t="s">
        <v>77</v>
      </c>
      <c r="I2064" s="960"/>
      <c r="J2064" s="59"/>
      <c r="K2064" s="59"/>
    </row>
    <row r="2065" spans="1:11" x14ac:dyDescent="0.25">
      <c r="A2065" s="57" t="s">
        <v>171</v>
      </c>
      <c r="B2065" s="57" t="s">
        <v>183</v>
      </c>
      <c r="C2065" s="57">
        <v>2022</v>
      </c>
      <c r="D2065" s="58">
        <f>MATCH(B2065,{"GENNAIO","FEBBRAIO","MARZO","APRILE","MAGGIO","GIUGNO","LUGLIO","AGOSTO","SETTEMBRE","OTTOBRE","NOVEMBRE","DICEMBRE"},0)</f>
        <v>1</v>
      </c>
      <c r="E2065" s="57" t="str">
        <f t="shared" si="1238"/>
        <v>GENNAIO 2022</v>
      </c>
      <c r="F2065" s="57" t="str">
        <f t="shared" si="1239"/>
        <v>1 GENNAIO 2022</v>
      </c>
      <c r="G2065" s="59">
        <v>34.950000000000003</v>
      </c>
      <c r="H2065" s="1338" t="s">
        <v>81</v>
      </c>
      <c r="I2065" s="960"/>
      <c r="J2065" s="59"/>
      <c r="K2065" s="59"/>
    </row>
    <row r="2066" spans="1:11" ht="16.5" customHeight="1" x14ac:dyDescent="0.25">
      <c r="A2066" s="57" t="s">
        <v>998</v>
      </c>
      <c r="B2066" s="57" t="s">
        <v>183</v>
      </c>
      <c r="C2066" s="57">
        <v>2022</v>
      </c>
      <c r="D2066" s="58">
        <f>MATCH(B2066,{"GENNAIO","FEBBRAIO","MARZO","APRILE","MAGGIO","GIUGNO","LUGLIO","AGOSTO","SETTEMBRE","OTTOBRE","NOVEMBRE","DICEMBRE"},0)</f>
        <v>1</v>
      </c>
      <c r="E2066" s="57" t="str">
        <f t="shared" si="1238"/>
        <v>GENNAIO 2022</v>
      </c>
      <c r="F2066" s="57" t="str">
        <f t="shared" si="1239"/>
        <v>1 GENNAIO 2022</v>
      </c>
      <c r="G2066" s="60">
        <v>45.45</v>
      </c>
      <c r="H2066" s="1338" t="s">
        <v>70</v>
      </c>
      <c r="I2066" s="960"/>
      <c r="J2066" s="59"/>
      <c r="K2066" s="59"/>
    </row>
    <row r="2067" spans="1:11" ht="16.5" customHeight="1" x14ac:dyDescent="0.25">
      <c r="A2067" s="57" t="s">
        <v>164</v>
      </c>
      <c r="B2067" s="57" t="s">
        <v>183</v>
      </c>
      <c r="C2067" s="57">
        <v>2022</v>
      </c>
      <c r="D2067" s="58">
        <f>MATCH(B2067,{"GENNAIO","FEBBRAIO","MARZO","APRILE","MAGGIO","GIUGNO","LUGLIO","AGOSTO","SETTEMBRE","OTTOBRE","NOVEMBRE","DICEMBRE"},0)</f>
        <v>1</v>
      </c>
      <c r="E2067" s="57" t="str">
        <f t="shared" si="1238"/>
        <v>GENNAIO 2022</v>
      </c>
      <c r="F2067" s="57" t="str">
        <f t="shared" si="1239"/>
        <v>1 GENNAIO 2022</v>
      </c>
      <c r="G2067" s="59">
        <v>32.86</v>
      </c>
      <c r="H2067" s="1338" t="s">
        <v>77</v>
      </c>
      <c r="I2067" s="960"/>
      <c r="J2067" s="59"/>
      <c r="K2067" s="59"/>
    </row>
    <row r="2068" spans="1:11" ht="16.5" customHeight="1" x14ac:dyDescent="0.25">
      <c r="A2068" s="57" t="s">
        <v>108</v>
      </c>
      <c r="B2068" s="57" t="s">
        <v>188</v>
      </c>
      <c r="C2068" s="57">
        <v>2021</v>
      </c>
      <c r="D2068" s="58">
        <f>MATCH(B2068,{"GENNAIO","FEBBRAIO","MARZO","APRILE","MAGGIO","GIUGNO","LUGLIO","AGOSTO","SETTEMBRE","OTTOBRE","NOVEMBRE","DICEMBRE"},0)</f>
        <v>12</v>
      </c>
      <c r="E2068" s="57" t="str">
        <f t="shared" si="1238"/>
        <v>DICEMBRE 2021</v>
      </c>
      <c r="F2068" s="57" t="str">
        <f t="shared" si="1239"/>
        <v>12 DICEMBRE 2021</v>
      </c>
      <c r="G2068" s="59">
        <v>1.99</v>
      </c>
      <c r="H2068" s="1338" t="s">
        <v>75</v>
      </c>
      <c r="I2068" s="960"/>
      <c r="J2068" s="57" t="s">
        <v>108</v>
      </c>
      <c r="K2068" s="59"/>
    </row>
    <row r="2069" spans="1:11" ht="16.5" customHeight="1" x14ac:dyDescent="0.25">
      <c r="A2069" s="57" t="s">
        <v>202</v>
      </c>
      <c r="B2069" s="57" t="s">
        <v>188</v>
      </c>
      <c r="C2069" s="57">
        <v>2021</v>
      </c>
      <c r="D2069" s="58">
        <f>MATCH(B2069,{"GENNAIO","FEBBRAIO","MARZO","APRILE","MAGGIO","GIUGNO","LUGLIO","AGOSTO","SETTEMBRE","OTTOBRE","NOVEMBRE","DICEMBRE"},0)</f>
        <v>12</v>
      </c>
      <c r="E2069" s="57" t="str">
        <f t="shared" si="1238"/>
        <v>DICEMBRE 2021</v>
      </c>
      <c r="F2069" s="57" t="str">
        <f t="shared" si="1239"/>
        <v>12 DICEMBRE 2021</v>
      </c>
      <c r="G2069" s="59">
        <v>25.9</v>
      </c>
      <c r="H2069" s="1338" t="s">
        <v>137</v>
      </c>
      <c r="I2069" s="960"/>
      <c r="J2069" s="59"/>
      <c r="K2069" s="59"/>
    </row>
    <row r="2070" spans="1:11" x14ac:dyDescent="0.25">
      <c r="A2070" s="57" t="s">
        <v>108</v>
      </c>
      <c r="B2070" s="57" t="s">
        <v>188</v>
      </c>
      <c r="C2070" s="57">
        <v>2021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238"/>
        <v>DICEMBRE 2021</v>
      </c>
      <c r="F2070" s="57" t="str">
        <f t="shared" si="1239"/>
        <v>12 DICEMBRE 2021</v>
      </c>
      <c r="G2070" s="59">
        <v>19.98</v>
      </c>
      <c r="H2070" s="1338" t="s">
        <v>75</v>
      </c>
      <c r="I2070" s="960"/>
      <c r="J2070" s="57" t="s">
        <v>108</v>
      </c>
      <c r="K2070" s="59"/>
    </row>
    <row r="2071" spans="1:11" ht="16.5" customHeight="1" x14ac:dyDescent="0.25">
      <c r="A2071" s="57" t="s">
        <v>302</v>
      </c>
      <c r="B2071" s="57" t="s">
        <v>188</v>
      </c>
      <c r="C2071" s="57">
        <v>2021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238"/>
        <v>DICEMBRE 2021</v>
      </c>
      <c r="F2071" s="57" t="str">
        <f t="shared" si="1239"/>
        <v>12 DICEMBRE 2021</v>
      </c>
      <c r="G2071" s="59">
        <v>30.14</v>
      </c>
      <c r="H2071" s="1338" t="s">
        <v>137</v>
      </c>
      <c r="I2071" s="960"/>
      <c r="J2071" s="59"/>
      <c r="K2071" s="59"/>
    </row>
    <row r="2072" spans="1:11" x14ac:dyDescent="0.25">
      <c r="A2072" s="57" t="s">
        <v>232</v>
      </c>
      <c r="B2072" s="57" t="s">
        <v>188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38"/>
        <v>DICEMBRE 2021</v>
      </c>
      <c r="F2072" s="57" t="str">
        <f t="shared" si="1239"/>
        <v>12 DICEMBRE 2021</v>
      </c>
      <c r="G2072" s="59">
        <v>1.7</v>
      </c>
      <c r="H2072" s="1338" t="s">
        <v>91</v>
      </c>
      <c r="I2072" s="960"/>
      <c r="J2072" s="59"/>
      <c r="K2072" s="59"/>
    </row>
    <row r="2073" spans="1:11" ht="16.5" customHeight="1" x14ac:dyDescent="0.25">
      <c r="A2073" s="57" t="s">
        <v>164</v>
      </c>
      <c r="B2073" s="57" t="s">
        <v>188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38"/>
        <v>DICEMBRE 2021</v>
      </c>
      <c r="F2073" s="57" t="str">
        <f t="shared" si="1239"/>
        <v>12 DICEMBRE 2021</v>
      </c>
      <c r="G2073" s="59">
        <v>21.05</v>
      </c>
      <c r="H2073" s="1338" t="s">
        <v>77</v>
      </c>
      <c r="I2073" s="960"/>
      <c r="J2073" s="59"/>
      <c r="K2073" s="59"/>
    </row>
    <row r="2074" spans="1:11" x14ac:dyDescent="0.25">
      <c r="A2074" s="57" t="s">
        <v>278</v>
      </c>
      <c r="B2074" s="57" t="s">
        <v>188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ref="E2074:E2137" si="1240">CONCATENATE(,B2074," ",C2074)</f>
        <v>DICEMBRE 2021</v>
      </c>
      <c r="F2074" s="57" t="str">
        <f t="shared" ref="F2074:F2137" si="1241">CONCATENATE(D2074," ",E2074)</f>
        <v>12 DICEMBRE 2021</v>
      </c>
      <c r="G2074" s="59">
        <v>33</v>
      </c>
      <c r="H2074" s="1338" t="s">
        <v>114</v>
      </c>
      <c r="I2074" s="960"/>
      <c r="J2074" s="59"/>
      <c r="K2074" s="59"/>
    </row>
    <row r="2075" spans="1:11" ht="16.5" customHeight="1" x14ac:dyDescent="0.25">
      <c r="A2075" s="57" t="s">
        <v>108</v>
      </c>
      <c r="B2075" s="57" t="s">
        <v>188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40"/>
        <v>DICEMBRE 2021</v>
      </c>
      <c r="F2075" s="57" t="str">
        <f t="shared" si="1241"/>
        <v>12 DICEMBRE 2021</v>
      </c>
      <c r="G2075" s="59">
        <v>19.25</v>
      </c>
      <c r="H2075" s="1338" t="s">
        <v>75</v>
      </c>
      <c r="I2075" s="960" t="s">
        <v>1044</v>
      </c>
      <c r="J2075" s="57" t="s">
        <v>108</v>
      </c>
      <c r="K2075" s="59"/>
    </row>
    <row r="2076" spans="1:11" ht="16.5" customHeight="1" x14ac:dyDescent="0.25">
      <c r="A2076" s="57" t="s">
        <v>171</v>
      </c>
      <c r="B2076" s="57" t="s">
        <v>188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240"/>
        <v>DICEMBRE 2021</v>
      </c>
      <c r="F2076" s="57" t="str">
        <f t="shared" si="1241"/>
        <v>12 DICEMBRE 2021</v>
      </c>
      <c r="G2076" s="59">
        <v>55.6</v>
      </c>
      <c r="H2076" s="1338" t="s">
        <v>81</v>
      </c>
      <c r="I2076" s="960"/>
      <c r="J2076" s="59"/>
      <c r="K2076" s="59"/>
    </row>
    <row r="2077" spans="1:11" ht="15.75" customHeight="1" x14ac:dyDescent="0.25">
      <c r="A2077" s="57" t="s">
        <v>164</v>
      </c>
      <c r="B2077" s="57" t="s">
        <v>188</v>
      </c>
      <c r="C2077" s="57">
        <v>2021</v>
      </c>
      <c r="D2077" s="58">
        <f>MATCH(B2077,{"GENNAIO","FEBBRAIO","MARZO","APRILE","MAGGIO","GIUGNO","LUGLIO","AGOSTO","SETTEMBRE","OTTOBRE","NOVEMBRE","DICEMBRE"},0)</f>
        <v>12</v>
      </c>
      <c r="E2077" s="57" t="str">
        <f t="shared" si="1240"/>
        <v>DICEMBRE 2021</v>
      </c>
      <c r="F2077" s="57" t="str">
        <f t="shared" si="1241"/>
        <v>12 DICEMBRE 2021</v>
      </c>
      <c r="G2077" s="59">
        <v>116.28</v>
      </c>
      <c r="H2077" s="1338" t="s">
        <v>77</v>
      </c>
      <c r="I2077" s="960"/>
      <c r="J2077" s="59"/>
      <c r="K2077" s="59" t="s">
        <v>195</v>
      </c>
    </row>
    <row r="2078" spans="1:11" ht="16.5" customHeight="1" x14ac:dyDescent="0.25">
      <c r="A2078" s="57" t="s">
        <v>177</v>
      </c>
      <c r="B2078" s="57" t="s">
        <v>188</v>
      </c>
      <c r="C2078" s="57">
        <v>2021</v>
      </c>
      <c r="D2078" s="58">
        <f>MATCH(B2078,{"GENNAIO","FEBBRAIO","MARZO","APRILE","MAGGIO","GIUGNO","LUGLIO","AGOSTO","SETTEMBRE","OTTOBRE","NOVEMBRE","DICEMBRE"},0)</f>
        <v>12</v>
      </c>
      <c r="E2078" s="57" t="str">
        <f t="shared" si="1240"/>
        <v>DICEMBRE 2021</v>
      </c>
      <c r="F2078" s="57" t="str">
        <f t="shared" si="1241"/>
        <v>12 DICEMBRE 2021</v>
      </c>
      <c r="G2078" s="59">
        <v>40</v>
      </c>
      <c r="H2078" s="1338" t="s">
        <v>69</v>
      </c>
      <c r="I2078" s="960"/>
      <c r="J2078" s="59"/>
      <c r="K2078" s="59" t="s">
        <v>195</v>
      </c>
    </row>
    <row r="2079" spans="1:11" ht="16.5" customHeight="1" x14ac:dyDescent="0.25">
      <c r="A2079" s="57" t="s">
        <v>121</v>
      </c>
      <c r="B2079" s="57" t="s">
        <v>188</v>
      </c>
      <c r="C2079" s="57">
        <v>2021</v>
      </c>
      <c r="D2079" s="58">
        <f>MATCH(B2079,{"GENNAIO","FEBBRAIO","MARZO","APRILE","MAGGIO","GIUGNO","LUGLIO","AGOSTO","SETTEMBRE","OTTOBRE","NOVEMBRE","DICEMBRE"},0)</f>
        <v>12</v>
      </c>
      <c r="E2079" s="57" t="str">
        <f t="shared" si="1240"/>
        <v>DICEMBRE 2021</v>
      </c>
      <c r="F2079" s="57" t="str">
        <f t="shared" si="1241"/>
        <v>12 DICEMBRE 2021</v>
      </c>
      <c r="G2079" s="59">
        <v>0.6</v>
      </c>
      <c r="H2079" s="1338" t="s">
        <v>777</v>
      </c>
      <c r="I2079" s="960"/>
      <c r="J2079" s="59"/>
      <c r="K2079" s="59"/>
    </row>
    <row r="2080" spans="1:11" ht="16.5" customHeight="1" x14ac:dyDescent="0.25">
      <c r="A2080" s="57" t="s">
        <v>83</v>
      </c>
      <c r="B2080" s="57" t="s">
        <v>188</v>
      </c>
      <c r="C2080" s="57">
        <v>2021</v>
      </c>
      <c r="D2080" s="58">
        <f>MATCH(B2080,{"GENNAIO","FEBBRAIO","MARZO","APRILE","MAGGIO","GIUGNO","LUGLIO","AGOSTO","SETTEMBRE","OTTOBRE","NOVEMBRE","DICEMBRE"},0)</f>
        <v>12</v>
      </c>
      <c r="E2080" s="57" t="str">
        <f t="shared" si="1240"/>
        <v>DICEMBRE 2021</v>
      </c>
      <c r="F2080" s="57" t="str">
        <f t="shared" si="1241"/>
        <v>12 DICEMBRE 2021</v>
      </c>
      <c r="G2080" s="59">
        <v>37.93</v>
      </c>
      <c r="H2080" s="1338" t="s">
        <v>77</v>
      </c>
      <c r="I2080" s="960"/>
      <c r="J2080" s="59"/>
      <c r="K2080" s="59" t="s">
        <v>195</v>
      </c>
    </row>
    <row r="2081" spans="1:11" ht="16.5" customHeight="1" x14ac:dyDescent="0.25">
      <c r="A2081" s="57" t="s">
        <v>121</v>
      </c>
      <c r="B2081" s="57" t="s">
        <v>188</v>
      </c>
      <c r="C2081" s="57">
        <v>2021</v>
      </c>
      <c r="D2081" s="58">
        <f>MATCH(B2081,{"GENNAIO","FEBBRAIO","MARZO","APRILE","MAGGIO","GIUGNO","LUGLIO","AGOSTO","SETTEMBRE","OTTOBRE","NOVEMBRE","DICEMBRE"},0)</f>
        <v>12</v>
      </c>
      <c r="E2081" s="57" t="str">
        <f t="shared" si="1240"/>
        <v>DICEMBRE 2021</v>
      </c>
      <c r="F2081" s="57" t="str">
        <f t="shared" si="1241"/>
        <v>12 DICEMBRE 2021</v>
      </c>
      <c r="G2081" s="59">
        <v>0.4</v>
      </c>
      <c r="H2081" s="1338" t="s">
        <v>777</v>
      </c>
      <c r="I2081" s="960"/>
      <c r="J2081" s="59"/>
      <c r="K2081" s="59"/>
    </row>
    <row r="2082" spans="1:11" ht="16.5" customHeight="1" x14ac:dyDescent="0.25">
      <c r="A2082" s="57" t="s">
        <v>121</v>
      </c>
      <c r="B2082" s="57" t="s">
        <v>188</v>
      </c>
      <c r="C2082" s="57">
        <v>2021</v>
      </c>
      <c r="D2082" s="58">
        <f>MATCH(B2082,{"GENNAIO","FEBBRAIO","MARZO","APRILE","MAGGIO","GIUGNO","LUGLIO","AGOSTO","SETTEMBRE","OTTOBRE","NOVEMBRE","DICEMBRE"},0)</f>
        <v>12</v>
      </c>
      <c r="E2082" s="57" t="str">
        <f t="shared" si="1240"/>
        <v>DICEMBRE 2021</v>
      </c>
      <c r="F2082" s="57" t="str">
        <f t="shared" si="1241"/>
        <v>12 DICEMBRE 2021</v>
      </c>
      <c r="G2082" s="59">
        <v>0.4</v>
      </c>
      <c r="H2082" s="1338" t="s">
        <v>777</v>
      </c>
      <c r="I2082" s="960"/>
      <c r="J2082" s="59"/>
      <c r="K2082" s="59"/>
    </row>
    <row r="2083" spans="1:11" ht="16.5" customHeight="1" x14ac:dyDescent="0.25">
      <c r="A2083" s="57" t="s">
        <v>108</v>
      </c>
      <c r="B2083" s="57" t="s">
        <v>188</v>
      </c>
      <c r="C2083" s="57">
        <v>2021</v>
      </c>
      <c r="D2083" s="58">
        <f>MATCH(B2083,{"GENNAIO","FEBBRAIO","MARZO","APRILE","MAGGIO","GIUGNO","LUGLIO","AGOSTO","SETTEMBRE","OTTOBRE","NOVEMBRE","DICEMBRE"},0)</f>
        <v>12</v>
      </c>
      <c r="E2083" s="57" t="str">
        <f t="shared" si="1240"/>
        <v>DICEMBRE 2021</v>
      </c>
      <c r="F2083" s="57" t="str">
        <f t="shared" si="1241"/>
        <v>12 DICEMBRE 2021</v>
      </c>
      <c r="G2083" s="59">
        <v>39.99</v>
      </c>
      <c r="H2083" s="1338" t="s">
        <v>75</v>
      </c>
      <c r="I2083" s="960"/>
      <c r="J2083" s="57" t="s">
        <v>108</v>
      </c>
      <c r="K2083" s="59"/>
    </row>
    <row r="2084" spans="1:11" ht="16.5" customHeight="1" x14ac:dyDescent="0.25">
      <c r="A2084" s="57" t="s">
        <v>251</v>
      </c>
      <c r="B2084" s="57" t="s">
        <v>188</v>
      </c>
      <c r="C2084" s="57">
        <v>2021</v>
      </c>
      <c r="D2084" s="58">
        <f>MATCH(B2084,{"GENNAIO","FEBBRAIO","MARZO","APRILE","MAGGIO","GIUGNO","LUGLIO","AGOSTO","SETTEMBRE","OTTOBRE","NOVEMBRE","DICEMBRE"},0)</f>
        <v>12</v>
      </c>
      <c r="E2084" s="57" t="str">
        <f t="shared" si="1240"/>
        <v>DICEMBRE 2021</v>
      </c>
      <c r="F2084" s="57" t="str">
        <f t="shared" si="1241"/>
        <v>12 DICEMBRE 2021</v>
      </c>
      <c r="G2084" s="59">
        <v>21.5</v>
      </c>
      <c r="H2084" s="1338" t="s">
        <v>69</v>
      </c>
      <c r="I2084" s="960"/>
      <c r="J2084" s="59"/>
      <c r="K2084" s="59"/>
    </row>
    <row r="2085" spans="1:11" x14ac:dyDescent="0.25">
      <c r="A2085" s="57" t="s">
        <v>121</v>
      </c>
      <c r="B2085" s="57" t="s">
        <v>188</v>
      </c>
      <c r="C2085" s="57">
        <v>2021</v>
      </c>
      <c r="D2085" s="58">
        <f>MATCH(B2085,{"GENNAIO","FEBBRAIO","MARZO","APRILE","MAGGIO","GIUGNO","LUGLIO","AGOSTO","SETTEMBRE","OTTOBRE","NOVEMBRE","DICEMBRE"},0)</f>
        <v>12</v>
      </c>
      <c r="E2085" s="57" t="str">
        <f t="shared" si="1240"/>
        <v>DICEMBRE 2021</v>
      </c>
      <c r="F2085" s="57" t="str">
        <f t="shared" si="1241"/>
        <v>12 DICEMBRE 2021</v>
      </c>
      <c r="G2085" s="59">
        <v>0.4</v>
      </c>
      <c r="H2085" s="1338" t="s">
        <v>777</v>
      </c>
      <c r="I2085" s="960"/>
      <c r="J2085" s="59"/>
      <c r="K2085" s="59"/>
    </row>
    <row r="2086" spans="1:11" ht="16.5" customHeight="1" x14ac:dyDescent="0.25">
      <c r="A2086" s="57" t="s">
        <v>121</v>
      </c>
      <c r="B2086" s="57" t="s">
        <v>188</v>
      </c>
      <c r="C2086" s="57">
        <v>2021</v>
      </c>
      <c r="D2086" s="58">
        <f>MATCH(B2086,{"GENNAIO","FEBBRAIO","MARZO","APRILE","MAGGIO","GIUGNO","LUGLIO","AGOSTO","SETTEMBRE","OTTOBRE","NOVEMBRE","DICEMBRE"},0)</f>
        <v>12</v>
      </c>
      <c r="E2086" s="57" t="str">
        <f t="shared" si="1240"/>
        <v>DICEMBRE 2021</v>
      </c>
      <c r="F2086" s="57" t="str">
        <f t="shared" si="1241"/>
        <v>12 DICEMBRE 2021</v>
      </c>
      <c r="G2086" s="59">
        <v>0.4</v>
      </c>
      <c r="H2086" s="1338" t="s">
        <v>777</v>
      </c>
      <c r="I2086" s="960"/>
      <c r="J2086" s="59"/>
      <c r="K2086" s="59"/>
    </row>
    <row r="2087" spans="1:11" ht="16.5" customHeight="1" x14ac:dyDescent="0.25">
      <c r="A2087" s="57" t="s">
        <v>279</v>
      </c>
      <c r="B2087" s="57" t="s">
        <v>188</v>
      </c>
      <c r="C2087" s="57">
        <v>2021</v>
      </c>
      <c r="D2087" s="58">
        <f>MATCH(B2087,{"GENNAIO","FEBBRAIO","MARZO","APRILE","MAGGIO","GIUGNO","LUGLIO","AGOSTO","SETTEMBRE","OTTOBRE","NOVEMBRE","DICEMBRE"},0)</f>
        <v>12</v>
      </c>
      <c r="E2087" s="57" t="str">
        <f t="shared" si="1240"/>
        <v>DICEMBRE 2021</v>
      </c>
      <c r="F2087" s="57" t="str">
        <f t="shared" si="1241"/>
        <v>12 DICEMBRE 2021</v>
      </c>
      <c r="G2087" s="60">
        <v>19.5</v>
      </c>
      <c r="H2087" s="1338" t="s">
        <v>85</v>
      </c>
      <c r="I2087" s="960"/>
      <c r="J2087" s="59"/>
      <c r="K2087" s="59"/>
    </row>
    <row r="2088" spans="1:11" ht="16.5" customHeight="1" x14ac:dyDescent="0.25">
      <c r="A2088" s="57" t="s">
        <v>164</v>
      </c>
      <c r="B2088" s="57" t="s">
        <v>207</v>
      </c>
      <c r="C2088" s="57">
        <v>2021</v>
      </c>
      <c r="D2088" s="58">
        <f>MATCH(B2088,{"GENNAIO","FEBBRAIO","MARZO","APRILE","MAGGIO","GIUGNO","LUGLIO","AGOSTO","SETTEMBRE","OTTOBRE","NOVEMBRE","DICEMBRE"},0)</f>
        <v>11</v>
      </c>
      <c r="E2088" s="57" t="str">
        <f t="shared" si="1240"/>
        <v>NOVEMBRE 2021</v>
      </c>
      <c r="F2088" s="57" t="str">
        <f t="shared" si="1241"/>
        <v>11 NOVEMBRE 2021</v>
      </c>
      <c r="G2088" s="59">
        <v>15.81</v>
      </c>
      <c r="H2088" s="1338" t="s">
        <v>77</v>
      </c>
      <c r="I2088" s="960"/>
      <c r="J2088" s="59"/>
      <c r="K2088" s="59"/>
    </row>
    <row r="2089" spans="1:11" ht="16.5" customHeight="1" x14ac:dyDescent="0.25">
      <c r="A2089" s="57" t="s">
        <v>303</v>
      </c>
      <c r="B2089" s="57" t="s">
        <v>207</v>
      </c>
      <c r="C2089" s="57">
        <v>2021</v>
      </c>
      <c r="D2089" s="58">
        <f>MATCH(B2089,{"GENNAIO","FEBBRAIO","MARZO","APRILE","MAGGIO","GIUGNO","LUGLIO","AGOSTO","SETTEMBRE","OTTOBRE","NOVEMBRE","DICEMBRE"},0)</f>
        <v>11</v>
      </c>
      <c r="E2089" s="57" t="str">
        <f t="shared" si="1240"/>
        <v>NOVEMBRE 2021</v>
      </c>
      <c r="F2089" s="57" t="str">
        <f t="shared" si="1241"/>
        <v>11 NOVEMBRE 2021</v>
      </c>
      <c r="G2089" s="59">
        <v>24.99</v>
      </c>
      <c r="H2089" s="1338" t="s">
        <v>174</v>
      </c>
      <c r="I2089" s="960"/>
      <c r="J2089" s="59"/>
      <c r="K2089" s="59"/>
    </row>
    <row r="2090" spans="1:11" ht="16.5" customHeight="1" x14ac:dyDescent="0.25">
      <c r="A2090" s="57" t="s">
        <v>121</v>
      </c>
      <c r="B2090" s="57" t="s">
        <v>207</v>
      </c>
      <c r="C2090" s="57">
        <v>2021</v>
      </c>
      <c r="D2090" s="58">
        <f>MATCH(B2090,{"GENNAIO","FEBBRAIO","MARZO","APRILE","MAGGIO","GIUGNO","LUGLIO","AGOSTO","SETTEMBRE","OTTOBRE","NOVEMBRE","DICEMBRE"},0)</f>
        <v>11</v>
      </c>
      <c r="E2090" s="57" t="str">
        <f t="shared" si="1240"/>
        <v>NOVEMBRE 2021</v>
      </c>
      <c r="F2090" s="57" t="str">
        <f t="shared" si="1241"/>
        <v>11 NOVEMBRE 2021</v>
      </c>
      <c r="G2090" s="59">
        <v>0.4</v>
      </c>
      <c r="H2090" s="1338" t="s">
        <v>777</v>
      </c>
      <c r="I2090" s="960"/>
      <c r="J2090" s="59"/>
      <c r="K2090" s="59"/>
    </row>
    <row r="2091" spans="1:11" ht="16.5" customHeight="1" x14ac:dyDescent="0.25">
      <c r="A2091" s="57" t="s">
        <v>121</v>
      </c>
      <c r="B2091" s="57" t="s">
        <v>207</v>
      </c>
      <c r="C2091" s="57">
        <v>2021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240"/>
        <v>NOVEMBRE 2021</v>
      </c>
      <c r="F2091" s="57" t="str">
        <f t="shared" si="1241"/>
        <v>11 NOVEMBRE 2021</v>
      </c>
      <c r="G2091" s="59">
        <v>0.4</v>
      </c>
      <c r="H2091" s="1338" t="s">
        <v>777</v>
      </c>
      <c r="I2091" s="960"/>
      <c r="J2091" s="59"/>
      <c r="K2091" s="59"/>
    </row>
    <row r="2092" spans="1:11" x14ac:dyDescent="0.25">
      <c r="A2092" s="57" t="s">
        <v>121</v>
      </c>
      <c r="B2092" s="57" t="s">
        <v>207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40"/>
        <v>NOVEMBRE 2021</v>
      </c>
      <c r="F2092" s="57" t="str">
        <f t="shared" si="1241"/>
        <v>11 NOVEMBRE 2021</v>
      </c>
      <c r="G2092" s="59">
        <v>0.4</v>
      </c>
      <c r="H2092" s="1338" t="s">
        <v>777</v>
      </c>
      <c r="I2092" s="960"/>
      <c r="J2092" s="59"/>
      <c r="K2092" s="59"/>
    </row>
    <row r="2093" spans="1:11" x14ac:dyDescent="0.25">
      <c r="A2093" s="57" t="s">
        <v>121</v>
      </c>
      <c r="B2093" s="57" t="s">
        <v>207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40"/>
        <v>NOVEMBRE 2021</v>
      </c>
      <c r="F2093" s="57" t="str">
        <f t="shared" si="1241"/>
        <v>11 NOVEMBRE 2021</v>
      </c>
      <c r="G2093" s="59">
        <v>0.4</v>
      </c>
      <c r="H2093" s="1338" t="s">
        <v>777</v>
      </c>
      <c r="I2093" s="960"/>
      <c r="J2093" s="59"/>
      <c r="K2093" s="59"/>
    </row>
    <row r="2094" spans="1:11" x14ac:dyDescent="0.25">
      <c r="A2094" s="57" t="s">
        <v>121</v>
      </c>
      <c r="B2094" s="57" t="s">
        <v>207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40"/>
        <v>NOVEMBRE 2021</v>
      </c>
      <c r="F2094" s="57" t="str">
        <f t="shared" si="1241"/>
        <v>11 NOVEMBRE 2021</v>
      </c>
      <c r="G2094" s="59">
        <v>0.4</v>
      </c>
      <c r="H2094" s="1338" t="s">
        <v>777</v>
      </c>
      <c r="I2094" s="960"/>
      <c r="J2094" s="59"/>
      <c r="K2094" s="59"/>
    </row>
    <row r="2095" spans="1:11" x14ac:dyDescent="0.25">
      <c r="A2095" s="57" t="s">
        <v>164</v>
      </c>
      <c r="B2095" s="57" t="s">
        <v>207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40"/>
        <v>NOVEMBRE 2021</v>
      </c>
      <c r="F2095" s="57" t="str">
        <f t="shared" si="1241"/>
        <v>11 NOVEMBRE 2021</v>
      </c>
      <c r="G2095" s="59">
        <v>6.69</v>
      </c>
      <c r="H2095" s="1338" t="s">
        <v>77</v>
      </c>
      <c r="I2095" s="960"/>
      <c r="J2095" s="59"/>
      <c r="K2095" s="59"/>
    </row>
    <row r="2096" spans="1:11" x14ac:dyDescent="0.25">
      <c r="A2096" s="57" t="s">
        <v>83</v>
      </c>
      <c r="B2096" s="57" t="s">
        <v>207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40"/>
        <v>NOVEMBRE 2021</v>
      </c>
      <c r="F2096" s="57" t="str">
        <f t="shared" si="1241"/>
        <v>11 NOVEMBRE 2021</v>
      </c>
      <c r="G2096" s="59">
        <v>8.35</v>
      </c>
      <c r="H2096" s="1338" t="s">
        <v>77</v>
      </c>
      <c r="I2096" s="960"/>
      <c r="J2096" s="59"/>
      <c r="K2096" s="59"/>
    </row>
    <row r="2097" spans="1:11" x14ac:dyDescent="0.25">
      <c r="A2097" s="57" t="s">
        <v>108</v>
      </c>
      <c r="B2097" s="57" t="s">
        <v>207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40"/>
        <v>NOVEMBRE 2021</v>
      </c>
      <c r="F2097" s="57" t="str">
        <f t="shared" si="1241"/>
        <v>11 NOVEMBRE 2021</v>
      </c>
      <c r="G2097" s="59">
        <v>8.99</v>
      </c>
      <c r="H2097" s="1338" t="s">
        <v>75</v>
      </c>
      <c r="I2097" s="960"/>
      <c r="J2097" s="57" t="s">
        <v>108</v>
      </c>
      <c r="K2097" s="59"/>
    </row>
    <row r="2098" spans="1:11" x14ac:dyDescent="0.25">
      <c r="A2098" s="57" t="s">
        <v>108</v>
      </c>
      <c r="B2098" s="57" t="s">
        <v>207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40"/>
        <v>NOVEMBRE 2021</v>
      </c>
      <c r="F2098" s="57" t="str">
        <f t="shared" si="1241"/>
        <v>11 NOVEMBRE 2021</v>
      </c>
      <c r="G2098" s="59">
        <v>19.25</v>
      </c>
      <c r="H2098" s="1338" t="s">
        <v>75</v>
      </c>
      <c r="I2098" s="960" t="s">
        <v>1046</v>
      </c>
      <c r="J2098" s="57" t="s">
        <v>108</v>
      </c>
      <c r="K2098" s="59"/>
    </row>
    <row r="2099" spans="1:11" x14ac:dyDescent="0.25">
      <c r="A2099" s="57" t="s">
        <v>304</v>
      </c>
      <c r="B2099" s="57" t="s">
        <v>207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40"/>
        <v>NOVEMBRE 2021</v>
      </c>
      <c r="F2099" s="57" t="str">
        <f t="shared" si="1241"/>
        <v>11 NOVEMBRE 2021</v>
      </c>
      <c r="G2099" s="59">
        <v>19.989999999999998</v>
      </c>
      <c r="H2099" s="1338" t="s">
        <v>75</v>
      </c>
      <c r="I2099" s="960"/>
      <c r="J2099" s="59"/>
      <c r="K2099" s="59"/>
    </row>
    <row r="2100" spans="1:11" x14ac:dyDescent="0.25">
      <c r="A2100" s="57" t="s">
        <v>304</v>
      </c>
      <c r="B2100" s="57" t="s">
        <v>207</v>
      </c>
      <c r="C2100" s="57">
        <v>2021</v>
      </c>
      <c r="D2100" s="58">
        <f>MATCH(B2100,{"GENNAIO","FEBBRAIO","MARZO","APRILE","MAGGIO","GIUGNO","LUGLIO","AGOSTO","SETTEMBRE","OTTOBRE","NOVEMBRE","DICEMBRE"},0)</f>
        <v>11</v>
      </c>
      <c r="E2100" s="57" t="str">
        <f t="shared" si="1240"/>
        <v>NOVEMBRE 2021</v>
      </c>
      <c r="F2100" s="57" t="str">
        <f t="shared" si="1241"/>
        <v>11 NOVEMBRE 2021</v>
      </c>
      <c r="G2100" s="59">
        <v>49.99</v>
      </c>
      <c r="H2100" s="1338" t="s">
        <v>75</v>
      </c>
      <c r="I2100" s="960"/>
      <c r="J2100" s="59"/>
      <c r="K2100" s="59"/>
    </row>
    <row r="2101" spans="1:11" x14ac:dyDescent="0.25">
      <c r="A2101" s="57" t="s">
        <v>108</v>
      </c>
      <c r="B2101" s="57" t="s">
        <v>207</v>
      </c>
      <c r="C2101" s="57">
        <v>2021</v>
      </c>
      <c r="D2101" s="58">
        <f>MATCH(B2101,{"GENNAIO","FEBBRAIO","MARZO","APRILE","MAGGIO","GIUGNO","LUGLIO","AGOSTO","SETTEMBRE","OTTOBRE","NOVEMBRE","DICEMBRE"},0)</f>
        <v>11</v>
      </c>
      <c r="E2101" s="57" t="str">
        <f t="shared" si="1240"/>
        <v>NOVEMBRE 2021</v>
      </c>
      <c r="F2101" s="57" t="str">
        <f t="shared" si="1241"/>
        <v>11 NOVEMBRE 2021</v>
      </c>
      <c r="G2101" s="59">
        <v>10.88</v>
      </c>
      <c r="H2101" s="1338" t="s">
        <v>75</v>
      </c>
      <c r="I2101" s="960"/>
      <c r="J2101" s="57" t="s">
        <v>108</v>
      </c>
      <c r="K2101" s="59"/>
    </row>
    <row r="2102" spans="1:11" x14ac:dyDescent="0.25">
      <c r="A2102" s="57" t="s">
        <v>305</v>
      </c>
      <c r="B2102" s="57" t="s">
        <v>207</v>
      </c>
      <c r="C2102" s="57">
        <v>2021</v>
      </c>
      <c r="D2102" s="58">
        <f>MATCH(B2102,{"GENNAIO","FEBBRAIO","MARZO","APRILE","MAGGIO","GIUGNO","LUGLIO","AGOSTO","SETTEMBRE","OTTOBRE","NOVEMBRE","DICEMBRE"},0)</f>
        <v>11</v>
      </c>
      <c r="E2102" s="57" t="str">
        <f t="shared" si="1240"/>
        <v>NOVEMBRE 2021</v>
      </c>
      <c r="F2102" s="57" t="str">
        <f t="shared" si="1241"/>
        <v>11 NOVEMBRE 2021</v>
      </c>
      <c r="G2102" s="59">
        <v>41.6</v>
      </c>
      <c r="H2102" s="1338" t="s">
        <v>91</v>
      </c>
      <c r="I2102" s="960"/>
      <c r="J2102" s="59"/>
      <c r="K2102" s="59"/>
    </row>
    <row r="2103" spans="1:11" x14ac:dyDescent="0.25">
      <c r="A2103" s="57" t="s">
        <v>67</v>
      </c>
      <c r="B2103" s="57" t="s">
        <v>207</v>
      </c>
      <c r="C2103" s="57">
        <v>2021</v>
      </c>
      <c r="D2103" s="58">
        <f>MATCH(B2103,{"GENNAIO","FEBBRAIO","MARZO","APRILE","MAGGIO","GIUGNO","LUGLIO","AGOSTO","SETTEMBRE","OTTOBRE","NOVEMBRE","DICEMBRE"},0)</f>
        <v>11</v>
      </c>
      <c r="E2103" s="57" t="str">
        <f t="shared" si="1240"/>
        <v>NOVEMBRE 2021</v>
      </c>
      <c r="F2103" s="57" t="str">
        <f t="shared" si="1241"/>
        <v>11 NOVEMBRE 2021</v>
      </c>
      <c r="G2103" s="59">
        <v>5</v>
      </c>
      <c r="H2103" s="1338" t="s">
        <v>776</v>
      </c>
      <c r="I2103" s="960"/>
      <c r="J2103" s="59"/>
      <c r="K2103" s="59"/>
    </row>
    <row r="2104" spans="1:11" x14ac:dyDescent="0.25">
      <c r="A2104" s="57" t="s">
        <v>306</v>
      </c>
      <c r="B2104" s="57" t="s">
        <v>207</v>
      </c>
      <c r="C2104" s="57">
        <v>2021</v>
      </c>
      <c r="D2104" s="58">
        <f>MATCH(B2104,{"GENNAIO","FEBBRAIO","MARZO","APRILE","MAGGIO","GIUGNO","LUGLIO","AGOSTO","SETTEMBRE","OTTOBRE","NOVEMBRE","DICEMBRE"},0)</f>
        <v>11</v>
      </c>
      <c r="E2104" s="57" t="str">
        <f t="shared" si="1240"/>
        <v>NOVEMBRE 2021</v>
      </c>
      <c r="F2104" s="57" t="str">
        <f t="shared" si="1241"/>
        <v>11 NOVEMBRE 2021</v>
      </c>
      <c r="G2104" s="59">
        <v>7.63</v>
      </c>
      <c r="H2104" s="1338" t="s">
        <v>77</v>
      </c>
      <c r="I2104" s="960"/>
      <c r="J2104" s="59"/>
      <c r="K2104" s="59"/>
    </row>
    <row r="2105" spans="1:11" x14ac:dyDescent="0.25">
      <c r="A2105" s="57" t="s">
        <v>307</v>
      </c>
      <c r="B2105" s="57" t="s">
        <v>207</v>
      </c>
      <c r="C2105" s="57">
        <v>2021</v>
      </c>
      <c r="D2105" s="58">
        <f>MATCH(B2105,{"GENNAIO","FEBBRAIO","MARZO","APRILE","MAGGIO","GIUGNO","LUGLIO","AGOSTO","SETTEMBRE","OTTOBRE","NOVEMBRE","DICEMBRE"},0)</f>
        <v>11</v>
      </c>
      <c r="E2105" s="57" t="str">
        <f t="shared" si="1240"/>
        <v>NOVEMBRE 2021</v>
      </c>
      <c r="F2105" s="57" t="str">
        <f t="shared" si="1241"/>
        <v>11 NOVEMBRE 2021</v>
      </c>
      <c r="G2105" s="59">
        <v>9.9700000000000006</v>
      </c>
      <c r="H2105" s="1338" t="s">
        <v>69</v>
      </c>
      <c r="I2105" s="960"/>
      <c r="J2105" s="59"/>
      <c r="K2105" s="59"/>
    </row>
    <row r="2106" spans="1:11" x14ac:dyDescent="0.25">
      <c r="A2106" s="57" t="s">
        <v>308</v>
      </c>
      <c r="B2106" s="57" t="s">
        <v>207</v>
      </c>
      <c r="C2106" s="57">
        <v>2021</v>
      </c>
      <c r="D2106" s="58">
        <f>MATCH(B2106,{"GENNAIO","FEBBRAIO","MARZO","APRILE","MAGGIO","GIUGNO","LUGLIO","AGOSTO","SETTEMBRE","OTTOBRE","NOVEMBRE","DICEMBRE"},0)</f>
        <v>11</v>
      </c>
      <c r="E2106" s="57" t="str">
        <f t="shared" si="1240"/>
        <v>NOVEMBRE 2021</v>
      </c>
      <c r="F2106" s="57" t="str">
        <f t="shared" si="1241"/>
        <v>11 NOVEMBRE 2021</v>
      </c>
      <c r="G2106" s="59">
        <v>7.49</v>
      </c>
      <c r="H2106" s="1338" t="s">
        <v>77</v>
      </c>
      <c r="I2106" s="960"/>
      <c r="J2106" s="59"/>
      <c r="K2106" s="59"/>
    </row>
    <row r="2107" spans="1:11" x14ac:dyDescent="0.25">
      <c r="A2107" s="57" t="s">
        <v>108</v>
      </c>
      <c r="B2107" s="57" t="s">
        <v>207</v>
      </c>
      <c r="C2107" s="57">
        <v>2021</v>
      </c>
      <c r="D2107" s="58">
        <f>MATCH(B2107,{"GENNAIO","FEBBRAIO","MARZO","APRILE","MAGGIO","GIUGNO","LUGLIO","AGOSTO","SETTEMBRE","OTTOBRE","NOVEMBRE","DICEMBRE"},0)</f>
        <v>11</v>
      </c>
      <c r="E2107" s="57" t="str">
        <f t="shared" si="1240"/>
        <v>NOVEMBRE 2021</v>
      </c>
      <c r="F2107" s="57" t="str">
        <f t="shared" si="1241"/>
        <v>11 NOVEMBRE 2021</v>
      </c>
      <c r="G2107" s="59">
        <v>31.97</v>
      </c>
      <c r="H2107" s="1338" t="s">
        <v>75</v>
      </c>
      <c r="I2107" s="960"/>
      <c r="J2107" s="57" t="s">
        <v>108</v>
      </c>
      <c r="K2107" s="59"/>
    </row>
    <row r="2108" spans="1:11" ht="16.5" customHeight="1" x14ac:dyDescent="0.25">
      <c r="A2108" s="57" t="s">
        <v>108</v>
      </c>
      <c r="B2108" s="57" t="s">
        <v>207</v>
      </c>
      <c r="C2108" s="57">
        <v>2021</v>
      </c>
      <c r="D2108" s="58">
        <f>MATCH(B2108,{"GENNAIO","FEBBRAIO","MARZO","APRILE","MAGGIO","GIUGNO","LUGLIO","AGOSTO","SETTEMBRE","OTTOBRE","NOVEMBRE","DICEMBRE"},0)</f>
        <v>11</v>
      </c>
      <c r="E2108" s="57" t="str">
        <f t="shared" si="1240"/>
        <v>NOVEMBRE 2021</v>
      </c>
      <c r="F2108" s="57" t="str">
        <f t="shared" si="1241"/>
        <v>11 NOVEMBRE 2021</v>
      </c>
      <c r="G2108" s="59">
        <v>23.89</v>
      </c>
      <c r="H2108" s="1338" t="s">
        <v>75</v>
      </c>
      <c r="I2108" s="960"/>
      <c r="J2108" s="57" t="s">
        <v>108</v>
      </c>
      <c r="K2108" s="59"/>
    </row>
    <row r="2109" spans="1:11" x14ac:dyDescent="0.25">
      <c r="A2109" s="57" t="s">
        <v>309</v>
      </c>
      <c r="B2109" s="57" t="s">
        <v>207</v>
      </c>
      <c r="C2109" s="57">
        <v>2021</v>
      </c>
      <c r="D2109" s="58">
        <f>MATCH(B2109,{"GENNAIO","FEBBRAIO","MARZO","APRILE","MAGGIO","GIUGNO","LUGLIO","AGOSTO","SETTEMBRE","OTTOBRE","NOVEMBRE","DICEMBRE"},0)</f>
        <v>11</v>
      </c>
      <c r="E2109" s="57" t="str">
        <f t="shared" si="1240"/>
        <v>NOVEMBRE 2021</v>
      </c>
      <c r="F2109" s="57" t="str">
        <f t="shared" si="1241"/>
        <v>11 NOVEMBRE 2021</v>
      </c>
      <c r="G2109" s="59">
        <v>12.3</v>
      </c>
      <c r="H2109" s="1338" t="s">
        <v>91</v>
      </c>
      <c r="I2109" s="960"/>
      <c r="J2109" s="59"/>
      <c r="K2109" s="59"/>
    </row>
    <row r="2110" spans="1:11" x14ac:dyDescent="0.25">
      <c r="A2110" s="57" t="s">
        <v>67</v>
      </c>
      <c r="B2110" s="57" t="s">
        <v>207</v>
      </c>
      <c r="C2110" s="57">
        <v>2021</v>
      </c>
      <c r="D2110" s="58">
        <f>MATCH(B2110,{"GENNAIO","FEBBRAIO","MARZO","APRILE","MAGGIO","GIUGNO","LUGLIO","AGOSTO","SETTEMBRE","OTTOBRE","NOVEMBRE","DICEMBRE"},0)</f>
        <v>11</v>
      </c>
      <c r="E2110" s="57" t="str">
        <f t="shared" si="1240"/>
        <v>NOVEMBRE 2021</v>
      </c>
      <c r="F2110" s="57" t="str">
        <f t="shared" si="1241"/>
        <v>11 NOVEMBRE 2021</v>
      </c>
      <c r="G2110" s="59">
        <v>4.0999999999999996</v>
      </c>
      <c r="H2110" s="1338" t="s">
        <v>69</v>
      </c>
      <c r="I2110" s="960"/>
      <c r="J2110" s="59"/>
      <c r="K2110" s="59"/>
    </row>
    <row r="2111" spans="1:11" x14ac:dyDescent="0.25">
      <c r="A2111" s="57" t="s">
        <v>121</v>
      </c>
      <c r="B2111" s="57" t="s">
        <v>215</v>
      </c>
      <c r="C2111" s="57">
        <v>2021</v>
      </c>
      <c r="D2111" s="58">
        <f>MATCH(B2111,{"GENNAIO","FEBBRAIO","MARZO","APRILE","MAGGIO","GIUGNO","LUGLIO","AGOSTO","SETTEMBRE","OTTOBRE","NOVEMBRE","DICEMBRE"},0)</f>
        <v>10</v>
      </c>
      <c r="E2111" s="57" t="str">
        <f t="shared" si="1240"/>
        <v>OTTOBRE 2021</v>
      </c>
      <c r="F2111" s="57" t="str">
        <f t="shared" si="1241"/>
        <v>10 OTTOBRE 2021</v>
      </c>
      <c r="G2111" s="59">
        <v>0.4</v>
      </c>
      <c r="H2111" s="1338" t="s">
        <v>777</v>
      </c>
      <c r="I2111" s="960"/>
      <c r="J2111" s="59"/>
      <c r="K2111" s="59"/>
    </row>
    <row r="2112" spans="1:11" ht="16.5" customHeight="1" x14ac:dyDescent="0.25">
      <c r="A2112" s="57" t="s">
        <v>108</v>
      </c>
      <c r="B2112" s="57" t="s">
        <v>215</v>
      </c>
      <c r="C2112" s="57">
        <v>2021</v>
      </c>
      <c r="D2112" s="58">
        <f>MATCH(B2112,{"GENNAIO","FEBBRAIO","MARZO","APRILE","MAGGIO","GIUGNO","LUGLIO","AGOSTO","SETTEMBRE","OTTOBRE","NOVEMBRE","DICEMBRE"},0)</f>
        <v>10</v>
      </c>
      <c r="E2112" s="57" t="str">
        <f t="shared" si="1240"/>
        <v>OTTOBRE 2021</v>
      </c>
      <c r="F2112" s="57" t="str">
        <f t="shared" si="1241"/>
        <v>10 OTTOBRE 2021</v>
      </c>
      <c r="G2112" s="59">
        <v>-19.95</v>
      </c>
      <c r="H2112" s="1338" t="s">
        <v>1042</v>
      </c>
      <c r="I2112" s="960"/>
      <c r="J2112" s="57" t="s">
        <v>108</v>
      </c>
      <c r="K2112" s="59"/>
    </row>
    <row r="2113" spans="1:11" ht="16.5" customHeight="1" x14ac:dyDescent="0.25">
      <c r="A2113" s="57" t="s">
        <v>108</v>
      </c>
      <c r="B2113" s="57" t="s">
        <v>215</v>
      </c>
      <c r="C2113" s="57">
        <v>2021</v>
      </c>
      <c r="D2113" s="58">
        <f>MATCH(B2113,{"GENNAIO","FEBBRAIO","MARZO","APRILE","MAGGIO","GIUGNO","LUGLIO","AGOSTO","SETTEMBRE","OTTOBRE","NOVEMBRE","DICEMBRE"},0)</f>
        <v>10</v>
      </c>
      <c r="E2113" s="57" t="str">
        <f t="shared" si="1240"/>
        <v>OTTOBRE 2021</v>
      </c>
      <c r="F2113" s="57" t="str">
        <f t="shared" si="1241"/>
        <v>10 OTTOBRE 2021</v>
      </c>
      <c r="G2113" s="59">
        <v>19.25</v>
      </c>
      <c r="H2113" s="1338" t="s">
        <v>75</v>
      </c>
      <c r="I2113" s="960" t="s">
        <v>1027</v>
      </c>
      <c r="J2113" s="57" t="s">
        <v>108</v>
      </c>
      <c r="K2113" s="59"/>
    </row>
    <row r="2114" spans="1:11" x14ac:dyDescent="0.25">
      <c r="A2114" s="57" t="s">
        <v>79</v>
      </c>
      <c r="B2114" s="57" t="s">
        <v>215</v>
      </c>
      <c r="C2114" s="57">
        <v>2021</v>
      </c>
      <c r="D2114" s="58">
        <f>MATCH(B2114,{"GENNAIO","FEBBRAIO","MARZO","APRILE","MAGGIO","GIUGNO","LUGLIO","AGOSTO","SETTEMBRE","OTTOBRE","NOVEMBRE","DICEMBRE"},0)</f>
        <v>10</v>
      </c>
      <c r="E2114" s="57" t="str">
        <f t="shared" si="1240"/>
        <v>OTTOBRE 2021</v>
      </c>
      <c r="F2114" s="57" t="str">
        <f t="shared" si="1241"/>
        <v>10 OTTOBRE 2021</v>
      </c>
      <c r="G2114" s="59">
        <v>33.19</v>
      </c>
      <c r="H2114" s="1338" t="s">
        <v>81</v>
      </c>
      <c r="I2114" s="960"/>
      <c r="J2114" s="59"/>
      <c r="K2114" s="59"/>
    </row>
    <row r="2115" spans="1:11" ht="16.5" customHeight="1" x14ac:dyDescent="0.25">
      <c r="A2115" s="57" t="s">
        <v>171</v>
      </c>
      <c r="B2115" s="57" t="s">
        <v>215</v>
      </c>
      <c r="C2115" s="57">
        <v>2021</v>
      </c>
      <c r="D2115" s="58">
        <f>MATCH(B2115,{"GENNAIO","FEBBRAIO","MARZO","APRILE","MAGGIO","GIUGNO","LUGLIO","AGOSTO","SETTEMBRE","OTTOBRE","NOVEMBRE","DICEMBRE"},0)</f>
        <v>10</v>
      </c>
      <c r="E2115" s="57" t="str">
        <f t="shared" si="1240"/>
        <v>OTTOBRE 2021</v>
      </c>
      <c r="F2115" s="57" t="str">
        <f t="shared" si="1241"/>
        <v>10 OTTOBRE 2021</v>
      </c>
      <c r="G2115" s="59">
        <v>19.95</v>
      </c>
      <c r="H2115" s="1338" t="s">
        <v>81</v>
      </c>
      <c r="I2115" s="960"/>
      <c r="J2115" s="59"/>
      <c r="K2115" s="59"/>
    </row>
    <row r="2116" spans="1:11" x14ac:dyDescent="0.25">
      <c r="A2116" s="57" t="s">
        <v>1056</v>
      </c>
      <c r="B2116" s="57" t="s">
        <v>215</v>
      </c>
      <c r="C2116" s="57">
        <v>2021</v>
      </c>
      <c r="D2116" s="58">
        <f>MATCH(B2116,{"GENNAIO","FEBBRAIO","MARZO","APRILE","MAGGIO","GIUGNO","LUGLIO","AGOSTO","SETTEMBRE","OTTOBRE","NOVEMBRE","DICEMBRE"},0)</f>
        <v>10</v>
      </c>
      <c r="E2116" s="57" t="str">
        <f t="shared" si="1240"/>
        <v>OTTOBRE 2021</v>
      </c>
      <c r="F2116" s="57" t="str">
        <f t="shared" si="1241"/>
        <v>10 OTTOBRE 2021</v>
      </c>
      <c r="G2116" s="60">
        <v>1.59</v>
      </c>
      <c r="H2116" s="1338" t="s">
        <v>741</v>
      </c>
      <c r="I2116" s="960"/>
      <c r="J2116" s="59"/>
      <c r="K2116" s="59"/>
    </row>
    <row r="2117" spans="1:11" x14ac:dyDescent="0.25">
      <c r="A2117" s="57" t="s">
        <v>108</v>
      </c>
      <c r="B2117" s="57" t="s">
        <v>215</v>
      </c>
      <c r="C2117" s="57">
        <v>2021</v>
      </c>
      <c r="D2117" s="58">
        <f>MATCH(B2117,{"GENNAIO","FEBBRAIO","MARZO","APRILE","MAGGIO","GIUGNO","LUGLIO","AGOSTO","SETTEMBRE","OTTOBRE","NOVEMBRE","DICEMBRE"},0)</f>
        <v>10</v>
      </c>
      <c r="E2117" s="57" t="str">
        <f t="shared" si="1240"/>
        <v>OTTOBRE 2021</v>
      </c>
      <c r="F2117" s="57" t="str">
        <f t="shared" si="1241"/>
        <v>10 OTTOBRE 2021</v>
      </c>
      <c r="G2117" s="59">
        <v>14.99</v>
      </c>
      <c r="H2117" s="1338" t="s">
        <v>75</v>
      </c>
      <c r="I2117" s="960"/>
      <c r="J2117" s="57" t="s">
        <v>108</v>
      </c>
      <c r="K2117" s="59"/>
    </row>
    <row r="2118" spans="1:11" ht="16.5" customHeight="1" x14ac:dyDescent="0.25">
      <c r="A2118" s="57" t="s">
        <v>1056</v>
      </c>
      <c r="B2118" s="57" t="s">
        <v>68</v>
      </c>
      <c r="C2118" s="57">
        <v>2021</v>
      </c>
      <c r="D2118" s="58">
        <f>MATCH(B2118,{"GENNAIO","FEBBRAIO","MARZO","APRILE","MAGGIO","GIUGNO","LUGLIO","AGOSTO","SETTEMBRE","OTTOBRE","NOVEMBRE","DICEMBRE"},0)</f>
        <v>9</v>
      </c>
      <c r="E2118" s="57" t="str">
        <f t="shared" si="1240"/>
        <v>SETTEMBRE 2021</v>
      </c>
      <c r="F2118" s="57" t="str">
        <f t="shared" si="1241"/>
        <v>9 SETTEMBRE 2021</v>
      </c>
      <c r="G2118" s="60">
        <v>8.49</v>
      </c>
      <c r="H2118" s="1338" t="s">
        <v>174</v>
      </c>
      <c r="I2118" s="960"/>
      <c r="J2118" s="59"/>
      <c r="K2118" s="59"/>
    </row>
    <row r="2119" spans="1:11" x14ac:dyDescent="0.25">
      <c r="A2119" s="57" t="s">
        <v>164</v>
      </c>
      <c r="B2119" s="57" t="s">
        <v>68</v>
      </c>
      <c r="C2119" s="57">
        <v>2021</v>
      </c>
      <c r="D2119" s="58">
        <f>MATCH(B2119,{"GENNAIO","FEBBRAIO","MARZO","APRILE","MAGGIO","GIUGNO","LUGLIO","AGOSTO","SETTEMBRE","OTTOBRE","NOVEMBRE","DICEMBRE"},0)</f>
        <v>9</v>
      </c>
      <c r="E2119" s="57" t="str">
        <f t="shared" si="1240"/>
        <v>SETTEMBRE 2021</v>
      </c>
      <c r="F2119" s="57" t="str">
        <f t="shared" si="1241"/>
        <v>9 SETTEMBRE 2021</v>
      </c>
      <c r="G2119" s="59">
        <v>17.66</v>
      </c>
      <c r="H2119" s="1338" t="s">
        <v>77</v>
      </c>
      <c r="I2119" s="960"/>
      <c r="J2119" s="59"/>
      <c r="K2119" s="59"/>
    </row>
    <row r="2120" spans="1:11" x14ac:dyDescent="0.25">
      <c r="A2120" s="57" t="s">
        <v>67</v>
      </c>
      <c r="B2120" s="57" t="s">
        <v>68</v>
      </c>
      <c r="C2120" s="57">
        <v>2021</v>
      </c>
      <c r="D2120" s="58">
        <f>MATCH(B2120,{"GENNAIO","FEBBRAIO","MARZO","APRILE","MAGGIO","GIUGNO","LUGLIO","AGOSTO","SETTEMBRE","OTTOBRE","NOVEMBRE","DICEMBRE"},0)</f>
        <v>9</v>
      </c>
      <c r="E2120" s="57" t="str">
        <f t="shared" si="1240"/>
        <v>SETTEMBRE 2021</v>
      </c>
      <c r="F2120" s="57" t="str">
        <f t="shared" si="1241"/>
        <v>9 SETTEMBRE 2021</v>
      </c>
      <c r="G2120" s="59">
        <v>5.0999999999999996</v>
      </c>
      <c r="H2120" s="1338" t="s">
        <v>69</v>
      </c>
      <c r="I2120" s="960"/>
      <c r="J2120" s="59"/>
      <c r="K2120" s="59"/>
    </row>
    <row r="2121" spans="1:11" ht="16.5" customHeight="1" x14ac:dyDescent="0.25">
      <c r="A2121" s="57" t="s">
        <v>67</v>
      </c>
      <c r="B2121" s="57" t="s">
        <v>68</v>
      </c>
      <c r="C2121" s="57">
        <v>2021</v>
      </c>
      <c r="D2121" s="58">
        <f>MATCH(B2121,{"GENNAIO","FEBBRAIO","MARZO","APRILE","MAGGIO","GIUGNO","LUGLIO","AGOSTO","SETTEMBRE","OTTOBRE","NOVEMBRE","DICEMBRE"},0)</f>
        <v>9</v>
      </c>
      <c r="E2121" s="57" t="str">
        <f t="shared" si="1240"/>
        <v>SETTEMBRE 2021</v>
      </c>
      <c r="F2121" s="57" t="str">
        <f t="shared" si="1241"/>
        <v>9 SETTEMBRE 2021</v>
      </c>
      <c r="G2121" s="59">
        <v>5</v>
      </c>
      <c r="H2121" s="1338" t="s">
        <v>776</v>
      </c>
      <c r="I2121" s="960"/>
      <c r="J2121" s="59"/>
      <c r="K2121" s="59"/>
    </row>
    <row r="2122" spans="1:11" x14ac:dyDescent="0.25">
      <c r="A2122" s="57" t="s">
        <v>164</v>
      </c>
      <c r="B2122" s="57" t="s">
        <v>68</v>
      </c>
      <c r="C2122" s="57">
        <v>2021</v>
      </c>
      <c r="D2122" s="58">
        <f>MATCH(B2122,{"GENNAIO","FEBBRAIO","MARZO","APRILE","MAGGIO","GIUGNO","LUGLIO","AGOSTO","SETTEMBRE","OTTOBRE","NOVEMBRE","DICEMBRE"},0)</f>
        <v>9</v>
      </c>
      <c r="E2122" s="57" t="str">
        <f t="shared" si="1240"/>
        <v>SETTEMBRE 2021</v>
      </c>
      <c r="F2122" s="57" t="str">
        <f t="shared" si="1241"/>
        <v>9 SETTEMBRE 2021</v>
      </c>
      <c r="G2122" s="59">
        <v>14.28</v>
      </c>
      <c r="H2122" s="1338" t="s">
        <v>77</v>
      </c>
      <c r="I2122" s="960"/>
      <c r="J2122" s="59"/>
      <c r="K2122" s="59"/>
    </row>
    <row r="2123" spans="1:11" x14ac:dyDescent="0.25">
      <c r="A2123" s="57" t="s">
        <v>79</v>
      </c>
      <c r="B2123" s="57" t="s">
        <v>68</v>
      </c>
      <c r="C2123" s="57">
        <v>2021</v>
      </c>
      <c r="D2123" s="58">
        <f>MATCH(B2123,{"GENNAIO","FEBBRAIO","MARZO","APRILE","MAGGIO","GIUGNO","LUGLIO","AGOSTO","SETTEMBRE","OTTOBRE","NOVEMBRE","DICEMBRE"},0)</f>
        <v>9</v>
      </c>
      <c r="E2123" s="57" t="str">
        <f t="shared" si="1240"/>
        <v>SETTEMBRE 2021</v>
      </c>
      <c r="F2123" s="57" t="str">
        <f t="shared" si="1241"/>
        <v>9 SETTEMBRE 2021</v>
      </c>
      <c r="G2123" s="59">
        <v>11.96</v>
      </c>
      <c r="H2123" s="1338" t="s">
        <v>81</v>
      </c>
      <c r="I2123" s="960"/>
      <c r="J2123" s="59"/>
      <c r="K2123" s="59"/>
    </row>
    <row r="2124" spans="1:11" x14ac:dyDescent="0.25">
      <c r="A2124" s="57" t="s">
        <v>67</v>
      </c>
      <c r="B2124" s="57" t="s">
        <v>68</v>
      </c>
      <c r="C2124" s="57">
        <v>2021</v>
      </c>
      <c r="D2124" s="58">
        <f>MATCH(B2124,{"GENNAIO","FEBBRAIO","MARZO","APRILE","MAGGIO","GIUGNO","LUGLIO","AGOSTO","SETTEMBRE","OTTOBRE","NOVEMBRE","DICEMBRE"},0)</f>
        <v>9</v>
      </c>
      <c r="E2124" s="57" t="str">
        <f t="shared" si="1240"/>
        <v>SETTEMBRE 2021</v>
      </c>
      <c r="F2124" s="57" t="str">
        <f t="shared" si="1241"/>
        <v>9 SETTEMBRE 2021</v>
      </c>
      <c r="G2124" s="59">
        <v>5</v>
      </c>
      <c r="H2124" s="1338" t="s">
        <v>776</v>
      </c>
      <c r="I2124" s="960"/>
      <c r="J2124" s="59"/>
      <c r="K2124" s="59"/>
    </row>
    <row r="2125" spans="1:11" ht="16.5" customHeight="1" x14ac:dyDescent="0.25">
      <c r="A2125" s="57" t="s">
        <v>164</v>
      </c>
      <c r="B2125" s="57" t="s">
        <v>68</v>
      </c>
      <c r="C2125" s="57">
        <v>2021</v>
      </c>
      <c r="D2125" s="58">
        <f>MATCH(B2125,{"GENNAIO","FEBBRAIO","MARZO","APRILE","MAGGIO","GIUGNO","LUGLIO","AGOSTO","SETTEMBRE","OTTOBRE","NOVEMBRE","DICEMBRE"},0)</f>
        <v>9</v>
      </c>
      <c r="E2125" s="57" t="str">
        <f t="shared" si="1240"/>
        <v>SETTEMBRE 2021</v>
      </c>
      <c r="F2125" s="57" t="str">
        <f t="shared" si="1241"/>
        <v>9 SETTEMBRE 2021</v>
      </c>
      <c r="G2125" s="59">
        <v>24.57</v>
      </c>
      <c r="H2125" s="1338" t="s">
        <v>77</v>
      </c>
      <c r="I2125" s="960"/>
      <c r="J2125" s="59"/>
      <c r="K2125" s="59"/>
    </row>
    <row r="2126" spans="1:11" x14ac:dyDescent="0.25">
      <c r="A2126" s="57" t="s">
        <v>154</v>
      </c>
      <c r="B2126" s="57" t="s">
        <v>68</v>
      </c>
      <c r="C2126" s="57">
        <v>2021</v>
      </c>
      <c r="D2126" s="58">
        <f>MATCH(B2126,{"GENNAIO","FEBBRAIO","MARZO","APRILE","MAGGIO","GIUGNO","LUGLIO","AGOSTO","SETTEMBRE","OTTOBRE","NOVEMBRE","DICEMBRE"},0)</f>
        <v>9</v>
      </c>
      <c r="E2126" s="57" t="str">
        <f t="shared" si="1240"/>
        <v>SETTEMBRE 2021</v>
      </c>
      <c r="F2126" s="57" t="str">
        <f t="shared" si="1241"/>
        <v>9 SETTEMBRE 2021</v>
      </c>
      <c r="G2126" s="59">
        <v>19.510000000000002</v>
      </c>
      <c r="H2126" s="1338" t="s">
        <v>155</v>
      </c>
      <c r="I2126" s="960"/>
      <c r="J2126" s="59"/>
      <c r="K2126" s="59"/>
    </row>
    <row r="2127" spans="1:11" x14ac:dyDescent="0.25">
      <c r="A2127" s="57" t="s">
        <v>164</v>
      </c>
      <c r="B2127" s="57" t="s">
        <v>68</v>
      </c>
      <c r="C2127" s="57">
        <v>2021</v>
      </c>
      <c r="D2127" s="58">
        <f>MATCH(B2127,{"GENNAIO","FEBBRAIO","MARZO","APRILE","MAGGIO","GIUGNO","LUGLIO","AGOSTO","SETTEMBRE","OTTOBRE","NOVEMBRE","DICEMBRE"},0)</f>
        <v>9</v>
      </c>
      <c r="E2127" s="57" t="str">
        <f t="shared" si="1240"/>
        <v>SETTEMBRE 2021</v>
      </c>
      <c r="F2127" s="57" t="str">
        <f t="shared" si="1241"/>
        <v>9 SETTEMBRE 2021</v>
      </c>
      <c r="G2127" s="59">
        <v>42.01</v>
      </c>
      <c r="H2127" s="1338" t="s">
        <v>77</v>
      </c>
      <c r="I2127" s="960"/>
      <c r="J2127" s="59"/>
      <c r="K2127" s="59"/>
    </row>
    <row r="2128" spans="1:11" x14ac:dyDescent="0.25">
      <c r="A2128" s="57" t="s">
        <v>998</v>
      </c>
      <c r="B2128" s="57" t="s">
        <v>80</v>
      </c>
      <c r="C2128" s="57">
        <v>2021</v>
      </c>
      <c r="D2128" s="58">
        <f>MATCH(B2128,{"GENNAIO","FEBBRAIO","MARZO","APRILE","MAGGIO","GIUGNO","LUGLIO","AGOSTO","SETTEMBRE","OTTOBRE","NOVEMBRE","DICEMBRE"},0)</f>
        <v>8</v>
      </c>
      <c r="E2128" s="57" t="str">
        <f t="shared" si="1240"/>
        <v>AGOSTO 2021</v>
      </c>
      <c r="F2128" s="57" t="str">
        <f t="shared" si="1241"/>
        <v>8 AGOSTO 2021</v>
      </c>
      <c r="G2128" s="60">
        <v>26.59</v>
      </c>
      <c r="H2128" s="1338" t="s">
        <v>70</v>
      </c>
      <c r="I2128" s="960"/>
      <c r="J2128" s="59"/>
      <c r="K2128" s="59"/>
    </row>
    <row r="2129" spans="1:11" x14ac:dyDescent="0.25">
      <c r="A2129" s="57" t="s">
        <v>164</v>
      </c>
      <c r="B2129" s="57" t="s">
        <v>80</v>
      </c>
      <c r="C2129" s="57">
        <v>2021</v>
      </c>
      <c r="D2129" s="58">
        <f>MATCH(B2129,{"GENNAIO","FEBBRAIO","MARZO","APRILE","MAGGIO","GIUGNO","LUGLIO","AGOSTO","SETTEMBRE","OTTOBRE","NOVEMBRE","DICEMBRE"},0)</f>
        <v>8</v>
      </c>
      <c r="E2129" s="57" t="str">
        <f t="shared" si="1240"/>
        <v>AGOSTO 2021</v>
      </c>
      <c r="F2129" s="57" t="str">
        <f t="shared" si="1241"/>
        <v>8 AGOSTO 2021</v>
      </c>
      <c r="G2129" s="59">
        <v>48.52</v>
      </c>
      <c r="H2129" s="1338" t="s">
        <v>77</v>
      </c>
      <c r="I2129" s="960"/>
      <c r="J2129" s="59"/>
      <c r="K2129" s="59"/>
    </row>
    <row r="2130" spans="1:11" x14ac:dyDescent="0.25">
      <c r="A2130" s="57" t="s">
        <v>170</v>
      </c>
      <c r="B2130" s="57" t="s">
        <v>80</v>
      </c>
      <c r="C2130" s="57">
        <v>2021</v>
      </c>
      <c r="D2130" s="58">
        <f>MATCH(B2130,{"GENNAIO","FEBBRAIO","MARZO","APRILE","MAGGIO","GIUGNO","LUGLIO","AGOSTO","SETTEMBRE","OTTOBRE","NOVEMBRE","DICEMBRE"},0)</f>
        <v>8</v>
      </c>
      <c r="E2130" s="57" t="str">
        <f t="shared" si="1240"/>
        <v>AGOSTO 2021</v>
      </c>
      <c r="F2130" s="57" t="str">
        <f t="shared" si="1241"/>
        <v>8 AGOSTO 2021</v>
      </c>
      <c r="G2130" s="59">
        <v>12.85</v>
      </c>
      <c r="H2130" s="1338" t="s">
        <v>69</v>
      </c>
      <c r="I2130" s="960"/>
      <c r="J2130" s="59"/>
      <c r="K2130" s="59"/>
    </row>
    <row r="2131" spans="1:11" x14ac:dyDescent="0.25">
      <c r="A2131" s="57" t="s">
        <v>1056</v>
      </c>
      <c r="B2131" s="57" t="s">
        <v>80</v>
      </c>
      <c r="C2131" s="57">
        <v>2021</v>
      </c>
      <c r="D2131" s="58">
        <f>MATCH(B2131,{"GENNAIO","FEBBRAIO","MARZO","APRILE","MAGGIO","GIUGNO","LUGLIO","AGOSTO","SETTEMBRE","OTTOBRE","NOVEMBRE","DICEMBRE"},0)</f>
        <v>8</v>
      </c>
      <c r="E2131" s="57" t="str">
        <f t="shared" si="1240"/>
        <v>AGOSTO 2021</v>
      </c>
      <c r="F2131" s="57" t="str">
        <f t="shared" si="1241"/>
        <v>8 AGOSTO 2021</v>
      </c>
      <c r="G2131" s="60">
        <v>4.99</v>
      </c>
      <c r="H2131" s="1338" t="s">
        <v>741</v>
      </c>
      <c r="I2131" s="960"/>
      <c r="J2131" s="59"/>
      <c r="K2131" s="59"/>
    </row>
    <row r="2132" spans="1:11" x14ac:dyDescent="0.25">
      <c r="A2132" s="57" t="s">
        <v>154</v>
      </c>
      <c r="B2132" s="57" t="s">
        <v>80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40"/>
        <v>AGOSTO 2021</v>
      </c>
      <c r="F2132" s="57" t="str">
        <f t="shared" si="1241"/>
        <v>8 AGOSTO 2021</v>
      </c>
      <c r="G2132" s="59">
        <v>23.65</v>
      </c>
      <c r="H2132" s="1338" t="s">
        <v>155</v>
      </c>
      <c r="I2132" s="960"/>
      <c r="J2132" s="59"/>
      <c r="K2132" s="59"/>
    </row>
    <row r="2133" spans="1:11" x14ac:dyDescent="0.25">
      <c r="A2133" s="57" t="s">
        <v>154</v>
      </c>
      <c r="B2133" s="57" t="s">
        <v>80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40"/>
        <v>AGOSTO 2021</v>
      </c>
      <c r="F2133" s="57" t="str">
        <f t="shared" si="1241"/>
        <v>8 AGOSTO 2021</v>
      </c>
      <c r="G2133" s="59">
        <v>78.5</v>
      </c>
      <c r="H2133" s="1338" t="s">
        <v>155</v>
      </c>
      <c r="I2133" s="960"/>
      <c r="J2133" s="59"/>
      <c r="K2133" s="59"/>
    </row>
    <row r="2134" spans="1:11" x14ac:dyDescent="0.25">
      <c r="A2134" s="57" t="s">
        <v>310</v>
      </c>
      <c r="B2134" s="57" t="s">
        <v>80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40"/>
        <v>AGOSTO 2021</v>
      </c>
      <c r="F2134" s="57" t="str">
        <f t="shared" si="1241"/>
        <v>8 AGOSTO 2021</v>
      </c>
      <c r="G2134" s="59">
        <v>51.7</v>
      </c>
      <c r="H2134" s="1338" t="s">
        <v>75</v>
      </c>
      <c r="I2134" s="960"/>
      <c r="J2134" s="59"/>
      <c r="K2134" s="59"/>
    </row>
    <row r="2135" spans="1:11" x14ac:dyDescent="0.25">
      <c r="A2135" s="57" t="s">
        <v>108</v>
      </c>
      <c r="B2135" s="57" t="s">
        <v>80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40"/>
        <v>AGOSTO 2021</v>
      </c>
      <c r="F2135" s="57" t="str">
        <f t="shared" si="1241"/>
        <v>8 AGOSTO 2021</v>
      </c>
      <c r="G2135" s="59">
        <v>58.93</v>
      </c>
      <c r="H2135" s="1338" t="s">
        <v>75</v>
      </c>
      <c r="I2135" s="960"/>
      <c r="J2135" s="57" t="s">
        <v>108</v>
      </c>
      <c r="K2135" s="59"/>
    </row>
    <row r="2136" spans="1:11" x14ac:dyDescent="0.25">
      <c r="A2136" s="57" t="s">
        <v>86</v>
      </c>
      <c r="B2136" s="57" t="s">
        <v>80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40"/>
        <v>AGOSTO 2021</v>
      </c>
      <c r="F2136" s="57" t="str">
        <f t="shared" si="1241"/>
        <v>8 AGOSTO 2021</v>
      </c>
      <c r="G2136" s="59">
        <v>20</v>
      </c>
      <c r="H2136" s="1338" t="s">
        <v>69</v>
      </c>
      <c r="I2136" s="960"/>
      <c r="J2136" s="59"/>
      <c r="K2136" s="59"/>
    </row>
    <row r="2137" spans="1:11" x14ac:dyDescent="0.25">
      <c r="A2137" s="57" t="s">
        <v>108</v>
      </c>
      <c r="B2137" s="57" t="s">
        <v>80</v>
      </c>
      <c r="C2137" s="57">
        <v>2021</v>
      </c>
      <c r="D2137" s="58">
        <f>MATCH(B2137,{"GENNAIO","FEBBRAIO","MARZO","APRILE","MAGGIO","GIUGNO","LUGLIO","AGOSTO","SETTEMBRE","OTTOBRE","NOVEMBRE","DICEMBRE"},0)</f>
        <v>8</v>
      </c>
      <c r="E2137" s="57" t="str">
        <f t="shared" si="1240"/>
        <v>AGOSTO 2021</v>
      </c>
      <c r="F2137" s="57" t="str">
        <f t="shared" si="1241"/>
        <v>8 AGOSTO 2021</v>
      </c>
      <c r="G2137" s="59">
        <v>29.9</v>
      </c>
      <c r="H2137" s="1338" t="s">
        <v>75</v>
      </c>
      <c r="I2137" s="960"/>
      <c r="J2137" s="57" t="s">
        <v>108</v>
      </c>
      <c r="K2137" s="59"/>
    </row>
    <row r="2138" spans="1:11" x14ac:dyDescent="0.25">
      <c r="A2138" s="57" t="s">
        <v>311</v>
      </c>
      <c r="B2138" s="57" t="s">
        <v>80</v>
      </c>
      <c r="C2138" s="57">
        <v>2021</v>
      </c>
      <c r="D2138" s="58">
        <f>MATCH(B2138,{"GENNAIO","FEBBRAIO","MARZO","APRILE","MAGGIO","GIUGNO","LUGLIO","AGOSTO","SETTEMBRE","OTTOBRE","NOVEMBRE","DICEMBRE"},0)</f>
        <v>8</v>
      </c>
      <c r="E2138" s="57" t="str">
        <f t="shared" ref="E2138:E2201" si="1242">CONCATENATE(,B2138," ",C2138)</f>
        <v>AGOSTO 2021</v>
      </c>
      <c r="F2138" s="57" t="str">
        <f t="shared" ref="F2138:F2201" si="1243">CONCATENATE(D2138," ",E2138)</f>
        <v>8 AGOSTO 2021</v>
      </c>
      <c r="G2138" s="59">
        <v>19.5</v>
      </c>
      <c r="H2138" s="1338" t="s">
        <v>155</v>
      </c>
      <c r="I2138" s="960"/>
      <c r="J2138" s="59"/>
      <c r="K2138" s="59"/>
    </row>
    <row r="2139" spans="1:11" x14ac:dyDescent="0.25">
      <c r="A2139" s="57" t="s">
        <v>312</v>
      </c>
      <c r="B2139" s="57" t="s">
        <v>80</v>
      </c>
      <c r="C2139" s="57">
        <v>2021</v>
      </c>
      <c r="D2139" s="58">
        <f>MATCH(B2139,{"GENNAIO","FEBBRAIO","MARZO","APRILE","MAGGIO","GIUGNO","LUGLIO","AGOSTO","SETTEMBRE","OTTOBRE","NOVEMBRE","DICEMBRE"},0)</f>
        <v>8</v>
      </c>
      <c r="E2139" s="57" t="str">
        <f t="shared" si="1242"/>
        <v>AGOSTO 2021</v>
      </c>
      <c r="F2139" s="57" t="str">
        <f t="shared" si="1243"/>
        <v>8 AGOSTO 2021</v>
      </c>
      <c r="G2139" s="59">
        <v>91.7</v>
      </c>
      <c r="H2139" s="1338" t="s">
        <v>75</v>
      </c>
      <c r="I2139" s="960"/>
      <c r="J2139" s="59"/>
      <c r="K2139" s="59"/>
    </row>
    <row r="2140" spans="1:11" x14ac:dyDescent="0.25">
      <c r="A2140" s="57" t="s">
        <v>313</v>
      </c>
      <c r="B2140" s="57" t="s">
        <v>80</v>
      </c>
      <c r="C2140" s="57">
        <v>2021</v>
      </c>
      <c r="D2140" s="58">
        <f>MATCH(B2140,{"GENNAIO","FEBBRAIO","MARZO","APRILE","MAGGIO","GIUGNO","LUGLIO","AGOSTO","SETTEMBRE","OTTOBRE","NOVEMBRE","DICEMBRE"},0)</f>
        <v>8</v>
      </c>
      <c r="E2140" s="57" t="str">
        <f t="shared" si="1242"/>
        <v>AGOSTO 2021</v>
      </c>
      <c r="F2140" s="57" t="str">
        <f t="shared" si="1243"/>
        <v>8 AGOSTO 2021</v>
      </c>
      <c r="G2140" s="59">
        <v>5.5</v>
      </c>
      <c r="H2140" s="1338" t="s">
        <v>69</v>
      </c>
      <c r="I2140" s="960"/>
      <c r="J2140" s="59"/>
      <c r="K2140" s="59"/>
    </row>
    <row r="2141" spans="1:11" ht="16.5" customHeight="1" x14ac:dyDescent="0.25">
      <c r="A2141" s="57" t="s">
        <v>67</v>
      </c>
      <c r="B2141" s="57" t="s">
        <v>80</v>
      </c>
      <c r="C2141" s="57">
        <v>2021</v>
      </c>
      <c r="D2141" s="58">
        <f>MATCH(B2141,{"GENNAIO","FEBBRAIO","MARZO","APRILE","MAGGIO","GIUGNO","LUGLIO","AGOSTO","SETTEMBRE","OTTOBRE","NOVEMBRE","DICEMBRE"},0)</f>
        <v>8</v>
      </c>
      <c r="E2141" s="57" t="str">
        <f t="shared" si="1242"/>
        <v>AGOSTO 2021</v>
      </c>
      <c r="F2141" s="57" t="str">
        <f t="shared" si="1243"/>
        <v>8 AGOSTO 2021</v>
      </c>
      <c r="G2141" s="59">
        <v>5.0999999999999996</v>
      </c>
      <c r="H2141" s="1338" t="s">
        <v>69</v>
      </c>
      <c r="I2141" s="960"/>
      <c r="J2141" s="59"/>
      <c r="K2141" s="59"/>
    </row>
    <row r="2142" spans="1:11" ht="16.5" customHeight="1" x14ac:dyDescent="0.25">
      <c r="A2142" s="57" t="s">
        <v>314</v>
      </c>
      <c r="B2142" s="57" t="s">
        <v>80</v>
      </c>
      <c r="C2142" s="57">
        <v>2021</v>
      </c>
      <c r="D2142" s="58">
        <f>MATCH(B2142,{"GENNAIO","FEBBRAIO","MARZO","APRILE","MAGGIO","GIUGNO","LUGLIO","AGOSTO","SETTEMBRE","OTTOBRE","NOVEMBRE","DICEMBRE"},0)</f>
        <v>8</v>
      </c>
      <c r="E2142" s="57" t="str">
        <f t="shared" si="1242"/>
        <v>AGOSTO 2021</v>
      </c>
      <c r="F2142" s="57" t="str">
        <f t="shared" si="1243"/>
        <v>8 AGOSTO 2021</v>
      </c>
      <c r="G2142" s="59">
        <v>7.99</v>
      </c>
      <c r="H2142" s="1338" t="s">
        <v>174</v>
      </c>
      <c r="I2142" s="960"/>
      <c r="J2142" s="59"/>
      <c r="K2142" s="59"/>
    </row>
    <row r="2143" spans="1:11" ht="16.5" customHeight="1" x14ac:dyDescent="0.25">
      <c r="A2143" s="57" t="s">
        <v>108</v>
      </c>
      <c r="B2143" s="57" t="s">
        <v>80</v>
      </c>
      <c r="C2143" s="57">
        <v>2021</v>
      </c>
      <c r="D2143" s="58">
        <f>MATCH(B2143,{"GENNAIO","FEBBRAIO","MARZO","APRILE","MAGGIO","GIUGNO","LUGLIO","AGOSTO","SETTEMBRE","OTTOBRE","NOVEMBRE","DICEMBRE"},0)</f>
        <v>8</v>
      </c>
      <c r="E2143" s="57" t="str">
        <f t="shared" si="1242"/>
        <v>AGOSTO 2021</v>
      </c>
      <c r="F2143" s="57" t="str">
        <f t="shared" si="1243"/>
        <v>8 AGOSTO 2021</v>
      </c>
      <c r="G2143" s="59">
        <v>159.96</v>
      </c>
      <c r="H2143" s="1338" t="s">
        <v>75</v>
      </c>
      <c r="I2143" s="960"/>
      <c r="J2143" s="57" t="s">
        <v>108</v>
      </c>
      <c r="K2143" s="59"/>
    </row>
    <row r="2144" spans="1:11" x14ac:dyDescent="0.25">
      <c r="A2144" s="57" t="s">
        <v>315</v>
      </c>
      <c r="B2144" s="57" t="s">
        <v>80</v>
      </c>
      <c r="C2144" s="57">
        <v>2021</v>
      </c>
      <c r="D2144" s="58">
        <f>MATCH(B2144,{"GENNAIO","FEBBRAIO","MARZO","APRILE","MAGGIO","GIUGNO","LUGLIO","AGOSTO","SETTEMBRE","OTTOBRE","NOVEMBRE","DICEMBRE"},0)</f>
        <v>8</v>
      </c>
      <c r="E2144" s="57" t="str">
        <f t="shared" si="1242"/>
        <v>AGOSTO 2021</v>
      </c>
      <c r="F2144" s="57" t="str">
        <f t="shared" si="1243"/>
        <v>8 AGOSTO 2021</v>
      </c>
      <c r="G2144" s="59">
        <v>0.62</v>
      </c>
      <c r="H2144" s="1338" t="s">
        <v>91</v>
      </c>
      <c r="I2144" s="960"/>
      <c r="J2144" s="59"/>
      <c r="K2144" s="59"/>
    </row>
    <row r="2145" spans="1:11" x14ac:dyDescent="0.25">
      <c r="A2145" s="57" t="s">
        <v>316</v>
      </c>
      <c r="B2145" s="57" t="s">
        <v>80</v>
      </c>
      <c r="C2145" s="57">
        <v>2021</v>
      </c>
      <c r="D2145" s="58">
        <f>MATCH(B2145,{"GENNAIO","FEBBRAIO","MARZO","APRILE","MAGGIO","GIUGNO","LUGLIO","AGOSTO","SETTEMBRE","OTTOBRE","NOVEMBRE","DICEMBRE"},0)</f>
        <v>8</v>
      </c>
      <c r="E2145" s="57" t="str">
        <f t="shared" si="1242"/>
        <v>AGOSTO 2021</v>
      </c>
      <c r="F2145" s="57" t="str">
        <f t="shared" si="1243"/>
        <v>8 AGOSTO 2021</v>
      </c>
      <c r="G2145" s="59">
        <v>32.08</v>
      </c>
      <c r="H2145" s="1338" t="s">
        <v>91</v>
      </c>
      <c r="I2145" s="960"/>
      <c r="J2145" s="59"/>
      <c r="K2145" s="59"/>
    </row>
    <row r="2146" spans="1:11" ht="16.5" customHeight="1" x14ac:dyDescent="0.25">
      <c r="A2146" s="57" t="s">
        <v>317</v>
      </c>
      <c r="B2146" s="57" t="s">
        <v>80</v>
      </c>
      <c r="C2146" s="57">
        <v>2021</v>
      </c>
      <c r="D2146" s="58">
        <f>MATCH(B2146,{"GENNAIO","FEBBRAIO","MARZO","APRILE","MAGGIO","GIUGNO","LUGLIO","AGOSTO","SETTEMBRE","OTTOBRE","NOVEMBRE","DICEMBRE"},0)</f>
        <v>8</v>
      </c>
      <c r="E2146" s="57" t="str">
        <f t="shared" si="1242"/>
        <v>AGOSTO 2021</v>
      </c>
      <c r="F2146" s="57" t="str">
        <f t="shared" si="1243"/>
        <v>8 AGOSTO 2021</v>
      </c>
      <c r="G2146" s="59">
        <v>106.5</v>
      </c>
      <c r="H2146" s="1338" t="s">
        <v>772</v>
      </c>
      <c r="I2146" s="960"/>
      <c r="J2146" s="59"/>
      <c r="K2146" s="59"/>
    </row>
    <row r="2147" spans="1:11" x14ac:dyDescent="0.25">
      <c r="A2147" s="57" t="s">
        <v>67</v>
      </c>
      <c r="B2147" s="57" t="s">
        <v>80</v>
      </c>
      <c r="C2147" s="57">
        <v>2021</v>
      </c>
      <c r="D2147" s="58">
        <f>MATCH(B2147,{"GENNAIO","FEBBRAIO","MARZO","APRILE","MAGGIO","GIUGNO","LUGLIO","AGOSTO","SETTEMBRE","OTTOBRE","NOVEMBRE","DICEMBRE"},0)</f>
        <v>8</v>
      </c>
      <c r="E2147" s="57" t="str">
        <f t="shared" si="1242"/>
        <v>AGOSTO 2021</v>
      </c>
      <c r="F2147" s="57" t="str">
        <f t="shared" si="1243"/>
        <v>8 AGOSTO 2021</v>
      </c>
      <c r="G2147" s="59">
        <v>4</v>
      </c>
      <c r="H2147" s="1338" t="s">
        <v>69</v>
      </c>
      <c r="I2147" s="960"/>
      <c r="J2147" s="59"/>
      <c r="K2147" s="59"/>
    </row>
    <row r="2148" spans="1:11" ht="16.5" customHeight="1" x14ac:dyDescent="0.25">
      <c r="A2148" s="57" t="s">
        <v>67</v>
      </c>
      <c r="B2148" s="57" t="s">
        <v>119</v>
      </c>
      <c r="C2148" s="57">
        <v>2021</v>
      </c>
      <c r="D2148" s="58">
        <f>MATCH(B2148,{"GENNAIO","FEBBRAIO","MARZO","APRILE","MAGGIO","GIUGNO","LUGLIO","AGOSTO","SETTEMBRE","OTTOBRE","NOVEMBRE","DICEMBRE"},0)</f>
        <v>7</v>
      </c>
      <c r="E2148" s="57" t="str">
        <f t="shared" si="1242"/>
        <v>LUGLIO 2021</v>
      </c>
      <c r="F2148" s="57" t="str">
        <f t="shared" si="1243"/>
        <v>7 LUGLIO 2021</v>
      </c>
      <c r="G2148" s="59">
        <v>4.0999999999999996</v>
      </c>
      <c r="H2148" s="1338" t="s">
        <v>69</v>
      </c>
      <c r="I2148" s="960"/>
      <c r="J2148" s="59"/>
      <c r="K2148" s="59"/>
    </row>
    <row r="2149" spans="1:11" x14ac:dyDescent="0.25">
      <c r="A2149" s="57" t="s">
        <v>136</v>
      </c>
      <c r="B2149" s="57" t="s">
        <v>119</v>
      </c>
      <c r="C2149" s="57">
        <v>2021</v>
      </c>
      <c r="D2149" s="58">
        <f>MATCH(B2149,{"GENNAIO","FEBBRAIO","MARZO","APRILE","MAGGIO","GIUGNO","LUGLIO","AGOSTO","SETTEMBRE","OTTOBRE","NOVEMBRE","DICEMBRE"},0)</f>
        <v>7</v>
      </c>
      <c r="E2149" s="57" t="str">
        <f t="shared" si="1242"/>
        <v>LUGLIO 2021</v>
      </c>
      <c r="F2149" s="57" t="str">
        <f t="shared" si="1243"/>
        <v>7 LUGLIO 2021</v>
      </c>
      <c r="G2149" s="59">
        <v>89.9</v>
      </c>
      <c r="H2149" s="1338" t="s">
        <v>137</v>
      </c>
      <c r="I2149" s="960"/>
      <c r="J2149" s="59"/>
      <c r="K2149" s="59"/>
    </row>
    <row r="2150" spans="1:11" ht="16.5" customHeight="1" x14ac:dyDescent="0.25">
      <c r="A2150" s="57" t="s">
        <v>67</v>
      </c>
      <c r="B2150" s="57" t="s">
        <v>119</v>
      </c>
      <c r="C2150" s="57">
        <v>2021</v>
      </c>
      <c r="D2150" s="58">
        <f>MATCH(B2150,{"GENNAIO","FEBBRAIO","MARZO","APRILE","MAGGIO","GIUGNO","LUGLIO","AGOSTO","SETTEMBRE","OTTOBRE","NOVEMBRE","DICEMBRE"},0)</f>
        <v>7</v>
      </c>
      <c r="E2150" s="57" t="str">
        <f t="shared" si="1242"/>
        <v>LUGLIO 2021</v>
      </c>
      <c r="F2150" s="57" t="str">
        <f t="shared" si="1243"/>
        <v>7 LUGLIO 2021</v>
      </c>
      <c r="G2150" s="59">
        <v>5.0999999999999996</v>
      </c>
      <c r="H2150" s="1338" t="s">
        <v>69</v>
      </c>
      <c r="I2150" s="960"/>
      <c r="J2150" s="59"/>
      <c r="K2150" s="59"/>
    </row>
    <row r="2151" spans="1:11" x14ac:dyDescent="0.25">
      <c r="A2151" s="57" t="s">
        <v>110</v>
      </c>
      <c r="B2151" s="57" t="s">
        <v>119</v>
      </c>
      <c r="C2151" s="57">
        <v>2021</v>
      </c>
      <c r="D2151" s="58">
        <f>MATCH(B2151,{"GENNAIO","FEBBRAIO","MARZO","APRILE","MAGGIO","GIUGNO","LUGLIO","AGOSTO","SETTEMBRE","OTTOBRE","NOVEMBRE","DICEMBRE"},0)</f>
        <v>7</v>
      </c>
      <c r="E2151" s="57" t="str">
        <f t="shared" si="1242"/>
        <v>LUGLIO 2021</v>
      </c>
      <c r="F2151" s="57" t="str">
        <f t="shared" si="1243"/>
        <v>7 LUGLIO 2021</v>
      </c>
      <c r="G2151" s="59">
        <v>341.27</v>
      </c>
      <c r="H2151" s="1338" t="s">
        <v>772</v>
      </c>
      <c r="I2151" s="960"/>
      <c r="J2151" s="59"/>
      <c r="K2151" s="59"/>
    </row>
    <row r="2152" spans="1:11" x14ac:dyDescent="0.25">
      <c r="A2152" s="57" t="s">
        <v>67</v>
      </c>
      <c r="B2152" s="57" t="s">
        <v>119</v>
      </c>
      <c r="C2152" s="57">
        <v>2021</v>
      </c>
      <c r="D2152" s="58">
        <f>MATCH(B2152,{"GENNAIO","FEBBRAIO","MARZO","APRILE","MAGGIO","GIUGNO","LUGLIO","AGOSTO","SETTEMBRE","OTTOBRE","NOVEMBRE","DICEMBRE"},0)</f>
        <v>7</v>
      </c>
      <c r="E2152" s="57" t="str">
        <f t="shared" si="1242"/>
        <v>LUGLIO 2021</v>
      </c>
      <c r="F2152" s="57" t="str">
        <f t="shared" si="1243"/>
        <v>7 LUGLIO 2021</v>
      </c>
      <c r="G2152" s="59">
        <v>5.0999999999999996</v>
      </c>
      <c r="H2152" s="1338" t="s">
        <v>69</v>
      </c>
      <c r="I2152" s="960"/>
      <c r="J2152" s="59"/>
      <c r="K2152" s="59"/>
    </row>
    <row r="2153" spans="1:11" x14ac:dyDescent="0.25">
      <c r="A2153" s="57" t="s">
        <v>318</v>
      </c>
      <c r="B2153" s="57" t="s">
        <v>119</v>
      </c>
      <c r="C2153" s="57">
        <v>2021</v>
      </c>
      <c r="D2153" s="58">
        <f>MATCH(B2153,{"GENNAIO","FEBBRAIO","MARZO","APRILE","MAGGIO","GIUGNO","LUGLIO","AGOSTO","SETTEMBRE","OTTOBRE","NOVEMBRE","DICEMBRE"},0)</f>
        <v>7</v>
      </c>
      <c r="E2153" s="57" t="str">
        <f t="shared" si="1242"/>
        <v>LUGLIO 2021</v>
      </c>
      <c r="F2153" s="57" t="str">
        <f t="shared" si="1243"/>
        <v>7 LUGLIO 2021</v>
      </c>
      <c r="G2153" s="59">
        <v>66.59</v>
      </c>
      <c r="H2153" s="1338" t="s">
        <v>231</v>
      </c>
      <c r="I2153" s="960"/>
      <c r="J2153" s="59"/>
      <c r="K2153" s="59"/>
    </row>
    <row r="2154" spans="1:11" x14ac:dyDescent="0.25">
      <c r="A2154" s="57" t="s">
        <v>164</v>
      </c>
      <c r="B2154" s="57" t="s">
        <v>119</v>
      </c>
      <c r="C2154" s="57">
        <v>2021</v>
      </c>
      <c r="D2154" s="58">
        <f>MATCH(B2154,{"GENNAIO","FEBBRAIO","MARZO","APRILE","MAGGIO","GIUGNO","LUGLIO","AGOSTO","SETTEMBRE","OTTOBRE","NOVEMBRE","DICEMBRE"},0)</f>
        <v>7</v>
      </c>
      <c r="E2154" s="57" t="str">
        <f t="shared" si="1242"/>
        <v>LUGLIO 2021</v>
      </c>
      <c r="F2154" s="57" t="str">
        <f t="shared" si="1243"/>
        <v>7 LUGLIO 2021</v>
      </c>
      <c r="G2154" s="59">
        <v>31.87</v>
      </c>
      <c r="H2154" s="1338" t="s">
        <v>77</v>
      </c>
      <c r="I2154" s="960"/>
      <c r="J2154" s="59"/>
      <c r="K2154" s="59"/>
    </row>
    <row r="2155" spans="1:11" x14ac:dyDescent="0.25">
      <c r="A2155" s="57" t="s">
        <v>79</v>
      </c>
      <c r="B2155" s="57" t="s">
        <v>119</v>
      </c>
      <c r="C2155" s="57">
        <v>2021</v>
      </c>
      <c r="D2155" s="58">
        <f>MATCH(B2155,{"GENNAIO","FEBBRAIO","MARZO","APRILE","MAGGIO","GIUGNO","LUGLIO","AGOSTO","SETTEMBRE","OTTOBRE","NOVEMBRE","DICEMBRE"},0)</f>
        <v>7</v>
      </c>
      <c r="E2155" s="57" t="str">
        <f t="shared" si="1242"/>
        <v>LUGLIO 2021</v>
      </c>
      <c r="F2155" s="57" t="str">
        <f t="shared" si="1243"/>
        <v>7 LUGLIO 2021</v>
      </c>
      <c r="G2155" s="59">
        <v>55.49</v>
      </c>
      <c r="H2155" s="1338" t="s">
        <v>81</v>
      </c>
      <c r="I2155" s="960"/>
      <c r="J2155" s="59"/>
      <c r="K2155" s="59"/>
    </row>
    <row r="2156" spans="1:11" x14ac:dyDescent="0.25">
      <c r="A2156" s="57" t="s">
        <v>306</v>
      </c>
      <c r="B2156" s="57" t="s">
        <v>119</v>
      </c>
      <c r="C2156" s="57">
        <v>2021</v>
      </c>
      <c r="D2156" s="58">
        <f>MATCH(B2156,{"GENNAIO","FEBBRAIO","MARZO","APRILE","MAGGIO","GIUGNO","LUGLIO","AGOSTO","SETTEMBRE","OTTOBRE","NOVEMBRE","DICEMBRE"},0)</f>
        <v>7</v>
      </c>
      <c r="E2156" s="57" t="str">
        <f t="shared" si="1242"/>
        <v>LUGLIO 2021</v>
      </c>
      <c r="F2156" s="57" t="str">
        <f t="shared" si="1243"/>
        <v>7 LUGLIO 2021</v>
      </c>
      <c r="G2156" s="59">
        <v>68.430000000000007</v>
      </c>
      <c r="H2156" s="1338" t="s">
        <v>77</v>
      </c>
      <c r="I2156" s="960"/>
      <c r="J2156" s="59"/>
      <c r="K2156" s="59"/>
    </row>
    <row r="2157" spans="1:11" x14ac:dyDescent="0.25">
      <c r="A2157" s="57" t="s">
        <v>319</v>
      </c>
      <c r="B2157" s="57" t="s">
        <v>119</v>
      </c>
      <c r="C2157" s="57">
        <v>2021</v>
      </c>
      <c r="D2157" s="58">
        <f>MATCH(B2157,{"GENNAIO","FEBBRAIO","MARZO","APRILE","MAGGIO","GIUGNO","LUGLIO","AGOSTO","SETTEMBRE","OTTOBRE","NOVEMBRE","DICEMBRE"},0)</f>
        <v>7</v>
      </c>
      <c r="E2157" s="57" t="str">
        <f t="shared" si="1242"/>
        <v>LUGLIO 2021</v>
      </c>
      <c r="F2157" s="57" t="str">
        <f t="shared" si="1243"/>
        <v>7 LUGLIO 2021</v>
      </c>
      <c r="G2157" s="59">
        <v>33</v>
      </c>
      <c r="H2157" s="1338" t="s">
        <v>69</v>
      </c>
      <c r="I2157" s="960"/>
      <c r="J2157" s="59"/>
      <c r="K2157" s="59"/>
    </row>
    <row r="2158" spans="1:11" x14ac:dyDescent="0.25">
      <c r="A2158" s="57" t="s">
        <v>108</v>
      </c>
      <c r="B2158" s="57" t="s">
        <v>119</v>
      </c>
      <c r="C2158" s="57">
        <v>2021</v>
      </c>
      <c r="D2158" s="58">
        <f>MATCH(B2158,{"GENNAIO","FEBBRAIO","MARZO","APRILE","MAGGIO","GIUGNO","LUGLIO","AGOSTO","SETTEMBRE","OTTOBRE","NOVEMBRE","DICEMBRE"},0)</f>
        <v>7</v>
      </c>
      <c r="E2158" s="57" t="str">
        <f t="shared" si="1242"/>
        <v>LUGLIO 2021</v>
      </c>
      <c r="F2158" s="57" t="str">
        <f t="shared" si="1243"/>
        <v>7 LUGLIO 2021</v>
      </c>
      <c r="G2158" s="59">
        <v>38.630000000000003</v>
      </c>
      <c r="H2158" s="1338" t="s">
        <v>75</v>
      </c>
      <c r="I2158" s="960" t="s">
        <v>1045</v>
      </c>
      <c r="J2158" s="57" t="s">
        <v>108</v>
      </c>
      <c r="K2158" s="59" t="s">
        <v>1029</v>
      </c>
    </row>
    <row r="2159" spans="1:11" x14ac:dyDescent="0.25">
      <c r="A2159" s="57" t="s">
        <v>108</v>
      </c>
      <c r="B2159" s="57" t="s">
        <v>131</v>
      </c>
      <c r="C2159" s="57">
        <v>2021</v>
      </c>
      <c r="D2159" s="58">
        <f>MATCH(B2159,{"GENNAIO","FEBBRAIO","MARZO","APRILE","MAGGIO","GIUGNO","LUGLIO","AGOSTO","SETTEMBRE","OTTOBRE","NOVEMBRE","DICEMBRE"},0)</f>
        <v>6</v>
      </c>
      <c r="E2159" s="57" t="str">
        <f t="shared" si="1242"/>
        <v>GIUGNO 2021</v>
      </c>
      <c r="F2159" s="57" t="str">
        <f t="shared" si="1243"/>
        <v>6 GIUGNO 2021</v>
      </c>
      <c r="G2159" s="59">
        <v>13.3</v>
      </c>
      <c r="H2159" s="1338" t="s">
        <v>75</v>
      </c>
      <c r="I2159" s="960"/>
      <c r="J2159" s="57" t="s">
        <v>108</v>
      </c>
      <c r="K2159" s="59"/>
    </row>
    <row r="2160" spans="1:11" x14ac:dyDescent="0.25">
      <c r="A2160" s="57" t="s">
        <v>108</v>
      </c>
      <c r="B2160" s="57" t="s">
        <v>131</v>
      </c>
      <c r="C2160" s="57">
        <v>2021</v>
      </c>
      <c r="D2160" s="58">
        <f>MATCH(B2160,{"GENNAIO","FEBBRAIO","MARZO","APRILE","MAGGIO","GIUGNO","LUGLIO","AGOSTO","SETTEMBRE","OTTOBRE","NOVEMBRE","DICEMBRE"},0)</f>
        <v>6</v>
      </c>
      <c r="E2160" s="57" t="str">
        <f t="shared" si="1242"/>
        <v>GIUGNO 2021</v>
      </c>
      <c r="F2160" s="57" t="str">
        <f t="shared" si="1243"/>
        <v>6 GIUGNO 2021</v>
      </c>
      <c r="G2160" s="59">
        <v>19.97</v>
      </c>
      <c r="H2160" s="1338" t="s">
        <v>75</v>
      </c>
      <c r="I2160" s="960"/>
      <c r="J2160" s="57" t="s">
        <v>108</v>
      </c>
      <c r="K2160" s="59"/>
    </row>
    <row r="2161" spans="1:11" x14ac:dyDescent="0.25">
      <c r="A2161" s="57" t="s">
        <v>108</v>
      </c>
      <c r="B2161" s="57" t="s">
        <v>131</v>
      </c>
      <c r="C2161" s="57">
        <v>2021</v>
      </c>
      <c r="D2161" s="58">
        <f>MATCH(B2161,{"GENNAIO","FEBBRAIO","MARZO","APRILE","MAGGIO","GIUGNO","LUGLIO","AGOSTO","SETTEMBRE","OTTOBRE","NOVEMBRE","DICEMBRE"},0)</f>
        <v>6</v>
      </c>
      <c r="E2161" s="57" t="str">
        <f t="shared" si="1242"/>
        <v>GIUGNO 2021</v>
      </c>
      <c r="F2161" s="57" t="str">
        <f t="shared" si="1243"/>
        <v>6 GIUGNO 2021</v>
      </c>
      <c r="G2161" s="59">
        <v>15.18</v>
      </c>
      <c r="H2161" s="1338" t="s">
        <v>75</v>
      </c>
      <c r="I2161" s="960"/>
      <c r="J2161" s="57" t="s">
        <v>108</v>
      </c>
      <c r="K2161" s="59"/>
    </row>
    <row r="2162" spans="1:11" x14ac:dyDescent="0.25">
      <c r="A2162" s="57" t="s">
        <v>313</v>
      </c>
      <c r="B2162" s="57" t="s">
        <v>131</v>
      </c>
      <c r="C2162" s="57">
        <v>2021</v>
      </c>
      <c r="D2162" s="58">
        <f>MATCH(B2162,{"GENNAIO","FEBBRAIO","MARZO","APRILE","MAGGIO","GIUGNO","LUGLIO","AGOSTO","SETTEMBRE","OTTOBRE","NOVEMBRE","DICEMBRE"},0)</f>
        <v>6</v>
      </c>
      <c r="E2162" s="57" t="str">
        <f t="shared" si="1242"/>
        <v>GIUGNO 2021</v>
      </c>
      <c r="F2162" s="57" t="str">
        <f t="shared" si="1243"/>
        <v>6 GIUGNO 2021</v>
      </c>
      <c r="G2162" s="59">
        <v>5.5</v>
      </c>
      <c r="H2162" s="1338" t="s">
        <v>69</v>
      </c>
      <c r="I2162" s="960"/>
      <c r="J2162" s="59"/>
      <c r="K2162" s="59"/>
    </row>
    <row r="2163" spans="1:11" x14ac:dyDescent="0.25">
      <c r="A2163" s="57" t="s">
        <v>67</v>
      </c>
      <c r="B2163" s="57" t="s">
        <v>131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42"/>
        <v>GIUGNO 2021</v>
      </c>
      <c r="F2163" s="57" t="str">
        <f t="shared" si="1243"/>
        <v>6 GIUGNO 2021</v>
      </c>
      <c r="G2163" s="59">
        <v>4.0999999999999996</v>
      </c>
      <c r="H2163" s="1338" t="s">
        <v>69</v>
      </c>
      <c r="I2163" s="960"/>
      <c r="J2163" s="59"/>
      <c r="K2163" s="59"/>
    </row>
    <row r="2164" spans="1:11" x14ac:dyDescent="0.25">
      <c r="A2164" s="57" t="s">
        <v>67</v>
      </c>
      <c r="B2164" s="57" t="s">
        <v>131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42"/>
        <v>GIUGNO 2021</v>
      </c>
      <c r="F2164" s="57" t="str">
        <f t="shared" si="1243"/>
        <v>6 GIUGNO 2021</v>
      </c>
      <c r="G2164" s="59">
        <v>5.0999999999999996</v>
      </c>
      <c r="H2164" s="1338" t="s">
        <v>69</v>
      </c>
      <c r="I2164" s="960"/>
      <c r="J2164" s="59"/>
      <c r="K2164" s="59"/>
    </row>
    <row r="2165" spans="1:11" x14ac:dyDescent="0.25">
      <c r="A2165" s="57" t="s">
        <v>67</v>
      </c>
      <c r="B2165" s="57" t="s">
        <v>131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42"/>
        <v>GIUGNO 2021</v>
      </c>
      <c r="F2165" s="57" t="str">
        <f t="shared" si="1243"/>
        <v>6 GIUGNO 2021</v>
      </c>
      <c r="G2165" s="59">
        <v>4.0999999999999996</v>
      </c>
      <c r="H2165" s="1338" t="s">
        <v>69</v>
      </c>
      <c r="I2165" s="960"/>
      <c r="J2165" s="59"/>
      <c r="K2165" s="59"/>
    </row>
    <row r="2166" spans="1:11" x14ac:dyDescent="0.25">
      <c r="A2166" s="57" t="s">
        <v>320</v>
      </c>
      <c r="B2166" s="57" t="s">
        <v>131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42"/>
        <v>GIUGNO 2021</v>
      </c>
      <c r="F2166" s="57" t="str">
        <f t="shared" si="1243"/>
        <v>6 GIUGNO 2021</v>
      </c>
      <c r="G2166" s="59">
        <v>31.5</v>
      </c>
      <c r="H2166" s="1338" t="s">
        <v>69</v>
      </c>
      <c r="I2166" s="960"/>
      <c r="J2166" s="59"/>
      <c r="K2166" s="59"/>
    </row>
    <row r="2167" spans="1:11" x14ac:dyDescent="0.25">
      <c r="A2167" s="57" t="s">
        <v>321</v>
      </c>
      <c r="B2167" s="57" t="s">
        <v>131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42"/>
        <v>GIUGNO 2021</v>
      </c>
      <c r="F2167" s="57" t="str">
        <f t="shared" si="1243"/>
        <v>6 GIUGNO 2021</v>
      </c>
      <c r="G2167" s="59">
        <v>33.9</v>
      </c>
      <c r="H2167" s="1338" t="s">
        <v>155</v>
      </c>
      <c r="I2167" s="960"/>
      <c r="J2167" s="59"/>
      <c r="K2167" s="59"/>
    </row>
    <row r="2168" spans="1:11" x14ac:dyDescent="0.25">
      <c r="A2168" s="57" t="s">
        <v>67</v>
      </c>
      <c r="B2168" s="57" t="s">
        <v>131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42"/>
        <v>GIUGNO 2021</v>
      </c>
      <c r="F2168" s="57" t="str">
        <f t="shared" si="1243"/>
        <v>6 GIUGNO 2021</v>
      </c>
      <c r="G2168" s="59">
        <v>5</v>
      </c>
      <c r="H2168" s="1338" t="s">
        <v>776</v>
      </c>
      <c r="I2168" s="960"/>
      <c r="J2168" s="59"/>
      <c r="K2168" s="59"/>
    </row>
    <row r="2169" spans="1:11" x14ac:dyDescent="0.25">
      <c r="A2169" s="57" t="s">
        <v>321</v>
      </c>
      <c r="B2169" s="57" t="s">
        <v>131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42"/>
        <v>GIUGNO 2021</v>
      </c>
      <c r="F2169" s="57" t="str">
        <f t="shared" si="1243"/>
        <v>6 GIUGNO 2021</v>
      </c>
      <c r="G2169" s="59">
        <v>18.899999999999999</v>
      </c>
      <c r="H2169" s="1338" t="s">
        <v>155</v>
      </c>
      <c r="I2169" s="960"/>
      <c r="J2169" s="59"/>
      <c r="K2169" s="59"/>
    </row>
    <row r="2170" spans="1:11" x14ac:dyDescent="0.25">
      <c r="A2170" s="57" t="s">
        <v>321</v>
      </c>
      <c r="B2170" s="57" t="s">
        <v>131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42"/>
        <v>GIUGNO 2021</v>
      </c>
      <c r="F2170" s="57" t="str">
        <f t="shared" si="1243"/>
        <v>6 GIUGNO 2021</v>
      </c>
      <c r="G2170" s="59">
        <v>11.9</v>
      </c>
      <c r="H2170" s="1338" t="s">
        <v>155</v>
      </c>
      <c r="I2170" s="960"/>
      <c r="J2170" s="59"/>
      <c r="K2170" s="59"/>
    </row>
    <row r="2171" spans="1:11" x14ac:dyDescent="0.25">
      <c r="A2171" s="57" t="s">
        <v>321</v>
      </c>
      <c r="B2171" s="57" t="s">
        <v>131</v>
      </c>
      <c r="C2171" s="57">
        <v>2021</v>
      </c>
      <c r="D2171" s="58">
        <f>MATCH(B2171,{"GENNAIO","FEBBRAIO","MARZO","APRILE","MAGGIO","GIUGNO","LUGLIO","AGOSTO","SETTEMBRE","OTTOBRE","NOVEMBRE","DICEMBRE"},0)</f>
        <v>6</v>
      </c>
      <c r="E2171" s="57" t="str">
        <f t="shared" si="1242"/>
        <v>GIUGNO 2021</v>
      </c>
      <c r="F2171" s="57" t="str">
        <f t="shared" si="1243"/>
        <v>6 GIUGNO 2021</v>
      </c>
      <c r="G2171" s="59">
        <v>16.2</v>
      </c>
      <c r="H2171" s="1338" t="s">
        <v>155</v>
      </c>
      <c r="I2171" s="960"/>
      <c r="J2171" s="59"/>
      <c r="K2171" s="59"/>
    </row>
    <row r="2172" spans="1:11" x14ac:dyDescent="0.25">
      <c r="A2172" s="57" t="s">
        <v>321</v>
      </c>
      <c r="B2172" s="57" t="s">
        <v>131</v>
      </c>
      <c r="C2172" s="57">
        <v>2021</v>
      </c>
      <c r="D2172" s="58">
        <f>MATCH(B2172,{"GENNAIO","FEBBRAIO","MARZO","APRILE","MAGGIO","GIUGNO","LUGLIO","AGOSTO","SETTEMBRE","OTTOBRE","NOVEMBRE","DICEMBRE"},0)</f>
        <v>6</v>
      </c>
      <c r="E2172" s="57" t="str">
        <f t="shared" si="1242"/>
        <v>GIUGNO 2021</v>
      </c>
      <c r="F2172" s="57" t="str">
        <f t="shared" si="1243"/>
        <v>6 GIUGNO 2021</v>
      </c>
      <c r="G2172" s="59">
        <v>57</v>
      </c>
      <c r="H2172" s="1338" t="s">
        <v>155</v>
      </c>
      <c r="I2172" s="960"/>
      <c r="J2172" s="59"/>
      <c r="K2172" s="59"/>
    </row>
    <row r="2173" spans="1:11" x14ac:dyDescent="0.25">
      <c r="A2173" s="57" t="s">
        <v>322</v>
      </c>
      <c r="B2173" s="57" t="s">
        <v>131</v>
      </c>
      <c r="C2173" s="57">
        <v>2021</v>
      </c>
      <c r="D2173" s="58">
        <f>MATCH(B2173,{"GENNAIO","FEBBRAIO","MARZO","APRILE","MAGGIO","GIUGNO","LUGLIO","AGOSTO","SETTEMBRE","OTTOBRE","NOVEMBRE","DICEMBRE"},0)</f>
        <v>6</v>
      </c>
      <c r="E2173" s="57" t="str">
        <f t="shared" si="1242"/>
        <v>GIUGNO 2021</v>
      </c>
      <c r="F2173" s="57" t="str">
        <f t="shared" si="1243"/>
        <v>6 GIUGNO 2021</v>
      </c>
      <c r="G2173" s="59">
        <v>69.599999999999994</v>
      </c>
      <c r="H2173" s="1338" t="s">
        <v>69</v>
      </c>
      <c r="I2173" s="960"/>
      <c r="J2173" s="59"/>
      <c r="K2173" s="59"/>
    </row>
    <row r="2174" spans="1:11" x14ac:dyDescent="0.25">
      <c r="A2174" s="57" t="s">
        <v>108</v>
      </c>
      <c r="B2174" s="57" t="s">
        <v>131</v>
      </c>
      <c r="C2174" s="57">
        <v>2021</v>
      </c>
      <c r="D2174" s="58">
        <f>MATCH(B2174,{"GENNAIO","FEBBRAIO","MARZO","APRILE","MAGGIO","GIUGNO","LUGLIO","AGOSTO","SETTEMBRE","OTTOBRE","NOVEMBRE","DICEMBRE"},0)</f>
        <v>6</v>
      </c>
      <c r="E2174" s="57" t="str">
        <f t="shared" si="1242"/>
        <v>GIUGNO 2021</v>
      </c>
      <c r="F2174" s="57" t="str">
        <f t="shared" si="1243"/>
        <v>6 GIUGNO 2021</v>
      </c>
      <c r="G2174" s="59">
        <v>59.99</v>
      </c>
      <c r="H2174" s="1338" t="s">
        <v>75</v>
      </c>
      <c r="I2174" s="960"/>
      <c r="J2174" s="57" t="s">
        <v>108</v>
      </c>
      <c r="K2174" s="59"/>
    </row>
    <row r="2175" spans="1:11" x14ac:dyDescent="0.25">
      <c r="A2175" s="57" t="s">
        <v>108</v>
      </c>
      <c r="B2175" s="57" t="s">
        <v>131</v>
      </c>
      <c r="C2175" s="57">
        <v>2021</v>
      </c>
      <c r="D2175" s="58">
        <f>MATCH(B2175,{"GENNAIO","FEBBRAIO","MARZO","APRILE","MAGGIO","GIUGNO","LUGLIO","AGOSTO","SETTEMBRE","OTTOBRE","NOVEMBRE","DICEMBRE"},0)</f>
        <v>6</v>
      </c>
      <c r="E2175" s="57" t="str">
        <f t="shared" si="1242"/>
        <v>GIUGNO 2021</v>
      </c>
      <c r="F2175" s="57" t="str">
        <f t="shared" si="1243"/>
        <v>6 GIUGNO 2021</v>
      </c>
      <c r="G2175" s="59">
        <v>21.26</v>
      </c>
      <c r="H2175" s="1338" t="s">
        <v>75</v>
      </c>
      <c r="I2175" s="960"/>
      <c r="J2175" s="57" t="s">
        <v>108</v>
      </c>
      <c r="K2175" s="59"/>
    </row>
    <row r="2176" spans="1:11" x14ac:dyDescent="0.25">
      <c r="A2176" s="57" t="s">
        <v>108</v>
      </c>
      <c r="B2176" s="57" t="s">
        <v>131</v>
      </c>
      <c r="C2176" s="57">
        <v>2021</v>
      </c>
      <c r="D2176" s="58">
        <f>MATCH(B2176,{"GENNAIO","FEBBRAIO","MARZO","APRILE","MAGGIO","GIUGNO","LUGLIO","AGOSTO","SETTEMBRE","OTTOBRE","NOVEMBRE","DICEMBRE"},0)</f>
        <v>6</v>
      </c>
      <c r="E2176" s="57" t="str">
        <f t="shared" si="1242"/>
        <v>GIUGNO 2021</v>
      </c>
      <c r="F2176" s="57" t="str">
        <f t="shared" si="1243"/>
        <v>6 GIUGNO 2021</v>
      </c>
      <c r="G2176" s="59">
        <v>38.630000000000003</v>
      </c>
      <c r="H2176" s="1338" t="s">
        <v>75</v>
      </c>
      <c r="I2176" s="960" t="s">
        <v>1043</v>
      </c>
      <c r="J2176" s="57" t="s">
        <v>108</v>
      </c>
      <c r="K2176" s="59" t="s">
        <v>1029</v>
      </c>
    </row>
    <row r="2177" spans="1:11" x14ac:dyDescent="0.25">
      <c r="A2177" s="57" t="s">
        <v>108</v>
      </c>
      <c r="B2177" s="57" t="s">
        <v>131</v>
      </c>
      <c r="C2177" s="57">
        <v>2021</v>
      </c>
      <c r="D2177" s="58">
        <f>MATCH(B2177,{"GENNAIO","FEBBRAIO","MARZO","APRILE","MAGGIO","GIUGNO","LUGLIO","AGOSTO","SETTEMBRE","OTTOBRE","NOVEMBRE","DICEMBRE"},0)</f>
        <v>6</v>
      </c>
      <c r="E2177" s="57" t="str">
        <f t="shared" si="1242"/>
        <v>GIUGNO 2021</v>
      </c>
      <c r="F2177" s="57" t="str">
        <f t="shared" si="1243"/>
        <v>6 GIUGNO 2021</v>
      </c>
      <c r="G2177" s="59">
        <v>28.99</v>
      </c>
      <c r="H2177" s="1338" t="s">
        <v>75</v>
      </c>
      <c r="I2177" s="960"/>
      <c r="J2177" s="57" t="s">
        <v>108</v>
      </c>
      <c r="K2177" s="59"/>
    </row>
    <row r="2178" spans="1:11" x14ac:dyDescent="0.25">
      <c r="A2178" s="57" t="s">
        <v>305</v>
      </c>
      <c r="B2178" s="57" t="s">
        <v>131</v>
      </c>
      <c r="C2178" s="57">
        <v>2021</v>
      </c>
      <c r="D2178" s="58">
        <f>MATCH(B2178,{"GENNAIO","FEBBRAIO","MARZO","APRILE","MAGGIO","GIUGNO","LUGLIO","AGOSTO","SETTEMBRE","OTTOBRE","NOVEMBRE","DICEMBRE"},0)</f>
        <v>6</v>
      </c>
      <c r="E2178" s="57" t="str">
        <f t="shared" si="1242"/>
        <v>GIUGNO 2021</v>
      </c>
      <c r="F2178" s="57" t="str">
        <f t="shared" si="1243"/>
        <v>6 GIUGNO 2021</v>
      </c>
      <c r="G2178" s="59">
        <v>20.8</v>
      </c>
      <c r="H2178" s="1338" t="s">
        <v>75</v>
      </c>
      <c r="I2178" s="960"/>
      <c r="J2178" s="59"/>
      <c r="K2178" s="59"/>
    </row>
    <row r="2179" spans="1:11" x14ac:dyDescent="0.25">
      <c r="A2179" s="57" t="s">
        <v>322</v>
      </c>
      <c r="B2179" s="57" t="s">
        <v>131</v>
      </c>
      <c r="C2179" s="57">
        <v>2021</v>
      </c>
      <c r="D2179" s="58">
        <f>MATCH(B2179,{"GENNAIO","FEBBRAIO","MARZO","APRILE","MAGGIO","GIUGNO","LUGLIO","AGOSTO","SETTEMBRE","OTTOBRE","NOVEMBRE","DICEMBRE"},0)</f>
        <v>6</v>
      </c>
      <c r="E2179" s="57" t="str">
        <f t="shared" si="1242"/>
        <v>GIUGNO 2021</v>
      </c>
      <c r="F2179" s="57" t="str">
        <f t="shared" si="1243"/>
        <v>6 GIUGNO 2021</v>
      </c>
      <c r="G2179" s="59">
        <v>18.3</v>
      </c>
      <c r="H2179" s="1338" t="s">
        <v>69</v>
      </c>
      <c r="I2179" s="960"/>
      <c r="J2179" s="59"/>
      <c r="K2179" s="59"/>
    </row>
    <row r="2180" spans="1:11" x14ac:dyDescent="0.25">
      <c r="A2180" s="57" t="s">
        <v>289</v>
      </c>
      <c r="B2180" s="57" t="s">
        <v>131</v>
      </c>
      <c r="C2180" s="57">
        <v>2021</v>
      </c>
      <c r="D2180" s="58">
        <f>MATCH(B2180,{"GENNAIO","FEBBRAIO","MARZO","APRILE","MAGGIO","GIUGNO","LUGLIO","AGOSTO","SETTEMBRE","OTTOBRE","NOVEMBRE","DICEMBRE"},0)</f>
        <v>6</v>
      </c>
      <c r="E2180" s="57" t="str">
        <f t="shared" si="1242"/>
        <v>GIUGNO 2021</v>
      </c>
      <c r="F2180" s="57" t="str">
        <f t="shared" si="1243"/>
        <v>6 GIUGNO 2021</v>
      </c>
      <c r="G2180" s="59">
        <v>66.48</v>
      </c>
      <c r="H2180" s="1338" t="s">
        <v>91</v>
      </c>
      <c r="I2180" s="960"/>
      <c r="J2180" s="59"/>
      <c r="K2180" s="59"/>
    </row>
    <row r="2181" spans="1:11" x14ac:dyDescent="0.25">
      <c r="A2181" s="57" t="s">
        <v>108</v>
      </c>
      <c r="B2181" s="57" t="s">
        <v>131</v>
      </c>
      <c r="C2181" s="57">
        <v>2021</v>
      </c>
      <c r="D2181" s="58">
        <f>MATCH(B2181,{"GENNAIO","FEBBRAIO","MARZO","APRILE","MAGGIO","GIUGNO","LUGLIO","AGOSTO","SETTEMBRE","OTTOBRE","NOVEMBRE","DICEMBRE"},0)</f>
        <v>6</v>
      </c>
      <c r="E2181" s="57" t="str">
        <f t="shared" si="1242"/>
        <v>GIUGNO 2021</v>
      </c>
      <c r="F2181" s="57" t="str">
        <f t="shared" si="1243"/>
        <v>6 GIUGNO 2021</v>
      </c>
      <c r="G2181" s="59">
        <v>38</v>
      </c>
      <c r="H2181" s="1338" t="s">
        <v>75</v>
      </c>
      <c r="I2181" s="960"/>
      <c r="J2181" s="57" t="s">
        <v>108</v>
      </c>
      <c r="K2181" s="59"/>
    </row>
    <row r="2182" spans="1:11" x14ac:dyDescent="0.25">
      <c r="A2182" s="57" t="s">
        <v>190</v>
      </c>
      <c r="B2182" s="57" t="s">
        <v>143</v>
      </c>
      <c r="C2182" s="57">
        <v>2021</v>
      </c>
      <c r="D2182" s="58">
        <f>MATCH(B2182,{"GENNAIO","FEBBRAIO","MARZO","APRILE","MAGGIO","GIUGNO","LUGLIO","AGOSTO","SETTEMBRE","OTTOBRE","NOVEMBRE","DICEMBRE"},0)</f>
        <v>5</v>
      </c>
      <c r="E2182" s="57" t="str">
        <f t="shared" si="1242"/>
        <v>MAGGIO 2021</v>
      </c>
      <c r="F2182" s="57" t="str">
        <f t="shared" si="1243"/>
        <v>5 MAGGIO 2021</v>
      </c>
      <c r="G2182" s="59">
        <v>136.85</v>
      </c>
      <c r="H2182" s="1338" t="s">
        <v>191</v>
      </c>
      <c r="I2182" s="960"/>
      <c r="J2182" s="59"/>
      <c r="K2182" s="59"/>
    </row>
    <row r="2183" spans="1:11" x14ac:dyDescent="0.25">
      <c r="A2183" s="57" t="s">
        <v>164</v>
      </c>
      <c r="B2183" s="57" t="s">
        <v>143</v>
      </c>
      <c r="C2183" s="57">
        <v>2021</v>
      </c>
      <c r="D2183" s="58">
        <f>MATCH(B2183,{"GENNAIO","FEBBRAIO","MARZO","APRILE","MAGGIO","GIUGNO","LUGLIO","AGOSTO","SETTEMBRE","OTTOBRE","NOVEMBRE","DICEMBRE"},0)</f>
        <v>5</v>
      </c>
      <c r="E2183" s="57" t="str">
        <f t="shared" si="1242"/>
        <v>MAGGIO 2021</v>
      </c>
      <c r="F2183" s="57" t="str">
        <f t="shared" si="1243"/>
        <v>5 MAGGIO 2021</v>
      </c>
      <c r="G2183" s="59">
        <v>34.49</v>
      </c>
      <c r="H2183" s="1338" t="s">
        <v>77</v>
      </c>
      <c r="I2183" s="960"/>
      <c r="J2183" s="59"/>
      <c r="K2183" s="59"/>
    </row>
    <row r="2184" spans="1:11" x14ac:dyDescent="0.25">
      <c r="A2184" s="57" t="s">
        <v>171</v>
      </c>
      <c r="B2184" s="57" t="s">
        <v>143</v>
      </c>
      <c r="C2184" s="57">
        <v>2021</v>
      </c>
      <c r="D2184" s="58">
        <f>MATCH(B2184,{"GENNAIO","FEBBRAIO","MARZO","APRILE","MAGGIO","GIUGNO","LUGLIO","AGOSTO","SETTEMBRE","OTTOBRE","NOVEMBRE","DICEMBRE"},0)</f>
        <v>5</v>
      </c>
      <c r="E2184" s="57" t="str">
        <f t="shared" si="1242"/>
        <v>MAGGIO 2021</v>
      </c>
      <c r="F2184" s="57" t="str">
        <f t="shared" si="1243"/>
        <v>5 MAGGIO 2021</v>
      </c>
      <c r="G2184" s="59">
        <v>50.95</v>
      </c>
      <c r="H2184" s="1338" t="s">
        <v>81</v>
      </c>
      <c r="I2184" s="960"/>
      <c r="J2184" s="59"/>
      <c r="K2184" s="59"/>
    </row>
    <row r="2185" spans="1:11" x14ac:dyDescent="0.25">
      <c r="A2185" s="57" t="s">
        <v>323</v>
      </c>
      <c r="B2185" s="57" t="s">
        <v>143</v>
      </c>
      <c r="C2185" s="57">
        <v>2021</v>
      </c>
      <c r="D2185" s="58">
        <f>MATCH(B2185,{"GENNAIO","FEBBRAIO","MARZO","APRILE","MAGGIO","GIUGNO","LUGLIO","AGOSTO","SETTEMBRE","OTTOBRE","NOVEMBRE","DICEMBRE"},0)</f>
        <v>5</v>
      </c>
      <c r="E2185" s="57" t="str">
        <f t="shared" si="1242"/>
        <v>MAGGIO 2021</v>
      </c>
      <c r="F2185" s="57" t="str">
        <f t="shared" si="1243"/>
        <v>5 MAGGIO 2021</v>
      </c>
      <c r="G2185" s="59">
        <v>200</v>
      </c>
      <c r="H2185" s="1338" t="s">
        <v>69</v>
      </c>
      <c r="I2185" s="960"/>
      <c r="J2185" s="59"/>
      <c r="K2185" s="59"/>
    </row>
    <row r="2186" spans="1:11" x14ac:dyDescent="0.25">
      <c r="A2186" s="57" t="s">
        <v>311</v>
      </c>
      <c r="B2186" s="57" t="s">
        <v>143</v>
      </c>
      <c r="C2186" s="57">
        <v>2021</v>
      </c>
      <c r="D2186" s="58">
        <f>MATCH(B2186,{"GENNAIO","FEBBRAIO","MARZO","APRILE","MAGGIO","GIUGNO","LUGLIO","AGOSTO","SETTEMBRE","OTTOBRE","NOVEMBRE","DICEMBRE"},0)</f>
        <v>5</v>
      </c>
      <c r="E2186" s="57" t="str">
        <f t="shared" si="1242"/>
        <v>MAGGIO 2021</v>
      </c>
      <c r="F2186" s="57" t="str">
        <f t="shared" si="1243"/>
        <v>5 MAGGIO 2021</v>
      </c>
      <c r="G2186" s="59">
        <v>71.849999999999994</v>
      </c>
      <c r="H2186" s="1338" t="s">
        <v>155</v>
      </c>
      <c r="I2186" s="960"/>
      <c r="J2186" s="59"/>
      <c r="K2186" s="59"/>
    </row>
    <row r="2187" spans="1:11" x14ac:dyDescent="0.25">
      <c r="A2187" s="57" t="s">
        <v>79</v>
      </c>
      <c r="B2187" s="57" t="s">
        <v>143</v>
      </c>
      <c r="C2187" s="57">
        <v>2021</v>
      </c>
      <c r="D2187" s="58">
        <f>MATCH(B2187,{"GENNAIO","FEBBRAIO","MARZO","APRILE","MAGGIO","GIUGNO","LUGLIO","AGOSTO","SETTEMBRE","OTTOBRE","NOVEMBRE","DICEMBRE"},0)</f>
        <v>5</v>
      </c>
      <c r="E2187" s="57" t="str">
        <f t="shared" si="1242"/>
        <v>MAGGIO 2021</v>
      </c>
      <c r="F2187" s="57" t="str">
        <f t="shared" si="1243"/>
        <v>5 MAGGIO 2021</v>
      </c>
      <c r="G2187" s="59">
        <v>24.99</v>
      </c>
      <c r="H2187" s="1338" t="s">
        <v>81</v>
      </c>
      <c r="I2187" s="960"/>
      <c r="J2187" s="59"/>
      <c r="K2187" s="59"/>
    </row>
    <row r="2188" spans="1:11" x14ac:dyDescent="0.25">
      <c r="A2188" s="57" t="s">
        <v>324</v>
      </c>
      <c r="B2188" s="57" t="s">
        <v>143</v>
      </c>
      <c r="C2188" s="57">
        <v>2021</v>
      </c>
      <c r="D2188" s="58">
        <f>MATCH(B2188,{"GENNAIO","FEBBRAIO","MARZO","APRILE","MAGGIO","GIUGNO","LUGLIO","AGOSTO","SETTEMBRE","OTTOBRE","NOVEMBRE","DICEMBRE"},0)</f>
        <v>5</v>
      </c>
      <c r="E2188" s="57" t="str">
        <f t="shared" si="1242"/>
        <v>MAGGIO 2021</v>
      </c>
      <c r="F2188" s="57" t="str">
        <f t="shared" si="1243"/>
        <v>5 MAGGIO 2021</v>
      </c>
      <c r="G2188" s="59">
        <v>150</v>
      </c>
      <c r="H2188" s="1338" t="s">
        <v>75</v>
      </c>
      <c r="I2188" s="960"/>
      <c r="J2188" s="59"/>
      <c r="K2188" s="59"/>
    </row>
    <row r="2189" spans="1:11" x14ac:dyDescent="0.25">
      <c r="A2189" s="57" t="s">
        <v>108</v>
      </c>
      <c r="B2189" s="57" t="s">
        <v>143</v>
      </c>
      <c r="C2189" s="57">
        <v>2021</v>
      </c>
      <c r="D2189" s="58">
        <f>MATCH(B2189,{"GENNAIO","FEBBRAIO","MARZO","APRILE","MAGGIO","GIUGNO","LUGLIO","AGOSTO","SETTEMBRE","OTTOBRE","NOVEMBRE","DICEMBRE"},0)</f>
        <v>5</v>
      </c>
      <c r="E2189" s="57" t="str">
        <f t="shared" si="1242"/>
        <v>MAGGIO 2021</v>
      </c>
      <c r="F2189" s="57" t="str">
        <f t="shared" si="1243"/>
        <v>5 MAGGIO 2021</v>
      </c>
      <c r="G2189" s="59">
        <v>38.630000000000003</v>
      </c>
      <c r="H2189" s="1338" t="s">
        <v>75</v>
      </c>
      <c r="I2189" s="960" t="s">
        <v>1044</v>
      </c>
      <c r="J2189" s="57" t="s">
        <v>108</v>
      </c>
      <c r="K2189" s="59" t="s">
        <v>1029</v>
      </c>
    </row>
    <row r="2190" spans="1:11" x14ac:dyDescent="0.25">
      <c r="A2190" s="57" t="s">
        <v>108</v>
      </c>
      <c r="B2190" s="57" t="s">
        <v>143</v>
      </c>
      <c r="C2190" s="57">
        <v>2021</v>
      </c>
      <c r="D2190" s="58">
        <f>MATCH(B2190,{"GENNAIO","FEBBRAIO","MARZO","APRILE","MAGGIO","GIUGNO","LUGLIO","AGOSTO","SETTEMBRE","OTTOBRE","NOVEMBRE","DICEMBRE"},0)</f>
        <v>5</v>
      </c>
      <c r="E2190" s="57" t="str">
        <f t="shared" si="1242"/>
        <v>MAGGIO 2021</v>
      </c>
      <c r="F2190" s="57" t="str">
        <f t="shared" si="1243"/>
        <v>5 MAGGIO 2021</v>
      </c>
      <c r="G2190" s="59">
        <v>27.45</v>
      </c>
      <c r="H2190" s="1338" t="s">
        <v>75</v>
      </c>
      <c r="I2190" s="960"/>
      <c r="J2190" s="57" t="s">
        <v>108</v>
      </c>
      <c r="K2190" s="59"/>
    </row>
    <row r="2191" spans="1:11" x14ac:dyDescent="0.25">
      <c r="A2191" s="57" t="s">
        <v>108</v>
      </c>
      <c r="B2191" s="57" t="s">
        <v>143</v>
      </c>
      <c r="C2191" s="57">
        <v>2021</v>
      </c>
      <c r="D2191" s="58">
        <f>MATCH(B2191,{"GENNAIO","FEBBRAIO","MARZO","APRILE","MAGGIO","GIUGNO","LUGLIO","AGOSTO","SETTEMBRE","OTTOBRE","NOVEMBRE","DICEMBRE"},0)</f>
        <v>5</v>
      </c>
      <c r="E2191" s="57" t="str">
        <f t="shared" si="1242"/>
        <v>MAGGIO 2021</v>
      </c>
      <c r="F2191" s="57" t="str">
        <f t="shared" si="1243"/>
        <v>5 MAGGIO 2021</v>
      </c>
      <c r="G2191" s="59">
        <v>38</v>
      </c>
      <c r="H2191" s="1338" t="s">
        <v>75</v>
      </c>
      <c r="I2191" s="960"/>
      <c r="J2191" s="57" t="s">
        <v>108</v>
      </c>
      <c r="K2191" s="59"/>
    </row>
    <row r="2192" spans="1:11" x14ac:dyDescent="0.25">
      <c r="A2192" s="57" t="s">
        <v>289</v>
      </c>
      <c r="B2192" s="57" t="s">
        <v>143</v>
      </c>
      <c r="C2192" s="57">
        <v>2021</v>
      </c>
      <c r="D2192" s="58">
        <f>MATCH(B2192,{"GENNAIO","FEBBRAIO","MARZO","APRILE","MAGGIO","GIUGNO","LUGLIO","AGOSTO","SETTEMBRE","OTTOBRE","NOVEMBRE","DICEMBRE"},0)</f>
        <v>5</v>
      </c>
      <c r="E2192" s="57" t="str">
        <f t="shared" si="1242"/>
        <v>MAGGIO 2021</v>
      </c>
      <c r="F2192" s="57" t="str">
        <f t="shared" si="1243"/>
        <v>5 MAGGIO 2021</v>
      </c>
      <c r="G2192" s="59">
        <v>132.76</v>
      </c>
      <c r="H2192" s="1338" t="s">
        <v>91</v>
      </c>
      <c r="I2192" s="960"/>
      <c r="J2192" s="59"/>
      <c r="K2192" s="59"/>
    </row>
    <row r="2193" spans="1:11" x14ac:dyDescent="0.25">
      <c r="A2193" s="57" t="s">
        <v>325</v>
      </c>
      <c r="B2193" s="57" t="s">
        <v>143</v>
      </c>
      <c r="C2193" s="57">
        <v>2021</v>
      </c>
      <c r="D2193" s="58">
        <f>MATCH(B2193,{"GENNAIO","FEBBRAIO","MARZO","APRILE","MAGGIO","GIUGNO","LUGLIO","AGOSTO","SETTEMBRE","OTTOBRE","NOVEMBRE","DICEMBRE"},0)</f>
        <v>5</v>
      </c>
      <c r="E2193" s="57" t="str">
        <f t="shared" si="1242"/>
        <v>MAGGIO 2021</v>
      </c>
      <c r="F2193" s="57" t="str">
        <f t="shared" si="1243"/>
        <v>5 MAGGIO 2021</v>
      </c>
      <c r="G2193" s="59">
        <v>132</v>
      </c>
      <c r="H2193" s="1338" t="s">
        <v>81</v>
      </c>
      <c r="I2193" s="960"/>
      <c r="J2193" s="59"/>
      <c r="K2193" s="59"/>
    </row>
    <row r="2194" spans="1:11" x14ac:dyDescent="0.25">
      <c r="A2194" s="57" t="s">
        <v>326</v>
      </c>
      <c r="B2194" s="57" t="s">
        <v>159</v>
      </c>
      <c r="C2194" s="57">
        <v>2021</v>
      </c>
      <c r="D2194" s="58">
        <f>MATCH(B2194,{"GENNAIO","FEBBRAIO","MARZO","APRILE","MAGGIO","GIUGNO","LUGLIO","AGOSTO","SETTEMBRE","OTTOBRE","NOVEMBRE","DICEMBRE"},0)</f>
        <v>4</v>
      </c>
      <c r="E2194" s="57" t="str">
        <f t="shared" si="1242"/>
        <v>APRILE 2021</v>
      </c>
      <c r="F2194" s="57" t="str">
        <f t="shared" si="1243"/>
        <v>4 APRILE 2021</v>
      </c>
      <c r="G2194" s="59">
        <v>207.33</v>
      </c>
      <c r="H2194" s="1338" t="s">
        <v>327</v>
      </c>
      <c r="I2194" s="960"/>
      <c r="J2194" s="59"/>
      <c r="K2194" s="59"/>
    </row>
    <row r="2195" spans="1:11" x14ac:dyDescent="0.25">
      <c r="A2195" s="57" t="s">
        <v>298</v>
      </c>
      <c r="B2195" s="57" t="s">
        <v>159</v>
      </c>
      <c r="C2195" s="57">
        <v>2021</v>
      </c>
      <c r="D2195" s="58">
        <f>MATCH(B2195,{"GENNAIO","FEBBRAIO","MARZO","APRILE","MAGGIO","GIUGNO","LUGLIO","AGOSTO","SETTEMBRE","OTTOBRE","NOVEMBRE","DICEMBRE"},0)</f>
        <v>4</v>
      </c>
      <c r="E2195" s="57" t="str">
        <f t="shared" si="1242"/>
        <v>APRILE 2021</v>
      </c>
      <c r="F2195" s="57" t="str">
        <f t="shared" si="1243"/>
        <v>4 APRILE 2021</v>
      </c>
      <c r="G2195" s="59">
        <v>91.73</v>
      </c>
      <c r="H2195" s="1338" t="s">
        <v>155</v>
      </c>
      <c r="I2195" s="960"/>
      <c r="J2195" s="59"/>
      <c r="K2195" s="59"/>
    </row>
    <row r="2196" spans="1:11" x14ac:dyDescent="0.25">
      <c r="A2196" s="57" t="s">
        <v>67</v>
      </c>
      <c r="B2196" s="57" t="s">
        <v>159</v>
      </c>
      <c r="C2196" s="57">
        <v>2021</v>
      </c>
      <c r="D2196" s="58">
        <f>MATCH(B2196,{"GENNAIO","FEBBRAIO","MARZO","APRILE","MAGGIO","GIUGNO","LUGLIO","AGOSTO","SETTEMBRE","OTTOBRE","NOVEMBRE","DICEMBRE"},0)</f>
        <v>4</v>
      </c>
      <c r="E2196" s="57" t="str">
        <f t="shared" si="1242"/>
        <v>APRILE 2021</v>
      </c>
      <c r="F2196" s="57" t="str">
        <f t="shared" si="1243"/>
        <v>4 APRILE 2021</v>
      </c>
      <c r="G2196" s="59">
        <v>10.1</v>
      </c>
      <c r="H2196" s="1338" t="s">
        <v>69</v>
      </c>
      <c r="I2196" s="960"/>
      <c r="J2196" s="59"/>
      <c r="K2196" s="59"/>
    </row>
    <row r="2197" spans="1:11" x14ac:dyDescent="0.25">
      <c r="A2197" s="57" t="s">
        <v>108</v>
      </c>
      <c r="B2197" s="57" t="s">
        <v>159</v>
      </c>
      <c r="C2197" s="57">
        <v>2021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242"/>
        <v>APRILE 2021</v>
      </c>
      <c r="F2197" s="57" t="str">
        <f t="shared" si="1243"/>
        <v>4 APRILE 2021</v>
      </c>
      <c r="G2197" s="59">
        <v>39.99</v>
      </c>
      <c r="H2197" s="1338" t="s">
        <v>75</v>
      </c>
      <c r="I2197" s="960"/>
      <c r="J2197" s="57" t="s">
        <v>108</v>
      </c>
      <c r="K2197" s="59"/>
    </row>
    <row r="2198" spans="1:11" x14ac:dyDescent="0.25">
      <c r="A2198" s="57" t="s">
        <v>322</v>
      </c>
      <c r="B2198" s="57" t="s">
        <v>159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42"/>
        <v>APRILE 2021</v>
      </c>
      <c r="F2198" s="57" t="str">
        <f t="shared" si="1243"/>
        <v>4 APRILE 2021</v>
      </c>
      <c r="G2198" s="59">
        <v>12</v>
      </c>
      <c r="H2198" s="1338" t="s">
        <v>69</v>
      </c>
      <c r="I2198" s="960"/>
      <c r="J2198" s="59"/>
      <c r="K2198" s="59"/>
    </row>
    <row r="2199" spans="1:11" x14ac:dyDescent="0.25">
      <c r="A2199" s="57" t="s">
        <v>189</v>
      </c>
      <c r="B2199" s="57" t="s">
        <v>159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42"/>
        <v>APRILE 2021</v>
      </c>
      <c r="F2199" s="57" t="str">
        <f t="shared" si="1243"/>
        <v>4 APRILE 2021</v>
      </c>
      <c r="G2199" s="59">
        <v>19.989999999999998</v>
      </c>
      <c r="H2199" s="1338" t="s">
        <v>81</v>
      </c>
      <c r="I2199" s="960"/>
      <c r="J2199" s="59"/>
      <c r="K2199" s="59"/>
    </row>
    <row r="2200" spans="1:11" x14ac:dyDescent="0.25">
      <c r="A2200" s="57" t="s">
        <v>108</v>
      </c>
      <c r="B2200" s="57" t="s">
        <v>159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42"/>
        <v>APRILE 2021</v>
      </c>
      <c r="F2200" s="57" t="str">
        <f t="shared" si="1243"/>
        <v>4 APRILE 2021</v>
      </c>
      <c r="G2200" s="59">
        <v>34.99</v>
      </c>
      <c r="H2200" s="1338" t="s">
        <v>75</v>
      </c>
      <c r="I2200" s="960"/>
      <c r="J2200" s="57" t="s">
        <v>108</v>
      </c>
      <c r="K2200" s="59"/>
    </row>
    <row r="2201" spans="1:11" x14ac:dyDescent="0.25">
      <c r="A2201" s="57" t="s">
        <v>83</v>
      </c>
      <c r="B2201" s="57" t="s">
        <v>159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42"/>
        <v>APRILE 2021</v>
      </c>
      <c r="F2201" s="57" t="str">
        <f t="shared" si="1243"/>
        <v>4 APRILE 2021</v>
      </c>
      <c r="G2201" s="59">
        <v>79</v>
      </c>
      <c r="H2201" s="1338" t="s">
        <v>77</v>
      </c>
      <c r="I2201" s="960"/>
      <c r="J2201" s="59"/>
      <c r="K2201" s="59"/>
    </row>
    <row r="2202" spans="1:11" x14ac:dyDescent="0.25">
      <c r="A2202" s="57" t="s">
        <v>313</v>
      </c>
      <c r="B2202" s="57" t="s">
        <v>159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ref="E2202:E2265" si="1244">CONCATENATE(,B2202," ",C2202)</f>
        <v>APRILE 2021</v>
      </c>
      <c r="F2202" s="57" t="str">
        <f t="shared" ref="F2202:F2265" si="1245">CONCATENATE(D2202," ",E2202)</f>
        <v>4 APRILE 2021</v>
      </c>
      <c r="G2202" s="59">
        <v>4</v>
      </c>
      <c r="H2202" s="1338" t="s">
        <v>69</v>
      </c>
      <c r="I2202" s="960"/>
      <c r="J2202" s="59"/>
      <c r="K2202" s="59"/>
    </row>
    <row r="2203" spans="1:11" x14ac:dyDescent="0.25">
      <c r="A2203" s="57" t="s">
        <v>67</v>
      </c>
      <c r="B2203" s="57" t="s">
        <v>159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44"/>
        <v>APRILE 2021</v>
      </c>
      <c r="F2203" s="57" t="str">
        <f t="shared" si="1245"/>
        <v>4 APRILE 2021</v>
      </c>
      <c r="G2203" s="59">
        <v>5.0999999999999996</v>
      </c>
      <c r="H2203" s="1338" t="s">
        <v>69</v>
      </c>
      <c r="I2203" s="960"/>
      <c r="J2203" s="59"/>
      <c r="K2203" s="59"/>
    </row>
    <row r="2204" spans="1:11" x14ac:dyDescent="0.25">
      <c r="A2204" s="57" t="s">
        <v>67</v>
      </c>
      <c r="B2204" s="57" t="s">
        <v>159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si="1244"/>
        <v>APRILE 2021</v>
      </c>
      <c r="F2204" s="57" t="str">
        <f t="shared" si="1245"/>
        <v>4 APRILE 2021</v>
      </c>
      <c r="G2204" s="59">
        <v>5.0999999999999996</v>
      </c>
      <c r="H2204" s="1338" t="s">
        <v>69</v>
      </c>
      <c r="I2204" s="960"/>
      <c r="J2204" s="59"/>
      <c r="K2204" s="59"/>
    </row>
    <row r="2205" spans="1:11" x14ac:dyDescent="0.25">
      <c r="A2205" s="57" t="s">
        <v>164</v>
      </c>
      <c r="B2205" s="57" t="s">
        <v>159</v>
      </c>
      <c r="C2205" s="57">
        <v>2021</v>
      </c>
      <c r="D2205" s="58">
        <f>MATCH(B2205,{"GENNAIO","FEBBRAIO","MARZO","APRILE","MAGGIO","GIUGNO","LUGLIO","AGOSTO","SETTEMBRE","OTTOBRE","NOVEMBRE","DICEMBRE"},0)</f>
        <v>4</v>
      </c>
      <c r="E2205" s="57" t="str">
        <f t="shared" si="1244"/>
        <v>APRILE 2021</v>
      </c>
      <c r="F2205" s="57" t="str">
        <f t="shared" si="1245"/>
        <v>4 APRILE 2021</v>
      </c>
      <c r="G2205" s="59">
        <v>79.16</v>
      </c>
      <c r="H2205" s="1338" t="s">
        <v>77</v>
      </c>
      <c r="I2205" s="960"/>
      <c r="J2205" s="59"/>
      <c r="K2205" s="59"/>
    </row>
    <row r="2206" spans="1:11" x14ac:dyDescent="0.25">
      <c r="A2206" s="57" t="s">
        <v>164</v>
      </c>
      <c r="B2206" s="57" t="s">
        <v>159</v>
      </c>
      <c r="C2206" s="57">
        <v>2021</v>
      </c>
      <c r="D2206" s="58">
        <f>MATCH(B2206,{"GENNAIO","FEBBRAIO","MARZO","APRILE","MAGGIO","GIUGNO","LUGLIO","AGOSTO","SETTEMBRE","OTTOBRE","NOVEMBRE","DICEMBRE"},0)</f>
        <v>4</v>
      </c>
      <c r="E2206" s="57" t="str">
        <f t="shared" si="1244"/>
        <v>APRILE 2021</v>
      </c>
      <c r="F2206" s="57" t="str">
        <f t="shared" si="1245"/>
        <v>4 APRILE 2021</v>
      </c>
      <c r="G2206" s="59">
        <v>34.36</v>
      </c>
      <c r="H2206" s="1338" t="s">
        <v>77</v>
      </c>
      <c r="I2206" s="960"/>
      <c r="J2206" s="59"/>
      <c r="K2206" s="59"/>
    </row>
    <row r="2207" spans="1:11" x14ac:dyDescent="0.25">
      <c r="A2207" s="57" t="s">
        <v>328</v>
      </c>
      <c r="B2207" s="57" t="s">
        <v>159</v>
      </c>
      <c r="C2207" s="57">
        <v>2021</v>
      </c>
      <c r="D2207" s="58">
        <f>MATCH(B2207,{"GENNAIO","FEBBRAIO","MARZO","APRILE","MAGGIO","GIUGNO","LUGLIO","AGOSTO","SETTEMBRE","OTTOBRE","NOVEMBRE","DICEMBRE"},0)</f>
        <v>4</v>
      </c>
      <c r="E2207" s="57" t="str">
        <f t="shared" si="1244"/>
        <v>APRILE 2021</v>
      </c>
      <c r="F2207" s="57" t="str">
        <f t="shared" si="1245"/>
        <v>4 APRILE 2021</v>
      </c>
      <c r="G2207" s="59">
        <v>39</v>
      </c>
      <c r="H2207" s="1338" t="s">
        <v>69</v>
      </c>
      <c r="I2207" s="960"/>
      <c r="J2207" s="59"/>
      <c r="K2207" s="59"/>
    </row>
    <row r="2208" spans="1:11" x14ac:dyDescent="0.25">
      <c r="A2208" s="57" t="s">
        <v>67</v>
      </c>
      <c r="B2208" s="57" t="s">
        <v>159</v>
      </c>
      <c r="C2208" s="57">
        <v>2021</v>
      </c>
      <c r="D2208" s="58">
        <f>MATCH(B2208,{"GENNAIO","FEBBRAIO","MARZO","APRILE","MAGGIO","GIUGNO","LUGLIO","AGOSTO","SETTEMBRE","OTTOBRE","NOVEMBRE","DICEMBRE"},0)</f>
        <v>4</v>
      </c>
      <c r="E2208" s="57" t="str">
        <f t="shared" si="1244"/>
        <v>APRILE 2021</v>
      </c>
      <c r="F2208" s="57" t="str">
        <f t="shared" si="1245"/>
        <v>4 APRILE 2021</v>
      </c>
      <c r="G2208" s="59">
        <v>24.1</v>
      </c>
      <c r="H2208" s="1338" t="s">
        <v>69</v>
      </c>
      <c r="I2208" s="960"/>
      <c r="J2208" s="59"/>
      <c r="K2208" s="59"/>
    </row>
    <row r="2209" spans="1:11" x14ac:dyDescent="0.25">
      <c r="A2209" s="57" t="s">
        <v>306</v>
      </c>
      <c r="B2209" s="57" t="s">
        <v>159</v>
      </c>
      <c r="C2209" s="57">
        <v>2021</v>
      </c>
      <c r="D2209" s="58">
        <f>MATCH(B2209,{"GENNAIO","FEBBRAIO","MARZO","APRILE","MAGGIO","GIUGNO","LUGLIO","AGOSTO","SETTEMBRE","OTTOBRE","NOVEMBRE","DICEMBRE"},0)</f>
        <v>4</v>
      </c>
      <c r="E2209" s="57" t="str">
        <f t="shared" si="1244"/>
        <v>APRILE 2021</v>
      </c>
      <c r="F2209" s="57" t="str">
        <f t="shared" si="1245"/>
        <v>4 APRILE 2021</v>
      </c>
      <c r="G2209" s="59">
        <v>38.119999999999997</v>
      </c>
      <c r="H2209" s="1338" t="s">
        <v>77</v>
      </c>
      <c r="I2209" s="960"/>
      <c r="J2209" s="59"/>
      <c r="K2209" s="59"/>
    </row>
    <row r="2210" spans="1:11" x14ac:dyDescent="0.25">
      <c r="A2210" s="57" t="s">
        <v>108</v>
      </c>
      <c r="B2210" s="57" t="s">
        <v>159</v>
      </c>
      <c r="C2210" s="57">
        <v>2021</v>
      </c>
      <c r="D2210" s="58">
        <f>MATCH(B2210,{"GENNAIO","FEBBRAIO","MARZO","APRILE","MAGGIO","GIUGNO","LUGLIO","AGOSTO","SETTEMBRE","OTTOBRE","NOVEMBRE","DICEMBRE"},0)</f>
        <v>4</v>
      </c>
      <c r="E2210" s="57" t="str">
        <f t="shared" si="1244"/>
        <v>APRILE 2021</v>
      </c>
      <c r="F2210" s="57" t="str">
        <f t="shared" si="1245"/>
        <v>4 APRILE 2021</v>
      </c>
      <c r="G2210" s="59">
        <v>38.630000000000003</v>
      </c>
      <c r="H2210" s="1338" t="s">
        <v>75</v>
      </c>
      <c r="I2210" s="960" t="s">
        <v>1046</v>
      </c>
      <c r="J2210" s="57" t="s">
        <v>108</v>
      </c>
      <c r="K2210" s="59" t="s">
        <v>1029</v>
      </c>
    </row>
    <row r="2211" spans="1:11" x14ac:dyDescent="0.25">
      <c r="A2211" s="57" t="s">
        <v>67</v>
      </c>
      <c r="B2211" s="57" t="s">
        <v>159</v>
      </c>
      <c r="C2211" s="57">
        <v>2021</v>
      </c>
      <c r="D2211" s="58">
        <f>MATCH(B2211,{"GENNAIO","FEBBRAIO","MARZO","APRILE","MAGGIO","GIUGNO","LUGLIO","AGOSTO","SETTEMBRE","OTTOBRE","NOVEMBRE","DICEMBRE"},0)</f>
        <v>4</v>
      </c>
      <c r="E2211" s="57" t="str">
        <f t="shared" si="1244"/>
        <v>APRILE 2021</v>
      </c>
      <c r="F2211" s="57" t="str">
        <f t="shared" si="1245"/>
        <v>4 APRILE 2021</v>
      </c>
      <c r="G2211" s="59">
        <v>5.0999999999999996</v>
      </c>
      <c r="H2211" s="1338" t="s">
        <v>69</v>
      </c>
      <c r="I2211" s="960"/>
      <c r="J2211" s="59"/>
      <c r="K2211" s="59"/>
    </row>
    <row r="2212" spans="1:11" x14ac:dyDescent="0.25">
      <c r="A2212" s="57" t="s">
        <v>108</v>
      </c>
      <c r="B2212" s="57" t="s">
        <v>159</v>
      </c>
      <c r="C2212" s="57">
        <v>2021</v>
      </c>
      <c r="D2212" s="58">
        <f>MATCH(B2212,{"GENNAIO","FEBBRAIO","MARZO","APRILE","MAGGIO","GIUGNO","LUGLIO","AGOSTO","SETTEMBRE","OTTOBRE","NOVEMBRE","DICEMBRE"},0)</f>
        <v>4</v>
      </c>
      <c r="E2212" s="57" t="str">
        <f t="shared" si="1244"/>
        <v>APRILE 2021</v>
      </c>
      <c r="F2212" s="57" t="str">
        <f t="shared" si="1245"/>
        <v>4 APRILE 2021</v>
      </c>
      <c r="G2212" s="59">
        <v>97.96</v>
      </c>
      <c r="H2212" s="1338" t="s">
        <v>75</v>
      </c>
      <c r="I2212" s="960"/>
      <c r="J2212" s="57" t="s">
        <v>108</v>
      </c>
      <c r="K2212" s="59"/>
    </row>
    <row r="2213" spans="1:11" x14ac:dyDescent="0.25">
      <c r="A2213" s="57" t="s">
        <v>313</v>
      </c>
      <c r="B2213" s="57" t="s">
        <v>159</v>
      </c>
      <c r="C2213" s="57">
        <v>2021</v>
      </c>
      <c r="D2213" s="58">
        <f>MATCH(B2213,{"GENNAIO","FEBBRAIO","MARZO","APRILE","MAGGIO","GIUGNO","LUGLIO","AGOSTO","SETTEMBRE","OTTOBRE","NOVEMBRE","DICEMBRE"},0)</f>
        <v>4</v>
      </c>
      <c r="E2213" s="57" t="str">
        <f t="shared" si="1244"/>
        <v>APRILE 2021</v>
      </c>
      <c r="F2213" s="57" t="str">
        <f t="shared" si="1245"/>
        <v>4 APRILE 2021</v>
      </c>
      <c r="G2213" s="59">
        <v>11</v>
      </c>
      <c r="H2213" s="1338" t="s">
        <v>69</v>
      </c>
      <c r="I2213" s="960"/>
      <c r="J2213" s="59"/>
      <c r="K2213" s="59"/>
    </row>
    <row r="2214" spans="1:11" ht="14.25" customHeight="1" x14ac:dyDescent="0.25">
      <c r="A2214" s="57" t="s">
        <v>108</v>
      </c>
      <c r="B2214" s="57" t="s">
        <v>159</v>
      </c>
      <c r="C2214" s="57">
        <v>2021</v>
      </c>
      <c r="D2214" s="58">
        <f>MATCH(B2214,{"GENNAIO","FEBBRAIO","MARZO","APRILE","MAGGIO","GIUGNO","LUGLIO","AGOSTO","SETTEMBRE","OTTOBRE","NOVEMBRE","DICEMBRE"},0)</f>
        <v>4</v>
      </c>
      <c r="E2214" s="57" t="str">
        <f t="shared" si="1244"/>
        <v>APRILE 2021</v>
      </c>
      <c r="F2214" s="57" t="str">
        <f t="shared" si="1245"/>
        <v>4 APRILE 2021</v>
      </c>
      <c r="G2214" s="59">
        <v>32</v>
      </c>
      <c r="H2214" s="1338" t="s">
        <v>75</v>
      </c>
      <c r="I2214" s="960"/>
      <c r="J2214" s="57" t="s">
        <v>108</v>
      </c>
      <c r="K2214" s="59"/>
    </row>
    <row r="2215" spans="1:11" x14ac:dyDescent="0.25">
      <c r="A2215" s="57" t="s">
        <v>108</v>
      </c>
      <c r="B2215" s="57" t="s">
        <v>159</v>
      </c>
      <c r="C2215" s="57">
        <v>2021</v>
      </c>
      <c r="D2215" s="58">
        <f>MATCH(B2215,{"GENNAIO","FEBBRAIO","MARZO","APRILE","MAGGIO","GIUGNO","LUGLIO","AGOSTO","SETTEMBRE","OTTOBRE","NOVEMBRE","DICEMBRE"},0)</f>
        <v>4</v>
      </c>
      <c r="E2215" s="57" t="str">
        <f t="shared" si="1244"/>
        <v>APRILE 2021</v>
      </c>
      <c r="F2215" s="57" t="str">
        <f t="shared" si="1245"/>
        <v>4 APRILE 2021</v>
      </c>
      <c r="G2215" s="59">
        <v>18.23</v>
      </c>
      <c r="H2215" s="1338" t="s">
        <v>75</v>
      </c>
      <c r="I2215" s="960"/>
      <c r="J2215" s="57" t="s">
        <v>108</v>
      </c>
      <c r="K2215" s="59"/>
    </row>
    <row r="2216" spans="1:11" x14ac:dyDescent="0.25">
      <c r="A2216" s="57" t="s">
        <v>67</v>
      </c>
      <c r="B2216" s="57" t="s">
        <v>168</v>
      </c>
      <c r="C2216" s="57">
        <v>2021</v>
      </c>
      <c r="D2216" s="58">
        <f>MATCH(B2216,{"GENNAIO","FEBBRAIO","MARZO","APRILE","MAGGIO","GIUGNO","LUGLIO","AGOSTO","SETTEMBRE","OTTOBRE","NOVEMBRE","DICEMBRE"},0)</f>
        <v>3</v>
      </c>
      <c r="E2216" s="57" t="str">
        <f t="shared" si="1244"/>
        <v>MARZO 2021</v>
      </c>
      <c r="F2216" s="57" t="str">
        <f t="shared" si="1245"/>
        <v>3 MARZO 2021</v>
      </c>
      <c r="G2216" s="59">
        <v>5.0999999999999996</v>
      </c>
      <c r="H2216" s="1338" t="s">
        <v>69</v>
      </c>
      <c r="I2216" s="960"/>
      <c r="J2216" s="59"/>
      <c r="K2216" s="59"/>
    </row>
    <row r="2217" spans="1:11" x14ac:dyDescent="0.25">
      <c r="A2217" s="57" t="s">
        <v>278</v>
      </c>
      <c r="B2217" s="57" t="s">
        <v>168</v>
      </c>
      <c r="C2217" s="57">
        <v>2021</v>
      </c>
      <c r="D2217" s="58">
        <f>MATCH(B2217,{"GENNAIO","FEBBRAIO","MARZO","APRILE","MAGGIO","GIUGNO","LUGLIO","AGOSTO","SETTEMBRE","OTTOBRE","NOVEMBRE","DICEMBRE"},0)</f>
        <v>3</v>
      </c>
      <c r="E2217" s="57" t="str">
        <f t="shared" si="1244"/>
        <v>MARZO 2021</v>
      </c>
      <c r="F2217" s="57" t="str">
        <f t="shared" si="1245"/>
        <v>3 MARZO 2021</v>
      </c>
      <c r="G2217" s="59">
        <v>105</v>
      </c>
      <c r="H2217" s="1338" t="s">
        <v>114</v>
      </c>
      <c r="I2217" s="960"/>
      <c r="J2217" s="59"/>
      <c r="K2217" s="59"/>
    </row>
    <row r="2218" spans="1:11" x14ac:dyDescent="0.25">
      <c r="A2218" s="57" t="s">
        <v>67</v>
      </c>
      <c r="B2218" s="57" t="s">
        <v>168</v>
      </c>
      <c r="C2218" s="57">
        <v>2021</v>
      </c>
      <c r="D2218" s="58">
        <f>MATCH(B2218,{"GENNAIO","FEBBRAIO","MARZO","APRILE","MAGGIO","GIUGNO","LUGLIO","AGOSTO","SETTEMBRE","OTTOBRE","NOVEMBRE","DICEMBRE"},0)</f>
        <v>3</v>
      </c>
      <c r="E2218" s="57" t="str">
        <f t="shared" si="1244"/>
        <v>MARZO 2021</v>
      </c>
      <c r="F2218" s="57" t="str">
        <f t="shared" si="1245"/>
        <v>3 MARZO 2021</v>
      </c>
      <c r="G2218" s="59">
        <v>5.0999999999999996</v>
      </c>
      <c r="H2218" s="1338" t="s">
        <v>69</v>
      </c>
      <c r="I2218" s="960"/>
      <c r="J2218" s="59"/>
      <c r="K2218" s="59"/>
    </row>
    <row r="2219" spans="1:11" x14ac:dyDescent="0.25">
      <c r="A2219" s="57" t="s">
        <v>329</v>
      </c>
      <c r="B2219" s="57" t="s">
        <v>168</v>
      </c>
      <c r="C2219" s="57">
        <v>2021</v>
      </c>
      <c r="D2219" s="58">
        <f>MATCH(B2219,{"GENNAIO","FEBBRAIO","MARZO","APRILE","MAGGIO","GIUGNO","LUGLIO","AGOSTO","SETTEMBRE","OTTOBRE","NOVEMBRE","DICEMBRE"},0)</f>
        <v>3</v>
      </c>
      <c r="E2219" s="57" t="str">
        <f t="shared" si="1244"/>
        <v>MARZO 2021</v>
      </c>
      <c r="F2219" s="57" t="str">
        <f t="shared" si="1245"/>
        <v>3 MARZO 2021</v>
      </c>
      <c r="G2219" s="59">
        <v>54.99</v>
      </c>
      <c r="H2219" s="1338" t="s">
        <v>137</v>
      </c>
      <c r="I2219" s="960"/>
      <c r="J2219" s="59"/>
      <c r="K2219" s="59"/>
    </row>
    <row r="2220" spans="1:11" x14ac:dyDescent="0.25">
      <c r="A2220" s="57" t="s">
        <v>322</v>
      </c>
      <c r="B2220" s="57" t="s">
        <v>168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44"/>
        <v>MARZO 2021</v>
      </c>
      <c r="F2220" s="57" t="str">
        <f t="shared" si="1245"/>
        <v>3 MARZO 2021</v>
      </c>
      <c r="G2220" s="59">
        <v>15.3</v>
      </c>
      <c r="H2220" s="1338" t="s">
        <v>69</v>
      </c>
      <c r="I2220" s="960"/>
      <c r="J2220" s="59"/>
      <c r="K2220" s="59"/>
    </row>
    <row r="2221" spans="1:11" ht="14.25" customHeight="1" x14ac:dyDescent="0.25">
      <c r="A2221" s="57" t="s">
        <v>67</v>
      </c>
      <c r="B2221" s="57" t="s">
        <v>168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44"/>
        <v>MARZO 2021</v>
      </c>
      <c r="F2221" s="57" t="str">
        <f t="shared" si="1245"/>
        <v>3 MARZO 2021</v>
      </c>
      <c r="G2221" s="59">
        <v>4.0999999999999996</v>
      </c>
      <c r="H2221" s="1338" t="s">
        <v>69</v>
      </c>
      <c r="I2221" s="960"/>
      <c r="J2221" s="59"/>
      <c r="K2221" s="59"/>
    </row>
    <row r="2222" spans="1:11" ht="14.25" customHeight="1" x14ac:dyDescent="0.25">
      <c r="A2222" s="57" t="s">
        <v>108</v>
      </c>
      <c r="B2222" s="57" t="s">
        <v>168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44"/>
        <v>MARZO 2021</v>
      </c>
      <c r="F2222" s="57" t="str">
        <f t="shared" si="1245"/>
        <v>3 MARZO 2021</v>
      </c>
      <c r="G2222" s="59">
        <v>93</v>
      </c>
      <c r="H2222" s="1338" t="s">
        <v>75</v>
      </c>
      <c r="I2222" s="960"/>
      <c r="J2222" s="57" t="s">
        <v>108</v>
      </c>
      <c r="K2222" s="59"/>
    </row>
    <row r="2223" spans="1:11" x14ac:dyDescent="0.25">
      <c r="A2223" s="57" t="s">
        <v>108</v>
      </c>
      <c r="B2223" s="57" t="s">
        <v>168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44"/>
        <v>MARZO 2021</v>
      </c>
      <c r="F2223" s="57" t="str">
        <f t="shared" si="1245"/>
        <v>3 MARZO 2021</v>
      </c>
      <c r="G2223" s="59">
        <v>40.380000000000003</v>
      </c>
      <c r="H2223" s="1338" t="s">
        <v>75</v>
      </c>
      <c r="I2223" s="960"/>
      <c r="J2223" s="57" t="s">
        <v>108</v>
      </c>
      <c r="K2223" s="59"/>
    </row>
    <row r="2224" spans="1:11" x14ac:dyDescent="0.25">
      <c r="A2224" s="57" t="s">
        <v>232</v>
      </c>
      <c r="B2224" s="57" t="s">
        <v>168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44"/>
        <v>MARZO 2021</v>
      </c>
      <c r="F2224" s="57" t="str">
        <f t="shared" si="1245"/>
        <v>3 MARZO 2021</v>
      </c>
      <c r="G2224" s="59">
        <v>1.7</v>
      </c>
      <c r="H2224" s="1338" t="s">
        <v>91</v>
      </c>
      <c r="I2224" s="960"/>
      <c r="J2224" s="59"/>
      <c r="K2224" s="59"/>
    </row>
    <row r="2225" spans="1:11" x14ac:dyDescent="0.25">
      <c r="A2225" s="57" t="s">
        <v>232</v>
      </c>
      <c r="B2225" s="57" t="s">
        <v>168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44"/>
        <v>MARZO 2021</v>
      </c>
      <c r="F2225" s="57" t="str">
        <f t="shared" si="1245"/>
        <v>3 MARZO 2021</v>
      </c>
      <c r="G2225" s="59">
        <v>1.7</v>
      </c>
      <c r="H2225" s="1338" t="s">
        <v>91</v>
      </c>
      <c r="I2225" s="960"/>
      <c r="J2225" s="59"/>
      <c r="K2225" s="59"/>
    </row>
    <row r="2226" spans="1:11" ht="14.25" customHeight="1" x14ac:dyDescent="0.25">
      <c r="A2226" s="57" t="s">
        <v>171</v>
      </c>
      <c r="B2226" s="57" t="s">
        <v>168</v>
      </c>
      <c r="C2226" s="57">
        <v>2021</v>
      </c>
      <c r="D2226" s="58">
        <f>MATCH(B2226,{"GENNAIO","FEBBRAIO","MARZO","APRILE","MAGGIO","GIUGNO","LUGLIO","AGOSTO","SETTEMBRE","OTTOBRE","NOVEMBRE","DICEMBRE"},0)</f>
        <v>3</v>
      </c>
      <c r="E2226" s="57" t="str">
        <f t="shared" si="1244"/>
        <v>MARZO 2021</v>
      </c>
      <c r="F2226" s="57" t="str">
        <f t="shared" si="1245"/>
        <v>3 MARZO 2021</v>
      </c>
      <c r="G2226" s="59">
        <v>20</v>
      </c>
      <c r="H2226" s="1338" t="s">
        <v>81</v>
      </c>
      <c r="I2226" s="960"/>
      <c r="J2226" s="59"/>
      <c r="K2226" s="59"/>
    </row>
    <row r="2227" spans="1:11" x14ac:dyDescent="0.25">
      <c r="A2227" s="57" t="s">
        <v>108</v>
      </c>
      <c r="B2227" s="57" t="s">
        <v>168</v>
      </c>
      <c r="C2227" s="57">
        <v>2021</v>
      </c>
      <c r="D2227" s="58">
        <f>MATCH(B2227,{"GENNAIO","FEBBRAIO","MARZO","APRILE","MAGGIO","GIUGNO","LUGLIO","AGOSTO","SETTEMBRE","OTTOBRE","NOVEMBRE","DICEMBRE"},0)</f>
        <v>3</v>
      </c>
      <c r="E2227" s="57" t="str">
        <f t="shared" si="1244"/>
        <v>MARZO 2021</v>
      </c>
      <c r="F2227" s="57" t="str">
        <f t="shared" si="1245"/>
        <v>3 MARZO 2021</v>
      </c>
      <c r="G2227" s="59">
        <v>56.91</v>
      </c>
      <c r="H2227" s="1338" t="s">
        <v>75</v>
      </c>
      <c r="I2227" s="960"/>
      <c r="J2227" s="57" t="s">
        <v>108</v>
      </c>
      <c r="K2227" s="59"/>
    </row>
    <row r="2228" spans="1:11" x14ac:dyDescent="0.25">
      <c r="A2228" s="57" t="s">
        <v>328</v>
      </c>
      <c r="B2228" s="57" t="s">
        <v>168</v>
      </c>
      <c r="C2228" s="57">
        <v>2021</v>
      </c>
      <c r="D2228" s="58">
        <f>MATCH(B2228,{"GENNAIO","FEBBRAIO","MARZO","APRILE","MAGGIO","GIUGNO","LUGLIO","AGOSTO","SETTEMBRE","OTTOBRE","NOVEMBRE","DICEMBRE"},0)</f>
        <v>3</v>
      </c>
      <c r="E2228" s="57" t="str">
        <f t="shared" si="1244"/>
        <v>MARZO 2021</v>
      </c>
      <c r="F2228" s="57" t="str">
        <f t="shared" si="1245"/>
        <v>3 MARZO 2021</v>
      </c>
      <c r="G2228" s="59">
        <v>46.4</v>
      </c>
      <c r="H2228" s="1338" t="s">
        <v>69</v>
      </c>
      <c r="I2228" s="960"/>
      <c r="J2228" s="59"/>
      <c r="K2228" s="59"/>
    </row>
    <row r="2229" spans="1:11" x14ac:dyDescent="0.25">
      <c r="A2229" s="57" t="s">
        <v>73</v>
      </c>
      <c r="B2229" s="57" t="s">
        <v>168</v>
      </c>
      <c r="C2229" s="57">
        <v>2021</v>
      </c>
      <c r="D2229" s="58">
        <f>MATCH(B2229,{"GENNAIO","FEBBRAIO","MARZO","APRILE","MAGGIO","GIUGNO","LUGLIO","AGOSTO","SETTEMBRE","OTTOBRE","NOVEMBRE","DICEMBRE"},0)</f>
        <v>3</v>
      </c>
      <c r="E2229" s="57" t="str">
        <f t="shared" si="1244"/>
        <v>MARZO 2021</v>
      </c>
      <c r="F2229" s="57" t="str">
        <f t="shared" si="1245"/>
        <v>3 MARZO 2021</v>
      </c>
      <c r="G2229" s="59">
        <v>32</v>
      </c>
      <c r="H2229" s="1338" t="s">
        <v>74</v>
      </c>
      <c r="I2229" s="960"/>
      <c r="J2229" s="59"/>
      <c r="K2229" s="59"/>
    </row>
    <row r="2230" spans="1:11" x14ac:dyDescent="0.25">
      <c r="A2230" s="57" t="s">
        <v>171</v>
      </c>
      <c r="B2230" s="57" t="s">
        <v>168</v>
      </c>
      <c r="C2230" s="57">
        <v>2021</v>
      </c>
      <c r="D2230" s="58">
        <f>MATCH(B2230,{"GENNAIO","FEBBRAIO","MARZO","APRILE","MAGGIO","GIUGNO","LUGLIO","AGOSTO","SETTEMBRE","OTTOBRE","NOVEMBRE","DICEMBRE"},0)</f>
        <v>3</v>
      </c>
      <c r="E2230" s="57" t="str">
        <f t="shared" si="1244"/>
        <v>MARZO 2021</v>
      </c>
      <c r="F2230" s="57" t="str">
        <f t="shared" si="1245"/>
        <v>3 MARZO 2021</v>
      </c>
      <c r="G2230" s="59">
        <v>30</v>
      </c>
      <c r="H2230" s="1338" t="s">
        <v>81</v>
      </c>
      <c r="I2230" s="960"/>
      <c r="J2230" s="59"/>
      <c r="K2230" s="59"/>
    </row>
    <row r="2231" spans="1:11" x14ac:dyDescent="0.25">
      <c r="A2231" s="57" t="s">
        <v>108</v>
      </c>
      <c r="B2231" s="57" t="s">
        <v>168</v>
      </c>
      <c r="C2231" s="57">
        <v>2021</v>
      </c>
      <c r="D2231" s="58">
        <f>MATCH(B2231,{"GENNAIO","FEBBRAIO","MARZO","APRILE","MAGGIO","GIUGNO","LUGLIO","AGOSTO","SETTEMBRE","OTTOBRE","NOVEMBRE","DICEMBRE"},0)</f>
        <v>3</v>
      </c>
      <c r="E2231" s="57" t="str">
        <f t="shared" si="1244"/>
        <v>MARZO 2021</v>
      </c>
      <c r="F2231" s="57" t="str">
        <f t="shared" si="1245"/>
        <v>3 MARZO 2021</v>
      </c>
      <c r="G2231" s="59">
        <v>38.630000000000003</v>
      </c>
      <c r="H2231" s="1338" t="s">
        <v>75</v>
      </c>
      <c r="I2231" s="960" t="s">
        <v>1027</v>
      </c>
      <c r="J2231" s="57" t="s">
        <v>108</v>
      </c>
      <c r="K2231" s="59" t="s">
        <v>1029</v>
      </c>
    </row>
    <row r="2232" spans="1:11" x14ac:dyDescent="0.25">
      <c r="A2232" s="57" t="s">
        <v>108</v>
      </c>
      <c r="B2232" s="57" t="s">
        <v>168</v>
      </c>
      <c r="C2232" s="57">
        <v>2021</v>
      </c>
      <c r="D2232" s="58">
        <f>MATCH(B2232,{"GENNAIO","FEBBRAIO","MARZO","APRILE","MAGGIO","GIUGNO","LUGLIO","AGOSTO","SETTEMBRE","OTTOBRE","NOVEMBRE","DICEMBRE"},0)</f>
        <v>3</v>
      </c>
      <c r="E2232" s="57" t="str">
        <f t="shared" si="1244"/>
        <v>MARZO 2021</v>
      </c>
      <c r="F2232" s="57" t="str">
        <f t="shared" si="1245"/>
        <v>3 MARZO 2021</v>
      </c>
      <c r="G2232" s="59">
        <v>9.02</v>
      </c>
      <c r="H2232" s="1338" t="s">
        <v>75</v>
      </c>
      <c r="I2232" s="960"/>
      <c r="J2232" s="57" t="s">
        <v>108</v>
      </c>
      <c r="K2232" s="59"/>
    </row>
    <row r="2233" spans="1:11" x14ac:dyDescent="0.25">
      <c r="A2233" s="57" t="s">
        <v>108</v>
      </c>
      <c r="B2233" s="57" t="s">
        <v>168</v>
      </c>
      <c r="C2233" s="57">
        <v>2021</v>
      </c>
      <c r="D2233" s="58">
        <f>MATCH(B2233,{"GENNAIO","FEBBRAIO","MARZO","APRILE","MAGGIO","GIUGNO","LUGLIO","AGOSTO","SETTEMBRE","OTTOBRE","NOVEMBRE","DICEMBRE"},0)</f>
        <v>3</v>
      </c>
      <c r="E2233" s="57" t="str">
        <f t="shared" si="1244"/>
        <v>MARZO 2021</v>
      </c>
      <c r="F2233" s="57" t="str">
        <f t="shared" si="1245"/>
        <v>3 MARZO 2021</v>
      </c>
      <c r="G2233" s="59">
        <v>5.3</v>
      </c>
      <c r="H2233" s="1338" t="s">
        <v>75</v>
      </c>
      <c r="I2233" s="960"/>
      <c r="J2233" s="57" t="s">
        <v>108</v>
      </c>
      <c r="K2233" s="59"/>
    </row>
    <row r="2234" spans="1:11" x14ac:dyDescent="0.25">
      <c r="A2234" s="57" t="s">
        <v>108</v>
      </c>
      <c r="B2234" s="57" t="s">
        <v>168</v>
      </c>
      <c r="C2234" s="57">
        <v>2021</v>
      </c>
      <c r="D2234" s="58">
        <f>MATCH(B2234,{"GENNAIO","FEBBRAIO","MARZO","APRILE","MAGGIO","GIUGNO","LUGLIO","AGOSTO","SETTEMBRE","OTTOBRE","NOVEMBRE","DICEMBRE"},0)</f>
        <v>3</v>
      </c>
      <c r="E2234" s="57" t="str">
        <f t="shared" si="1244"/>
        <v>MARZO 2021</v>
      </c>
      <c r="F2234" s="57" t="str">
        <f t="shared" si="1245"/>
        <v>3 MARZO 2021</v>
      </c>
      <c r="G2234" s="59">
        <v>5.3</v>
      </c>
      <c r="H2234" s="1338" t="s">
        <v>75</v>
      </c>
      <c r="I2234" s="960"/>
      <c r="J2234" s="57" t="s">
        <v>108</v>
      </c>
      <c r="K2234" s="59"/>
    </row>
    <row r="2235" spans="1:11" x14ac:dyDescent="0.25">
      <c r="A2235" s="57" t="s">
        <v>108</v>
      </c>
      <c r="B2235" s="57" t="s">
        <v>168</v>
      </c>
      <c r="C2235" s="57">
        <v>2021</v>
      </c>
      <c r="D2235" s="58">
        <f>MATCH(B2235,{"GENNAIO","FEBBRAIO","MARZO","APRILE","MAGGIO","GIUGNO","LUGLIO","AGOSTO","SETTEMBRE","OTTOBRE","NOVEMBRE","DICEMBRE"},0)</f>
        <v>3</v>
      </c>
      <c r="E2235" s="57" t="str">
        <f t="shared" si="1244"/>
        <v>MARZO 2021</v>
      </c>
      <c r="F2235" s="57" t="str">
        <f t="shared" si="1245"/>
        <v>3 MARZO 2021</v>
      </c>
      <c r="G2235" s="59">
        <v>3.8</v>
      </c>
      <c r="H2235" s="1338" t="s">
        <v>75</v>
      </c>
      <c r="I2235" s="960"/>
      <c r="J2235" s="57" t="s">
        <v>108</v>
      </c>
      <c r="K2235" s="59"/>
    </row>
    <row r="2236" spans="1:11" x14ac:dyDescent="0.25">
      <c r="A2236" s="57" t="s">
        <v>108</v>
      </c>
      <c r="B2236" s="57" t="s">
        <v>168</v>
      </c>
      <c r="C2236" s="57">
        <v>2021</v>
      </c>
      <c r="D2236" s="58">
        <f>MATCH(B2236,{"GENNAIO","FEBBRAIO","MARZO","APRILE","MAGGIO","GIUGNO","LUGLIO","AGOSTO","SETTEMBRE","OTTOBRE","NOVEMBRE","DICEMBRE"},0)</f>
        <v>3</v>
      </c>
      <c r="E2236" s="57" t="str">
        <f t="shared" si="1244"/>
        <v>MARZO 2021</v>
      </c>
      <c r="F2236" s="57" t="str">
        <f t="shared" si="1245"/>
        <v>3 MARZO 2021</v>
      </c>
      <c r="G2236" s="59">
        <v>66.5</v>
      </c>
      <c r="H2236" s="1338" t="s">
        <v>75</v>
      </c>
      <c r="I2236" s="960"/>
      <c r="J2236" s="57" t="s">
        <v>108</v>
      </c>
      <c r="K2236" s="59"/>
    </row>
    <row r="2237" spans="1:11" ht="16.5" customHeight="1" x14ac:dyDescent="0.25">
      <c r="A2237" s="57" t="s">
        <v>311</v>
      </c>
      <c r="B2237" s="57" t="s">
        <v>176</v>
      </c>
      <c r="C2237" s="57">
        <v>2021</v>
      </c>
      <c r="D2237" s="58">
        <f>MATCH(B2237,{"GENNAIO","FEBBRAIO","MARZO","APRILE","MAGGIO","GIUGNO","LUGLIO","AGOSTO","SETTEMBRE","OTTOBRE","NOVEMBRE","DICEMBRE"},0)</f>
        <v>2</v>
      </c>
      <c r="E2237" s="57" t="str">
        <f t="shared" si="1244"/>
        <v>FEBBRAIO 2021</v>
      </c>
      <c r="F2237" s="57" t="str">
        <f t="shared" si="1245"/>
        <v>2 FEBBRAIO 2021</v>
      </c>
      <c r="G2237" s="59">
        <v>44.65</v>
      </c>
      <c r="H2237" s="1338" t="s">
        <v>155</v>
      </c>
      <c r="I2237" s="960"/>
      <c r="J2237" s="59"/>
      <c r="K2237" s="59"/>
    </row>
    <row r="2238" spans="1:11" ht="16.5" customHeight="1" x14ac:dyDescent="0.25">
      <c r="A2238" s="57" t="s">
        <v>108</v>
      </c>
      <c r="B2238" s="57" t="s">
        <v>176</v>
      </c>
      <c r="C2238" s="57">
        <v>2021</v>
      </c>
      <c r="D2238" s="58">
        <f>MATCH(B2238,{"GENNAIO","FEBBRAIO","MARZO","APRILE","MAGGIO","GIUGNO","LUGLIO","AGOSTO","SETTEMBRE","OTTOBRE","NOVEMBRE","DICEMBRE"},0)</f>
        <v>2</v>
      </c>
      <c r="E2238" s="57" t="str">
        <f t="shared" si="1244"/>
        <v>FEBBRAIO 2021</v>
      </c>
      <c r="F2238" s="57" t="str">
        <f t="shared" si="1245"/>
        <v>2 FEBBRAIO 2021</v>
      </c>
      <c r="G2238" s="59">
        <v>39.409999999999997</v>
      </c>
      <c r="H2238" s="1338" t="s">
        <v>75</v>
      </c>
      <c r="I2238" s="960"/>
      <c r="J2238" s="57" t="s">
        <v>108</v>
      </c>
      <c r="K2238" s="59"/>
    </row>
    <row r="2239" spans="1:11" ht="14.25" customHeight="1" x14ac:dyDescent="0.25">
      <c r="A2239" s="57" t="s">
        <v>108</v>
      </c>
      <c r="B2239" s="57" t="s">
        <v>176</v>
      </c>
      <c r="C2239" s="57">
        <v>2021</v>
      </c>
      <c r="D2239" s="58">
        <f>MATCH(B2239,{"GENNAIO","FEBBRAIO","MARZO","APRILE","MAGGIO","GIUGNO","LUGLIO","AGOSTO","SETTEMBRE","OTTOBRE","NOVEMBRE","DICEMBRE"},0)</f>
        <v>2</v>
      </c>
      <c r="E2239" s="57" t="str">
        <f t="shared" si="1244"/>
        <v>FEBBRAIO 2021</v>
      </c>
      <c r="F2239" s="57" t="str">
        <f t="shared" si="1245"/>
        <v>2 FEBBRAIO 2021</v>
      </c>
      <c r="G2239" s="59">
        <v>53.34</v>
      </c>
      <c r="H2239" s="1338" t="s">
        <v>75</v>
      </c>
      <c r="I2239" s="960"/>
      <c r="J2239" s="57" t="s">
        <v>108</v>
      </c>
      <c r="K2239" s="59"/>
    </row>
    <row r="2240" spans="1:11" x14ac:dyDescent="0.25">
      <c r="A2240" s="57" t="s">
        <v>108</v>
      </c>
      <c r="B2240" s="57" t="s">
        <v>176</v>
      </c>
      <c r="C2240" s="57">
        <v>2021</v>
      </c>
      <c r="D2240" s="58">
        <f>MATCH(B2240,{"GENNAIO","FEBBRAIO","MARZO","APRILE","MAGGIO","GIUGNO","LUGLIO","AGOSTO","SETTEMBRE","OTTOBRE","NOVEMBRE","DICEMBRE"},0)</f>
        <v>2</v>
      </c>
      <c r="E2240" s="57" t="str">
        <f t="shared" si="1244"/>
        <v>FEBBRAIO 2021</v>
      </c>
      <c r="F2240" s="57" t="str">
        <f t="shared" si="1245"/>
        <v>2 FEBBRAIO 2021</v>
      </c>
      <c r="G2240" s="59">
        <v>17.18</v>
      </c>
      <c r="H2240" s="1338" t="s">
        <v>93</v>
      </c>
      <c r="I2240" s="960" t="s">
        <v>1045</v>
      </c>
      <c r="J2240" s="57" t="s">
        <v>108</v>
      </c>
      <c r="K2240" s="59" t="s">
        <v>1034</v>
      </c>
    </row>
    <row r="2241" spans="1:11" x14ac:dyDescent="0.25">
      <c r="A2241" s="57" t="s">
        <v>108</v>
      </c>
      <c r="B2241" s="57" t="s">
        <v>176</v>
      </c>
      <c r="C2241" s="57">
        <v>2021</v>
      </c>
      <c r="D2241" s="58">
        <f>MATCH(B2241,{"GENNAIO","FEBBRAIO","MARZO","APRILE","MAGGIO","GIUGNO","LUGLIO","AGOSTO","SETTEMBRE","OTTOBRE","NOVEMBRE","DICEMBRE"},0)</f>
        <v>2</v>
      </c>
      <c r="E2241" s="57" t="str">
        <f t="shared" si="1244"/>
        <v>FEBBRAIO 2021</v>
      </c>
      <c r="F2241" s="57" t="str">
        <f t="shared" si="1245"/>
        <v>2 FEBBRAIO 2021</v>
      </c>
      <c r="G2241" s="59">
        <v>99.8</v>
      </c>
      <c r="H2241" s="1338" t="s">
        <v>93</v>
      </c>
      <c r="I2241" s="960" t="s">
        <v>1045</v>
      </c>
      <c r="J2241" s="57" t="s">
        <v>108</v>
      </c>
      <c r="K2241" s="59" t="s">
        <v>1034</v>
      </c>
    </row>
    <row r="2242" spans="1:11" x14ac:dyDescent="0.25">
      <c r="A2242" s="57" t="s">
        <v>278</v>
      </c>
      <c r="B2242" s="57" t="s">
        <v>176</v>
      </c>
      <c r="C2242" s="57">
        <v>2021</v>
      </c>
      <c r="D2242" s="58">
        <f>MATCH(B2242,{"GENNAIO","FEBBRAIO","MARZO","APRILE","MAGGIO","GIUGNO","LUGLIO","AGOSTO","SETTEMBRE","OTTOBRE","NOVEMBRE","DICEMBRE"},0)</f>
        <v>2</v>
      </c>
      <c r="E2242" s="57" t="str">
        <f t="shared" si="1244"/>
        <v>FEBBRAIO 2021</v>
      </c>
      <c r="F2242" s="57" t="str">
        <f t="shared" si="1245"/>
        <v>2 FEBBRAIO 2021</v>
      </c>
      <c r="G2242" s="59">
        <v>105</v>
      </c>
      <c r="H2242" s="1338" t="s">
        <v>114</v>
      </c>
      <c r="I2242" s="960"/>
      <c r="J2242" s="59"/>
      <c r="K2242" s="59"/>
    </row>
    <row r="2243" spans="1:11" x14ac:dyDescent="0.25">
      <c r="A2243" s="57" t="s">
        <v>171</v>
      </c>
      <c r="B2243" s="57" t="s">
        <v>176</v>
      </c>
      <c r="C2243" s="57">
        <v>2021</v>
      </c>
      <c r="D2243" s="58">
        <f>MATCH(B2243,{"GENNAIO","FEBBRAIO","MARZO","APRILE","MAGGIO","GIUGNO","LUGLIO","AGOSTO","SETTEMBRE","OTTOBRE","NOVEMBRE","DICEMBRE"},0)</f>
        <v>2</v>
      </c>
      <c r="E2243" s="57" t="str">
        <f t="shared" si="1244"/>
        <v>FEBBRAIO 2021</v>
      </c>
      <c r="F2243" s="57" t="str">
        <f t="shared" si="1245"/>
        <v>2 FEBBRAIO 2021</v>
      </c>
      <c r="G2243" s="59">
        <v>45</v>
      </c>
      <c r="H2243" s="1338" t="s">
        <v>81</v>
      </c>
      <c r="I2243" s="960"/>
      <c r="J2243" s="59"/>
      <c r="K2243" s="59"/>
    </row>
    <row r="2244" spans="1:11" x14ac:dyDescent="0.25">
      <c r="A2244" s="57" t="s">
        <v>164</v>
      </c>
      <c r="B2244" s="57" t="s">
        <v>176</v>
      </c>
      <c r="C2244" s="57">
        <v>2021</v>
      </c>
      <c r="D2244" s="58">
        <f>MATCH(B2244,{"GENNAIO","FEBBRAIO","MARZO","APRILE","MAGGIO","GIUGNO","LUGLIO","AGOSTO","SETTEMBRE","OTTOBRE","NOVEMBRE","DICEMBRE"},0)</f>
        <v>2</v>
      </c>
      <c r="E2244" s="57" t="str">
        <f t="shared" si="1244"/>
        <v>FEBBRAIO 2021</v>
      </c>
      <c r="F2244" s="57" t="str">
        <f t="shared" si="1245"/>
        <v>2 FEBBRAIO 2021</v>
      </c>
      <c r="G2244" s="59">
        <v>84.57</v>
      </c>
      <c r="H2244" s="1338" t="s">
        <v>77</v>
      </c>
      <c r="I2244" s="960"/>
      <c r="J2244" s="59"/>
      <c r="K2244" s="59"/>
    </row>
    <row r="2245" spans="1:11" x14ac:dyDescent="0.25">
      <c r="A2245" s="57" t="s">
        <v>321</v>
      </c>
      <c r="B2245" s="57" t="s">
        <v>176</v>
      </c>
      <c r="C2245" s="57">
        <v>2021</v>
      </c>
      <c r="D2245" s="58">
        <f>MATCH(B2245,{"GENNAIO","FEBBRAIO","MARZO","APRILE","MAGGIO","GIUGNO","LUGLIO","AGOSTO","SETTEMBRE","OTTOBRE","NOVEMBRE","DICEMBRE"},0)</f>
        <v>2</v>
      </c>
      <c r="E2245" s="57" t="str">
        <f t="shared" si="1244"/>
        <v>FEBBRAIO 2021</v>
      </c>
      <c r="F2245" s="57" t="str">
        <f t="shared" si="1245"/>
        <v>2 FEBBRAIO 2021</v>
      </c>
      <c r="G2245" s="59">
        <v>7.7</v>
      </c>
      <c r="H2245" s="1338" t="s">
        <v>155</v>
      </c>
      <c r="I2245" s="960"/>
      <c r="J2245" s="59"/>
      <c r="K2245" s="59"/>
    </row>
    <row r="2246" spans="1:11" ht="14.25" customHeight="1" x14ac:dyDescent="0.25">
      <c r="A2246" s="57" t="s">
        <v>108</v>
      </c>
      <c r="B2246" s="57" t="s">
        <v>176</v>
      </c>
      <c r="C2246" s="57">
        <v>2021</v>
      </c>
      <c r="D2246" s="58">
        <f>MATCH(B2246,{"GENNAIO","FEBBRAIO","MARZO","APRILE","MAGGIO","GIUGNO","LUGLIO","AGOSTO","SETTEMBRE","OTTOBRE","NOVEMBRE","DICEMBRE"},0)</f>
        <v>2</v>
      </c>
      <c r="E2246" s="57" t="str">
        <f t="shared" si="1244"/>
        <v>FEBBRAIO 2021</v>
      </c>
      <c r="F2246" s="57" t="str">
        <f t="shared" si="1245"/>
        <v>2 FEBBRAIO 2021</v>
      </c>
      <c r="G2246" s="59">
        <v>139.9</v>
      </c>
      <c r="H2246" s="1338" t="s">
        <v>75</v>
      </c>
      <c r="I2246" s="960"/>
      <c r="J2246" s="57" t="s">
        <v>108</v>
      </c>
      <c r="K2246" s="59"/>
    </row>
    <row r="2247" spans="1:11" x14ac:dyDescent="0.25">
      <c r="A2247" s="57" t="s">
        <v>67</v>
      </c>
      <c r="B2247" s="57" t="s">
        <v>176</v>
      </c>
      <c r="C2247" s="57">
        <v>2021</v>
      </c>
      <c r="D2247" s="58">
        <f>MATCH(B2247,{"GENNAIO","FEBBRAIO","MARZO","APRILE","MAGGIO","GIUGNO","LUGLIO","AGOSTO","SETTEMBRE","OTTOBRE","NOVEMBRE","DICEMBRE"},0)</f>
        <v>2</v>
      </c>
      <c r="E2247" s="57" t="str">
        <f t="shared" si="1244"/>
        <v>FEBBRAIO 2021</v>
      </c>
      <c r="F2247" s="57" t="str">
        <f t="shared" si="1245"/>
        <v>2 FEBBRAIO 2021</v>
      </c>
      <c r="G2247" s="59">
        <v>5.0999999999999996</v>
      </c>
      <c r="H2247" s="1338" t="s">
        <v>69</v>
      </c>
      <c r="I2247" s="960"/>
      <c r="J2247" s="59"/>
      <c r="K2247" s="59"/>
    </row>
    <row r="2248" spans="1:11" x14ac:dyDescent="0.25">
      <c r="A2248" s="57" t="s">
        <v>330</v>
      </c>
      <c r="B2248" s="57" t="s">
        <v>183</v>
      </c>
      <c r="C2248" s="57">
        <v>2021</v>
      </c>
      <c r="D2248" s="58">
        <f>MATCH(B2248,{"GENNAIO","FEBBRAIO","MARZO","APRILE","MAGGIO","GIUGNO","LUGLIO","AGOSTO","SETTEMBRE","OTTOBRE","NOVEMBRE","DICEMBRE"},0)</f>
        <v>1</v>
      </c>
      <c r="E2248" s="57" t="str">
        <f t="shared" si="1244"/>
        <v>GENNAIO 2021</v>
      </c>
      <c r="F2248" s="57" t="str">
        <f t="shared" si="1245"/>
        <v>1 GENNAIO 2021</v>
      </c>
      <c r="G2248" s="59">
        <v>-99.7</v>
      </c>
      <c r="H2248" s="1338" t="s">
        <v>1042</v>
      </c>
      <c r="I2248" s="960"/>
      <c r="J2248" s="59"/>
      <c r="K2248" s="59"/>
    </row>
    <row r="2249" spans="1:11" ht="14.25" customHeight="1" x14ac:dyDescent="0.25">
      <c r="A2249" s="57" t="s">
        <v>67</v>
      </c>
      <c r="B2249" s="57" t="s">
        <v>183</v>
      </c>
      <c r="C2249" s="57">
        <v>2021</v>
      </c>
      <c r="D2249" s="58">
        <f>MATCH(B2249,{"GENNAIO","FEBBRAIO","MARZO","APRILE","MAGGIO","GIUGNO","LUGLIO","AGOSTO","SETTEMBRE","OTTOBRE","NOVEMBRE","DICEMBRE"},0)</f>
        <v>1</v>
      </c>
      <c r="E2249" s="57" t="str">
        <f t="shared" si="1244"/>
        <v>GENNAIO 2021</v>
      </c>
      <c r="F2249" s="57" t="str">
        <f t="shared" si="1245"/>
        <v>1 GENNAIO 2021</v>
      </c>
      <c r="G2249" s="59">
        <v>5.0999999999999996</v>
      </c>
      <c r="H2249" s="1338" t="s">
        <v>69</v>
      </c>
      <c r="I2249" s="960"/>
      <c r="J2249" s="59"/>
      <c r="K2249" s="59"/>
    </row>
    <row r="2250" spans="1:11" x14ac:dyDescent="0.25">
      <c r="A2250" s="57" t="s">
        <v>331</v>
      </c>
      <c r="B2250" s="57" t="s">
        <v>183</v>
      </c>
      <c r="C2250" s="57">
        <v>2021</v>
      </c>
      <c r="D2250" s="58">
        <f>MATCH(B2250,{"GENNAIO","FEBBRAIO","MARZO","APRILE","MAGGIO","GIUGNO","LUGLIO","AGOSTO","SETTEMBRE","OTTOBRE","NOVEMBRE","DICEMBRE"},0)</f>
        <v>1</v>
      </c>
      <c r="E2250" s="57" t="str">
        <f t="shared" si="1244"/>
        <v>GENNAIO 2021</v>
      </c>
      <c r="F2250" s="57" t="str">
        <f t="shared" si="1245"/>
        <v>1 GENNAIO 2021</v>
      </c>
      <c r="G2250" s="59">
        <v>119.6</v>
      </c>
      <c r="H2250" s="1338" t="s">
        <v>327</v>
      </c>
      <c r="I2250" s="960"/>
      <c r="J2250" s="59"/>
      <c r="K2250" s="59"/>
    </row>
    <row r="2251" spans="1:11" x14ac:dyDescent="0.25">
      <c r="A2251" s="57" t="s">
        <v>331</v>
      </c>
      <c r="B2251" s="57" t="s">
        <v>183</v>
      </c>
      <c r="C2251" s="57">
        <v>2021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244"/>
        <v>GENNAIO 2021</v>
      </c>
      <c r="F2251" s="57" t="str">
        <f t="shared" si="1245"/>
        <v>1 GENNAIO 2021</v>
      </c>
      <c r="G2251" s="59">
        <v>59</v>
      </c>
      <c r="H2251" s="1338" t="s">
        <v>327</v>
      </c>
      <c r="I2251" s="960"/>
      <c r="J2251" s="59"/>
      <c r="K2251" s="59"/>
    </row>
    <row r="2252" spans="1:11" x14ac:dyDescent="0.25">
      <c r="A2252" s="57" t="s">
        <v>67</v>
      </c>
      <c r="B2252" s="57" t="s">
        <v>183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44"/>
        <v>GENNAIO 2021</v>
      </c>
      <c r="F2252" s="57" t="str">
        <f t="shared" si="1245"/>
        <v>1 GENNAIO 2021</v>
      </c>
      <c r="G2252" s="59">
        <v>5.0999999999999996</v>
      </c>
      <c r="H2252" s="1338" t="s">
        <v>69</v>
      </c>
      <c r="I2252" s="960"/>
      <c r="J2252" s="59"/>
      <c r="K2252" s="59"/>
    </row>
    <row r="2253" spans="1:11" x14ac:dyDescent="0.25">
      <c r="A2253" s="57" t="s">
        <v>330</v>
      </c>
      <c r="B2253" s="57" t="s">
        <v>183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44"/>
        <v>GENNAIO 2021</v>
      </c>
      <c r="F2253" s="57" t="str">
        <f t="shared" si="1245"/>
        <v>1 GENNAIO 2021</v>
      </c>
      <c r="G2253" s="59">
        <v>99.7</v>
      </c>
      <c r="H2253" s="1338" t="s">
        <v>327</v>
      </c>
      <c r="I2253" s="960"/>
      <c r="J2253" s="59"/>
      <c r="K2253" s="59"/>
    </row>
    <row r="2254" spans="1:11" x14ac:dyDescent="0.25">
      <c r="A2254" s="57" t="s">
        <v>108</v>
      </c>
      <c r="B2254" s="57" t="s">
        <v>183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44"/>
        <v>GENNAIO 2021</v>
      </c>
      <c r="F2254" s="57" t="str">
        <f t="shared" si="1245"/>
        <v>1 GENNAIO 2021</v>
      </c>
      <c r="G2254" s="59">
        <v>45</v>
      </c>
      <c r="H2254" s="1338" t="s">
        <v>75</v>
      </c>
      <c r="I2254" s="960"/>
      <c r="J2254" s="57" t="s">
        <v>108</v>
      </c>
      <c r="K2254" s="59"/>
    </row>
    <row r="2255" spans="1:11" x14ac:dyDescent="0.25">
      <c r="A2255" s="57" t="s">
        <v>321</v>
      </c>
      <c r="B2255" s="57" t="s">
        <v>183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si="1244"/>
        <v>GENNAIO 2021</v>
      </c>
      <c r="F2255" s="57" t="str">
        <f t="shared" si="1245"/>
        <v>1 GENNAIO 2021</v>
      </c>
      <c r="G2255" s="59">
        <v>25.6</v>
      </c>
      <c r="H2255" s="1338" t="s">
        <v>155</v>
      </c>
      <c r="I2255" s="960"/>
      <c r="J2255" s="59"/>
      <c r="K2255" s="59"/>
    </row>
    <row r="2256" spans="1:11" ht="16.5" customHeight="1" x14ac:dyDescent="0.25">
      <c r="A2256" s="57" t="s">
        <v>171</v>
      </c>
      <c r="B2256" s="57" t="s">
        <v>183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44"/>
        <v>GENNAIO 2021</v>
      </c>
      <c r="F2256" s="57" t="str">
        <f t="shared" si="1245"/>
        <v>1 GENNAIO 2021</v>
      </c>
      <c r="G2256" s="59">
        <v>6</v>
      </c>
      <c r="H2256" s="1338" t="s">
        <v>81</v>
      </c>
      <c r="I2256" s="960"/>
      <c r="J2256" s="59"/>
      <c r="K2256" s="59"/>
    </row>
    <row r="2257" spans="1:11" ht="16.5" customHeight="1" x14ac:dyDescent="0.25">
      <c r="A2257" s="57" t="s">
        <v>164</v>
      </c>
      <c r="B2257" s="57" t="s">
        <v>183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si="1244"/>
        <v>GENNAIO 2021</v>
      </c>
      <c r="F2257" s="57" t="str">
        <f t="shared" si="1245"/>
        <v>1 GENNAIO 2021</v>
      </c>
      <c r="G2257" s="59">
        <v>28.4</v>
      </c>
      <c r="H2257" s="1338" t="s">
        <v>77</v>
      </c>
      <c r="I2257" s="960"/>
      <c r="J2257" s="59"/>
      <c r="K2257" s="59"/>
    </row>
    <row r="2258" spans="1:11" ht="16.5" customHeight="1" x14ac:dyDescent="0.25">
      <c r="A2258" s="57" t="s">
        <v>108</v>
      </c>
      <c r="B2258" s="57" t="s">
        <v>183</v>
      </c>
      <c r="C2258" s="57">
        <v>2021</v>
      </c>
      <c r="D2258" s="58">
        <f>MATCH(B2258,{"GENNAIO","FEBBRAIO","MARZO","APRILE","MAGGIO","GIUGNO","LUGLIO","AGOSTO","SETTEMBRE","OTTOBRE","NOVEMBRE","DICEMBRE"},0)</f>
        <v>1</v>
      </c>
      <c r="E2258" s="57" t="str">
        <f t="shared" si="1244"/>
        <v>GENNAIO 2021</v>
      </c>
      <c r="F2258" s="57" t="str">
        <f t="shared" si="1245"/>
        <v>1 GENNAIO 2021</v>
      </c>
      <c r="G2258" s="59">
        <v>107.22</v>
      </c>
      <c r="H2258" s="1338" t="s">
        <v>75</v>
      </c>
      <c r="I2258" s="960"/>
      <c r="J2258" s="57" t="s">
        <v>108</v>
      </c>
      <c r="K2258" s="59"/>
    </row>
    <row r="2259" spans="1:11" x14ac:dyDescent="0.25">
      <c r="A2259" s="57" t="s">
        <v>332</v>
      </c>
      <c r="B2259" s="57" t="s">
        <v>183</v>
      </c>
      <c r="C2259" s="57">
        <v>2021</v>
      </c>
      <c r="D2259" s="58">
        <f>MATCH(B2259,{"GENNAIO","FEBBRAIO","MARZO","APRILE","MAGGIO","GIUGNO","LUGLIO","AGOSTO","SETTEMBRE","OTTOBRE","NOVEMBRE","DICEMBRE"},0)</f>
        <v>1</v>
      </c>
      <c r="E2259" s="57" t="str">
        <f t="shared" si="1244"/>
        <v>GENNAIO 2021</v>
      </c>
      <c r="F2259" s="57" t="str">
        <f t="shared" si="1245"/>
        <v>1 GENNAIO 2021</v>
      </c>
      <c r="G2259" s="59">
        <v>32</v>
      </c>
      <c r="H2259" s="1338" t="s">
        <v>155</v>
      </c>
      <c r="I2259" s="960"/>
      <c r="J2259" s="59"/>
      <c r="K2259" s="59"/>
    </row>
    <row r="2260" spans="1:11" x14ac:dyDescent="0.25">
      <c r="A2260" s="57" t="s">
        <v>108</v>
      </c>
      <c r="B2260" s="57" t="s">
        <v>183</v>
      </c>
      <c r="C2260" s="57">
        <v>2021</v>
      </c>
      <c r="D2260" s="58">
        <f>MATCH(B2260,{"GENNAIO","FEBBRAIO","MARZO","APRILE","MAGGIO","GIUGNO","LUGLIO","AGOSTO","SETTEMBRE","OTTOBRE","NOVEMBRE","DICEMBRE"},0)</f>
        <v>1</v>
      </c>
      <c r="E2260" s="57" t="str">
        <f t="shared" si="1244"/>
        <v>GENNAIO 2021</v>
      </c>
      <c r="F2260" s="57" t="str">
        <f t="shared" si="1245"/>
        <v>1 GENNAIO 2021</v>
      </c>
      <c r="G2260" s="59">
        <v>17.2</v>
      </c>
      <c r="H2260" s="1338" t="s">
        <v>93</v>
      </c>
      <c r="I2260" s="960" t="s">
        <v>1043</v>
      </c>
      <c r="J2260" s="57" t="s">
        <v>108</v>
      </c>
      <c r="K2260" s="59" t="s">
        <v>1034</v>
      </c>
    </row>
    <row r="2261" spans="1:11" x14ac:dyDescent="0.25">
      <c r="A2261" s="57" t="s">
        <v>108</v>
      </c>
      <c r="B2261" s="57" t="s">
        <v>183</v>
      </c>
      <c r="C2261" s="57">
        <v>2021</v>
      </c>
      <c r="D2261" s="58">
        <f>MATCH(B2261,{"GENNAIO","FEBBRAIO","MARZO","APRILE","MAGGIO","GIUGNO","LUGLIO","AGOSTO","SETTEMBRE","OTTOBRE","NOVEMBRE","DICEMBRE"},0)</f>
        <v>1</v>
      </c>
      <c r="E2261" s="57" t="str">
        <f t="shared" si="1244"/>
        <v>GENNAIO 2021</v>
      </c>
      <c r="F2261" s="57" t="str">
        <f t="shared" si="1245"/>
        <v>1 GENNAIO 2021</v>
      </c>
      <c r="G2261" s="59">
        <v>99.8</v>
      </c>
      <c r="H2261" s="1338" t="s">
        <v>93</v>
      </c>
      <c r="I2261" s="960" t="s">
        <v>1043</v>
      </c>
      <c r="J2261" s="57" t="s">
        <v>108</v>
      </c>
      <c r="K2261" s="59" t="s">
        <v>1034</v>
      </c>
    </row>
    <row r="2262" spans="1:11" x14ac:dyDescent="0.25">
      <c r="A2262" s="57" t="s">
        <v>79</v>
      </c>
      <c r="B2262" s="57" t="s">
        <v>183</v>
      </c>
      <c r="C2262" s="57">
        <v>2021</v>
      </c>
      <c r="D2262" s="58">
        <f>MATCH(B2262,{"GENNAIO","FEBBRAIO","MARZO","APRILE","MAGGIO","GIUGNO","LUGLIO","AGOSTO","SETTEMBRE","OTTOBRE","NOVEMBRE","DICEMBRE"},0)</f>
        <v>1</v>
      </c>
      <c r="E2262" s="57" t="str">
        <f t="shared" si="1244"/>
        <v>GENNAIO 2021</v>
      </c>
      <c r="F2262" s="57" t="str">
        <f t="shared" si="1245"/>
        <v>1 GENNAIO 2021</v>
      </c>
      <c r="G2262" s="59">
        <v>26.1</v>
      </c>
      <c r="H2262" s="1338" t="s">
        <v>155</v>
      </c>
      <c r="I2262" s="960"/>
      <c r="J2262" s="59"/>
      <c r="K2262" s="59"/>
    </row>
    <row r="2263" spans="1:11" x14ac:dyDescent="0.25">
      <c r="A2263" s="57" t="s">
        <v>164</v>
      </c>
      <c r="B2263" s="57" t="s">
        <v>183</v>
      </c>
      <c r="C2263" s="57">
        <v>2021</v>
      </c>
      <c r="D2263" s="58">
        <f>MATCH(B2263,{"GENNAIO","FEBBRAIO","MARZO","APRILE","MAGGIO","GIUGNO","LUGLIO","AGOSTO","SETTEMBRE","OTTOBRE","NOVEMBRE","DICEMBRE"},0)</f>
        <v>1</v>
      </c>
      <c r="E2263" s="57" t="str">
        <f t="shared" si="1244"/>
        <v>GENNAIO 2021</v>
      </c>
      <c r="F2263" s="57" t="str">
        <f t="shared" si="1245"/>
        <v>1 GENNAIO 2021</v>
      </c>
      <c r="G2263" s="59">
        <v>28.84</v>
      </c>
      <c r="H2263" s="1338" t="s">
        <v>77</v>
      </c>
      <c r="I2263" s="960"/>
      <c r="J2263" s="59"/>
      <c r="K2263" s="59"/>
    </row>
    <row r="2264" spans="1:11" x14ac:dyDescent="0.25">
      <c r="A2264" s="57" t="s">
        <v>79</v>
      </c>
      <c r="B2264" s="57" t="s">
        <v>183</v>
      </c>
      <c r="C2264" s="57">
        <v>2021</v>
      </c>
      <c r="D2264" s="58">
        <f>MATCH(B2264,{"GENNAIO","FEBBRAIO","MARZO","APRILE","MAGGIO","GIUGNO","LUGLIO","AGOSTO","SETTEMBRE","OTTOBRE","NOVEMBRE","DICEMBRE"},0)</f>
        <v>1</v>
      </c>
      <c r="E2264" s="57" t="str">
        <f t="shared" si="1244"/>
        <v>GENNAIO 2021</v>
      </c>
      <c r="F2264" s="57" t="str">
        <f t="shared" si="1245"/>
        <v>1 GENNAIO 2021</v>
      </c>
      <c r="G2264" s="59">
        <v>11.5</v>
      </c>
      <c r="H2264" s="1338" t="s">
        <v>155</v>
      </c>
      <c r="I2264" s="960"/>
      <c r="J2264" s="59"/>
      <c r="K2264" s="59"/>
    </row>
    <row r="2265" spans="1:11" x14ac:dyDescent="0.25">
      <c r="A2265" s="57" t="s">
        <v>333</v>
      </c>
      <c r="B2265" s="57" t="s">
        <v>183</v>
      </c>
      <c r="C2265" s="57">
        <v>2021</v>
      </c>
      <c r="D2265" s="58">
        <f>MATCH(B2265,{"GENNAIO","FEBBRAIO","MARZO","APRILE","MAGGIO","GIUGNO","LUGLIO","AGOSTO","SETTEMBRE","OTTOBRE","NOVEMBRE","DICEMBRE"},0)</f>
        <v>1</v>
      </c>
      <c r="E2265" s="57" t="str">
        <f t="shared" si="1244"/>
        <v>GENNAIO 2021</v>
      </c>
      <c r="F2265" s="57" t="str">
        <f t="shared" si="1245"/>
        <v>1 GENNAIO 2021</v>
      </c>
      <c r="G2265" s="59">
        <v>8.24</v>
      </c>
      <c r="H2265" s="1338" t="s">
        <v>185</v>
      </c>
      <c r="I2265" s="960"/>
      <c r="J2265" s="59"/>
      <c r="K2265" s="59"/>
    </row>
    <row r="2266" spans="1:11" ht="14.25" customHeight="1" x14ac:dyDescent="0.25">
      <c r="A2266" s="57" t="s">
        <v>311</v>
      </c>
      <c r="B2266" s="57" t="s">
        <v>183</v>
      </c>
      <c r="C2266" s="57">
        <v>2021</v>
      </c>
      <c r="D2266" s="58">
        <f>MATCH(B2266,{"GENNAIO","FEBBRAIO","MARZO","APRILE","MAGGIO","GIUGNO","LUGLIO","AGOSTO","SETTEMBRE","OTTOBRE","NOVEMBRE","DICEMBRE"},0)</f>
        <v>1</v>
      </c>
      <c r="E2266" s="57" t="str">
        <f t="shared" ref="E2266:E2329" si="1246">CONCATENATE(,B2266," ",C2266)</f>
        <v>GENNAIO 2021</v>
      </c>
      <c r="F2266" s="57" t="str">
        <f t="shared" ref="F2266:F2329" si="1247">CONCATENATE(D2266," ",E2266)</f>
        <v>1 GENNAIO 2021</v>
      </c>
      <c r="G2266" s="59">
        <v>9.4</v>
      </c>
      <c r="H2266" s="1338" t="s">
        <v>155</v>
      </c>
      <c r="I2266" s="960"/>
      <c r="J2266" s="59"/>
      <c r="K2266" s="59"/>
    </row>
    <row r="2267" spans="1:11" ht="14.25" customHeight="1" x14ac:dyDescent="0.25">
      <c r="A2267" s="57" t="s">
        <v>334</v>
      </c>
      <c r="B2267" s="57" t="s">
        <v>183</v>
      </c>
      <c r="C2267" s="57">
        <v>2021</v>
      </c>
      <c r="D2267" s="58">
        <f>MATCH(B2267,{"GENNAIO","FEBBRAIO","MARZO","APRILE","MAGGIO","GIUGNO","LUGLIO","AGOSTO","SETTEMBRE","OTTOBRE","NOVEMBRE","DICEMBRE"},0)</f>
        <v>1</v>
      </c>
      <c r="E2267" s="57" t="str">
        <f t="shared" si="1246"/>
        <v>GENNAIO 2021</v>
      </c>
      <c r="F2267" s="57" t="str">
        <f t="shared" si="1247"/>
        <v>1 GENNAIO 2021</v>
      </c>
      <c r="G2267" s="59">
        <v>10.97</v>
      </c>
      <c r="H2267" s="1338" t="s">
        <v>155</v>
      </c>
      <c r="I2267" s="960"/>
      <c r="J2267" s="59"/>
      <c r="K2267" s="59"/>
    </row>
    <row r="2268" spans="1:11" x14ac:dyDescent="0.25">
      <c r="A2268" s="57" t="s">
        <v>164</v>
      </c>
      <c r="B2268" s="57" t="s">
        <v>183</v>
      </c>
      <c r="C2268" s="57">
        <v>2021</v>
      </c>
      <c r="D2268" s="58">
        <f>MATCH(B2268,{"GENNAIO","FEBBRAIO","MARZO","APRILE","MAGGIO","GIUGNO","LUGLIO","AGOSTO","SETTEMBRE","OTTOBRE","NOVEMBRE","DICEMBRE"},0)</f>
        <v>1</v>
      </c>
      <c r="E2268" s="57" t="str">
        <f t="shared" si="1246"/>
        <v>GENNAIO 2021</v>
      </c>
      <c r="F2268" s="57" t="str">
        <f t="shared" si="1247"/>
        <v>1 GENNAIO 2021</v>
      </c>
      <c r="G2268" s="59">
        <v>68.38</v>
      </c>
      <c r="H2268" s="1338" t="s">
        <v>77</v>
      </c>
      <c r="I2268" s="960"/>
      <c r="J2268" s="59"/>
      <c r="K2268" s="59"/>
    </row>
    <row r="2269" spans="1:11" x14ac:dyDescent="0.25">
      <c r="A2269" s="57" t="s">
        <v>67</v>
      </c>
      <c r="B2269" s="57" t="s">
        <v>188</v>
      </c>
      <c r="C2269" s="57">
        <v>2020</v>
      </c>
      <c r="D2269" s="58">
        <f>MATCH(B2269,{"GENNAIO","FEBBRAIO","MARZO","APRILE","MAGGIO","GIUGNO","LUGLIO","AGOSTO","SETTEMBRE","OTTOBRE","NOVEMBRE","DICEMBRE"},0)</f>
        <v>12</v>
      </c>
      <c r="E2269" s="57" t="str">
        <f t="shared" si="1246"/>
        <v>DICEMBRE 2020</v>
      </c>
      <c r="F2269" s="57" t="str">
        <f t="shared" si="1247"/>
        <v>12 DICEMBRE 2020</v>
      </c>
      <c r="G2269" s="59">
        <v>10.199999999999999</v>
      </c>
      <c r="H2269" s="1338" t="s">
        <v>69</v>
      </c>
      <c r="I2269" s="960"/>
      <c r="J2269" s="59"/>
      <c r="K2269" s="59"/>
    </row>
    <row r="2270" spans="1:11" x14ac:dyDescent="0.25">
      <c r="A2270" s="57" t="s">
        <v>67</v>
      </c>
      <c r="B2270" s="57" t="s">
        <v>188</v>
      </c>
      <c r="C2270" s="57">
        <v>2020</v>
      </c>
      <c r="D2270" s="58">
        <f>MATCH(B2270,{"GENNAIO","FEBBRAIO","MARZO","APRILE","MAGGIO","GIUGNO","LUGLIO","AGOSTO","SETTEMBRE","OTTOBRE","NOVEMBRE","DICEMBRE"},0)</f>
        <v>12</v>
      </c>
      <c r="E2270" s="57" t="str">
        <f t="shared" si="1246"/>
        <v>DICEMBRE 2020</v>
      </c>
      <c r="F2270" s="57" t="str">
        <f t="shared" si="1247"/>
        <v>12 DICEMBRE 2020</v>
      </c>
      <c r="G2270" s="59">
        <v>14.3</v>
      </c>
      <c r="H2270" s="1338" t="s">
        <v>69</v>
      </c>
      <c r="I2270" s="960"/>
      <c r="J2270" s="59"/>
      <c r="K2270" s="59"/>
    </row>
    <row r="2271" spans="1:11" x14ac:dyDescent="0.25">
      <c r="A2271" s="57" t="s">
        <v>139</v>
      </c>
      <c r="B2271" s="57" t="s">
        <v>188</v>
      </c>
      <c r="C2271" s="57">
        <v>2020</v>
      </c>
      <c r="D2271" s="58">
        <f>MATCH(B2271,{"GENNAIO","FEBBRAIO","MARZO","APRILE","MAGGIO","GIUGNO","LUGLIO","AGOSTO","SETTEMBRE","OTTOBRE","NOVEMBRE","DICEMBRE"},0)</f>
        <v>12</v>
      </c>
      <c r="E2271" s="57" t="str">
        <f t="shared" si="1246"/>
        <v>DICEMBRE 2020</v>
      </c>
      <c r="F2271" s="57" t="str">
        <f t="shared" si="1247"/>
        <v>12 DICEMBRE 2020</v>
      </c>
      <c r="G2271" s="59">
        <v>126</v>
      </c>
      <c r="H2271" s="1338" t="s">
        <v>69</v>
      </c>
      <c r="I2271" s="960"/>
      <c r="J2271" s="59"/>
      <c r="K2271" s="59"/>
    </row>
    <row r="2272" spans="1:11" x14ac:dyDescent="0.25">
      <c r="A2272" s="57" t="s">
        <v>164</v>
      </c>
      <c r="B2272" s="57" t="s">
        <v>188</v>
      </c>
      <c r="C2272" s="57">
        <v>2020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246"/>
        <v>DICEMBRE 2020</v>
      </c>
      <c r="F2272" s="57" t="str">
        <f t="shared" si="1247"/>
        <v>12 DICEMBRE 2020</v>
      </c>
      <c r="G2272" s="59">
        <v>8.8000000000000007</v>
      </c>
      <c r="H2272" s="1338" t="s">
        <v>77</v>
      </c>
      <c r="I2272" s="960"/>
      <c r="J2272" s="59"/>
      <c r="K2272" s="59"/>
    </row>
    <row r="2273" spans="1:11" x14ac:dyDescent="0.25">
      <c r="A2273" s="57" t="s">
        <v>164</v>
      </c>
      <c r="B2273" s="57" t="s">
        <v>188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46"/>
        <v>DICEMBRE 2020</v>
      </c>
      <c r="F2273" s="57" t="str">
        <f t="shared" si="1247"/>
        <v>12 DICEMBRE 2020</v>
      </c>
      <c r="G2273" s="59">
        <v>79.22</v>
      </c>
      <c r="H2273" s="1338" t="s">
        <v>77</v>
      </c>
      <c r="I2273" s="960"/>
      <c r="J2273" s="59"/>
      <c r="K2273" s="59"/>
    </row>
    <row r="2274" spans="1:11" x14ac:dyDescent="0.25">
      <c r="A2274" s="57" t="s">
        <v>108</v>
      </c>
      <c r="B2274" s="57" t="s">
        <v>188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46"/>
        <v>DICEMBRE 2020</v>
      </c>
      <c r="F2274" s="57" t="str">
        <f t="shared" si="1247"/>
        <v>12 DICEMBRE 2020</v>
      </c>
      <c r="G2274" s="59">
        <v>158</v>
      </c>
      <c r="H2274" s="1338" t="s">
        <v>75</v>
      </c>
      <c r="I2274" s="960"/>
      <c r="J2274" s="57" t="s">
        <v>108</v>
      </c>
      <c r="K2274" s="59"/>
    </row>
    <row r="2275" spans="1:11" x14ac:dyDescent="0.25">
      <c r="A2275" s="57" t="s">
        <v>108</v>
      </c>
      <c r="B2275" s="57" t="s">
        <v>188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46"/>
        <v>DICEMBRE 2020</v>
      </c>
      <c r="F2275" s="57" t="str">
        <f t="shared" si="1247"/>
        <v>12 DICEMBRE 2020</v>
      </c>
      <c r="G2275" s="59">
        <v>49.99</v>
      </c>
      <c r="H2275" s="1338" t="s">
        <v>75</v>
      </c>
      <c r="I2275" s="960"/>
      <c r="J2275" s="57" t="s">
        <v>108</v>
      </c>
      <c r="K2275" s="59"/>
    </row>
    <row r="2276" spans="1:11" x14ac:dyDescent="0.25">
      <c r="A2276" s="57" t="s">
        <v>164</v>
      </c>
      <c r="B2276" s="57" t="s">
        <v>188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46"/>
        <v>DICEMBRE 2020</v>
      </c>
      <c r="F2276" s="57" t="str">
        <f t="shared" si="1247"/>
        <v>12 DICEMBRE 2020</v>
      </c>
      <c r="G2276" s="59">
        <v>54.98</v>
      </c>
      <c r="H2276" s="1338" t="s">
        <v>77</v>
      </c>
      <c r="I2276" s="960"/>
      <c r="J2276" s="59"/>
      <c r="K2276" s="59"/>
    </row>
    <row r="2277" spans="1:11" x14ac:dyDescent="0.25">
      <c r="A2277" s="57" t="s">
        <v>280</v>
      </c>
      <c r="B2277" s="57" t="s">
        <v>188</v>
      </c>
      <c r="C2277" s="57">
        <v>2020</v>
      </c>
      <c r="D2277" s="58">
        <f>MATCH(B2277,{"GENNAIO","FEBBRAIO","MARZO","APRILE","MAGGIO","GIUGNO","LUGLIO","AGOSTO","SETTEMBRE","OTTOBRE","NOVEMBRE","DICEMBRE"},0)</f>
        <v>12</v>
      </c>
      <c r="E2277" s="57" t="str">
        <f t="shared" si="1246"/>
        <v>DICEMBRE 2020</v>
      </c>
      <c r="F2277" s="57" t="str">
        <f t="shared" si="1247"/>
        <v>12 DICEMBRE 2020</v>
      </c>
      <c r="G2277" s="59">
        <v>150</v>
      </c>
      <c r="H2277" s="1338" t="s">
        <v>77</v>
      </c>
      <c r="I2277" s="960"/>
      <c r="J2277" s="59"/>
      <c r="K2277" s="59"/>
    </row>
    <row r="2278" spans="1:11" x14ac:dyDescent="0.25">
      <c r="A2278" s="57" t="s">
        <v>79</v>
      </c>
      <c r="B2278" s="57" t="s">
        <v>188</v>
      </c>
      <c r="C2278" s="57">
        <v>2020</v>
      </c>
      <c r="D2278" s="58">
        <f>MATCH(B2278,{"GENNAIO","FEBBRAIO","MARZO","APRILE","MAGGIO","GIUGNO","LUGLIO","AGOSTO","SETTEMBRE","OTTOBRE","NOVEMBRE","DICEMBRE"},0)</f>
        <v>12</v>
      </c>
      <c r="E2278" s="57" t="str">
        <f t="shared" si="1246"/>
        <v>DICEMBRE 2020</v>
      </c>
      <c r="F2278" s="57" t="str">
        <f t="shared" si="1247"/>
        <v>12 DICEMBRE 2020</v>
      </c>
      <c r="G2278" s="59">
        <v>14.6</v>
      </c>
      <c r="H2278" s="1338" t="s">
        <v>155</v>
      </c>
      <c r="I2278" s="960"/>
      <c r="J2278" s="59"/>
      <c r="K2278" s="59"/>
    </row>
    <row r="2279" spans="1:11" x14ac:dyDescent="0.25">
      <c r="A2279" s="57" t="s">
        <v>108</v>
      </c>
      <c r="B2279" s="57" t="s">
        <v>188</v>
      </c>
      <c r="C2279" s="57">
        <v>2020</v>
      </c>
      <c r="D2279" s="58">
        <f>MATCH(B2279,{"GENNAIO","FEBBRAIO","MARZO","APRILE","MAGGIO","GIUGNO","LUGLIO","AGOSTO","SETTEMBRE","OTTOBRE","NOVEMBRE","DICEMBRE"},0)</f>
        <v>12</v>
      </c>
      <c r="E2279" s="57" t="str">
        <f t="shared" si="1246"/>
        <v>DICEMBRE 2020</v>
      </c>
      <c r="F2279" s="57" t="str">
        <f t="shared" si="1247"/>
        <v>12 DICEMBRE 2020</v>
      </c>
      <c r="G2279" s="59">
        <v>52.85</v>
      </c>
      <c r="H2279" s="1338" t="s">
        <v>75</v>
      </c>
      <c r="I2279" s="960"/>
      <c r="J2279" s="57" t="s">
        <v>108</v>
      </c>
      <c r="K2279" s="59"/>
    </row>
    <row r="2280" spans="1:11" ht="14.25" customHeight="1" x14ac:dyDescent="0.25">
      <c r="A2280" s="57" t="s">
        <v>79</v>
      </c>
      <c r="B2280" s="57" t="s">
        <v>188</v>
      </c>
      <c r="C2280" s="57">
        <v>2020</v>
      </c>
      <c r="D2280" s="58">
        <f>MATCH(B2280,{"GENNAIO","FEBBRAIO","MARZO","APRILE","MAGGIO","GIUGNO","LUGLIO","AGOSTO","SETTEMBRE","OTTOBRE","NOVEMBRE","DICEMBRE"},0)</f>
        <v>12</v>
      </c>
      <c r="E2280" s="57" t="str">
        <f t="shared" si="1246"/>
        <v>DICEMBRE 2020</v>
      </c>
      <c r="F2280" s="57" t="str">
        <f t="shared" si="1247"/>
        <v>12 DICEMBRE 2020</v>
      </c>
      <c r="G2280" s="59">
        <v>7.2</v>
      </c>
      <c r="H2280" s="1338" t="s">
        <v>155</v>
      </c>
      <c r="I2280" s="960"/>
      <c r="J2280" s="59"/>
      <c r="K2280" s="59"/>
    </row>
    <row r="2281" spans="1:11" ht="14.25" customHeight="1" x14ac:dyDescent="0.25">
      <c r="A2281" s="57" t="s">
        <v>108</v>
      </c>
      <c r="B2281" s="57" t="s">
        <v>188</v>
      </c>
      <c r="C2281" s="57">
        <v>2020</v>
      </c>
      <c r="D2281" s="58">
        <f>MATCH(B2281,{"GENNAIO","FEBBRAIO","MARZO","APRILE","MAGGIO","GIUGNO","LUGLIO","AGOSTO","SETTEMBRE","OTTOBRE","NOVEMBRE","DICEMBRE"},0)</f>
        <v>12</v>
      </c>
      <c r="E2281" s="57" t="str">
        <f t="shared" si="1246"/>
        <v>DICEMBRE 2020</v>
      </c>
      <c r="F2281" s="57" t="str">
        <f t="shared" si="1247"/>
        <v>12 DICEMBRE 2020</v>
      </c>
      <c r="G2281" s="59">
        <v>17.2</v>
      </c>
      <c r="H2281" s="1338" t="s">
        <v>93</v>
      </c>
      <c r="I2281" s="960" t="s">
        <v>1044</v>
      </c>
      <c r="J2281" s="57" t="s">
        <v>108</v>
      </c>
      <c r="K2281" s="59" t="s">
        <v>1034</v>
      </c>
    </row>
    <row r="2282" spans="1:11" ht="14.25" customHeight="1" x14ac:dyDescent="0.25">
      <c r="A2282" s="57" t="s">
        <v>108</v>
      </c>
      <c r="B2282" s="57" t="s">
        <v>188</v>
      </c>
      <c r="C2282" s="57">
        <v>2020</v>
      </c>
      <c r="D2282" s="58">
        <f>MATCH(B2282,{"GENNAIO","FEBBRAIO","MARZO","APRILE","MAGGIO","GIUGNO","LUGLIO","AGOSTO","SETTEMBRE","OTTOBRE","NOVEMBRE","DICEMBRE"},0)</f>
        <v>12</v>
      </c>
      <c r="E2282" s="57" t="str">
        <f t="shared" si="1246"/>
        <v>DICEMBRE 2020</v>
      </c>
      <c r="F2282" s="57" t="str">
        <f t="shared" si="1247"/>
        <v>12 DICEMBRE 2020</v>
      </c>
      <c r="G2282" s="59">
        <v>99.8</v>
      </c>
      <c r="H2282" s="1338" t="s">
        <v>93</v>
      </c>
      <c r="I2282" s="960" t="s">
        <v>1044</v>
      </c>
      <c r="J2282" s="57" t="s">
        <v>108</v>
      </c>
      <c r="K2282" s="59" t="s">
        <v>1034</v>
      </c>
    </row>
    <row r="2283" spans="1:11" ht="14.25" customHeight="1" x14ac:dyDescent="0.25">
      <c r="A2283" s="57" t="s">
        <v>108</v>
      </c>
      <c r="B2283" s="57" t="s">
        <v>188</v>
      </c>
      <c r="C2283" s="57">
        <v>2020</v>
      </c>
      <c r="D2283" s="58">
        <f>MATCH(B2283,{"GENNAIO","FEBBRAIO","MARZO","APRILE","MAGGIO","GIUGNO","LUGLIO","AGOSTO","SETTEMBRE","OTTOBRE","NOVEMBRE","DICEMBRE"},0)</f>
        <v>12</v>
      </c>
      <c r="E2283" s="57" t="str">
        <f t="shared" si="1246"/>
        <v>DICEMBRE 2020</v>
      </c>
      <c r="F2283" s="57" t="str">
        <f t="shared" si="1247"/>
        <v>12 DICEMBRE 2020</v>
      </c>
      <c r="G2283" s="59">
        <v>7.99</v>
      </c>
      <c r="H2283" s="1338" t="s">
        <v>75</v>
      </c>
      <c r="I2283" s="960"/>
      <c r="J2283" s="57" t="s">
        <v>108</v>
      </c>
      <c r="K2283" s="59"/>
    </row>
    <row r="2284" spans="1:11" ht="14.25" customHeight="1" x14ac:dyDescent="0.25">
      <c r="A2284" s="57" t="s">
        <v>164</v>
      </c>
      <c r="B2284" s="57" t="s">
        <v>188</v>
      </c>
      <c r="C2284" s="57">
        <v>2020</v>
      </c>
      <c r="D2284" s="58">
        <f>MATCH(B2284,{"GENNAIO","FEBBRAIO","MARZO","APRILE","MAGGIO","GIUGNO","LUGLIO","AGOSTO","SETTEMBRE","OTTOBRE","NOVEMBRE","DICEMBRE"},0)</f>
        <v>12</v>
      </c>
      <c r="E2284" s="57" t="str">
        <f t="shared" si="1246"/>
        <v>DICEMBRE 2020</v>
      </c>
      <c r="F2284" s="57" t="str">
        <f t="shared" si="1247"/>
        <v>12 DICEMBRE 2020</v>
      </c>
      <c r="G2284" s="59">
        <v>79.17</v>
      </c>
      <c r="H2284" s="1338" t="s">
        <v>77</v>
      </c>
      <c r="I2284" s="960"/>
      <c r="J2284" s="59"/>
      <c r="K2284" s="59"/>
    </row>
    <row r="2285" spans="1:11" ht="14.25" customHeight="1" x14ac:dyDescent="0.25">
      <c r="A2285" s="57" t="s">
        <v>108</v>
      </c>
      <c r="B2285" s="57" t="s">
        <v>188</v>
      </c>
      <c r="C2285" s="57">
        <v>2020</v>
      </c>
      <c r="D2285" s="58">
        <f>MATCH(B2285,{"GENNAIO","FEBBRAIO","MARZO","APRILE","MAGGIO","GIUGNO","LUGLIO","AGOSTO","SETTEMBRE","OTTOBRE","NOVEMBRE","DICEMBRE"},0)</f>
        <v>12</v>
      </c>
      <c r="E2285" s="57" t="str">
        <f t="shared" si="1246"/>
        <v>DICEMBRE 2020</v>
      </c>
      <c r="F2285" s="57" t="str">
        <f t="shared" si="1247"/>
        <v>12 DICEMBRE 2020</v>
      </c>
      <c r="G2285" s="59">
        <v>7.69</v>
      </c>
      <c r="H2285" s="1338" t="s">
        <v>75</v>
      </c>
      <c r="I2285" s="960"/>
      <c r="J2285" s="57" t="s">
        <v>108</v>
      </c>
      <c r="K2285" s="59"/>
    </row>
    <row r="2286" spans="1:11" ht="14.25" customHeight="1" x14ac:dyDescent="0.25">
      <c r="A2286" s="57" t="s">
        <v>67</v>
      </c>
      <c r="B2286" s="57" t="s">
        <v>188</v>
      </c>
      <c r="C2286" s="57">
        <v>2020</v>
      </c>
      <c r="D2286" s="58">
        <f>MATCH(B2286,{"GENNAIO","FEBBRAIO","MARZO","APRILE","MAGGIO","GIUGNO","LUGLIO","AGOSTO","SETTEMBRE","OTTOBRE","NOVEMBRE","DICEMBRE"},0)</f>
        <v>12</v>
      </c>
      <c r="E2286" s="57" t="str">
        <f t="shared" si="1246"/>
        <v>DICEMBRE 2020</v>
      </c>
      <c r="F2286" s="57" t="str">
        <f t="shared" si="1247"/>
        <v>12 DICEMBRE 2020</v>
      </c>
      <c r="G2286" s="59">
        <v>5.0999999999999996</v>
      </c>
      <c r="H2286" s="1338" t="s">
        <v>69</v>
      </c>
      <c r="I2286" s="960"/>
      <c r="J2286" s="59"/>
      <c r="K2286" s="59"/>
    </row>
    <row r="2287" spans="1:11" ht="14.25" customHeight="1" x14ac:dyDescent="0.25">
      <c r="A2287" s="57" t="s">
        <v>328</v>
      </c>
      <c r="B2287" s="57" t="s">
        <v>188</v>
      </c>
      <c r="C2287" s="57">
        <v>2020</v>
      </c>
      <c r="D2287" s="58">
        <f>MATCH(B2287,{"GENNAIO","FEBBRAIO","MARZO","APRILE","MAGGIO","GIUGNO","LUGLIO","AGOSTO","SETTEMBRE","OTTOBRE","NOVEMBRE","DICEMBRE"},0)</f>
        <v>12</v>
      </c>
      <c r="E2287" s="57" t="str">
        <f t="shared" si="1246"/>
        <v>DICEMBRE 2020</v>
      </c>
      <c r="F2287" s="57" t="str">
        <f t="shared" si="1247"/>
        <v>12 DICEMBRE 2020</v>
      </c>
      <c r="G2287" s="59">
        <v>23.5</v>
      </c>
      <c r="H2287" s="1338" t="s">
        <v>69</v>
      </c>
      <c r="I2287" s="960"/>
      <c r="J2287" s="59"/>
      <c r="K2287" s="59"/>
    </row>
    <row r="2288" spans="1:11" ht="14.25" customHeight="1" x14ac:dyDescent="0.25">
      <c r="A2288" s="57" t="s">
        <v>303</v>
      </c>
      <c r="B2288" s="57" t="s">
        <v>207</v>
      </c>
      <c r="C2288" s="57">
        <v>2020</v>
      </c>
      <c r="D2288" s="58">
        <f>MATCH(B2288,{"GENNAIO","FEBBRAIO","MARZO","APRILE","MAGGIO","GIUGNO","LUGLIO","AGOSTO","SETTEMBRE","OTTOBRE","NOVEMBRE","DICEMBRE"},0)</f>
        <v>11</v>
      </c>
      <c r="E2288" s="57" t="str">
        <f t="shared" si="1246"/>
        <v>NOVEMBRE 2020</v>
      </c>
      <c r="F2288" s="57" t="str">
        <f t="shared" si="1247"/>
        <v>11 NOVEMBRE 2020</v>
      </c>
      <c r="G2288" s="59">
        <v>24.99</v>
      </c>
      <c r="H2288" s="1338" t="s">
        <v>174</v>
      </c>
      <c r="I2288" s="960"/>
      <c r="J2288" s="59"/>
      <c r="K2288" s="59"/>
    </row>
    <row r="2289" spans="1:11" x14ac:dyDescent="0.25">
      <c r="A2289" s="57" t="s">
        <v>1059</v>
      </c>
      <c r="B2289" s="57" t="s">
        <v>207</v>
      </c>
      <c r="C2289" s="57">
        <v>2020</v>
      </c>
      <c r="D2289" s="58">
        <f>MATCH(B2289,{"GENNAIO","FEBBRAIO","MARZO","APRILE","MAGGIO","GIUGNO","LUGLIO","AGOSTO","SETTEMBRE","OTTOBRE","NOVEMBRE","DICEMBRE"},0)</f>
        <v>11</v>
      </c>
      <c r="E2289" s="57" t="str">
        <f t="shared" si="1246"/>
        <v>NOVEMBRE 2020</v>
      </c>
      <c r="F2289" s="57" t="str">
        <f t="shared" si="1247"/>
        <v>11 NOVEMBRE 2020</v>
      </c>
      <c r="G2289" s="59">
        <v>49.49</v>
      </c>
      <c r="H2289" s="1338" t="s">
        <v>185</v>
      </c>
      <c r="I2289" s="960"/>
      <c r="J2289" s="59" t="s">
        <v>768</v>
      </c>
      <c r="K2289" s="59"/>
    </row>
    <row r="2290" spans="1:11" x14ac:dyDescent="0.25">
      <c r="A2290" s="57" t="s">
        <v>67</v>
      </c>
      <c r="B2290" s="57" t="s">
        <v>207</v>
      </c>
      <c r="C2290" s="57">
        <v>2020</v>
      </c>
      <c r="D2290" s="58">
        <f>MATCH(B2290,{"GENNAIO","FEBBRAIO","MARZO","APRILE","MAGGIO","GIUGNO","LUGLIO","AGOSTO","SETTEMBRE","OTTOBRE","NOVEMBRE","DICEMBRE"},0)</f>
        <v>11</v>
      </c>
      <c r="E2290" s="57" t="str">
        <f t="shared" si="1246"/>
        <v>NOVEMBRE 2020</v>
      </c>
      <c r="F2290" s="57" t="str">
        <f t="shared" si="1247"/>
        <v>11 NOVEMBRE 2020</v>
      </c>
      <c r="G2290" s="59">
        <v>5.0999999999999996</v>
      </c>
      <c r="H2290" s="1338" t="s">
        <v>69</v>
      </c>
      <c r="I2290" s="960"/>
      <c r="J2290" s="59"/>
      <c r="K2290" s="59"/>
    </row>
    <row r="2291" spans="1:11" ht="14.25" customHeight="1" x14ac:dyDescent="0.25">
      <c r="A2291" s="57" t="s">
        <v>67</v>
      </c>
      <c r="B2291" s="57" t="s">
        <v>207</v>
      </c>
      <c r="C2291" s="57">
        <v>2020</v>
      </c>
      <c r="D2291" s="58">
        <f>MATCH(B2291,{"GENNAIO","FEBBRAIO","MARZO","APRILE","MAGGIO","GIUGNO","LUGLIO","AGOSTO","SETTEMBRE","OTTOBRE","NOVEMBRE","DICEMBRE"},0)</f>
        <v>11</v>
      </c>
      <c r="E2291" s="57" t="str">
        <f t="shared" si="1246"/>
        <v>NOVEMBRE 2020</v>
      </c>
      <c r="F2291" s="57" t="str">
        <f t="shared" si="1247"/>
        <v>11 NOVEMBRE 2020</v>
      </c>
      <c r="G2291" s="59">
        <v>8.1999999999999993</v>
      </c>
      <c r="H2291" s="1338" t="s">
        <v>69</v>
      </c>
      <c r="I2291" s="960"/>
      <c r="J2291" s="59"/>
      <c r="K2291" s="59"/>
    </row>
    <row r="2292" spans="1:11" ht="14.25" customHeight="1" x14ac:dyDescent="0.25">
      <c r="A2292" s="57" t="s">
        <v>108</v>
      </c>
      <c r="B2292" s="57" t="s">
        <v>207</v>
      </c>
      <c r="C2292" s="57">
        <v>2020</v>
      </c>
      <c r="D2292" s="58">
        <f>MATCH(B2292,{"GENNAIO","FEBBRAIO","MARZO","APRILE","MAGGIO","GIUGNO","LUGLIO","AGOSTO","SETTEMBRE","OTTOBRE","NOVEMBRE","DICEMBRE"},0)</f>
        <v>11</v>
      </c>
      <c r="E2292" s="57" t="str">
        <f t="shared" si="1246"/>
        <v>NOVEMBRE 2020</v>
      </c>
      <c r="F2292" s="57" t="str">
        <f t="shared" si="1247"/>
        <v>11 NOVEMBRE 2020</v>
      </c>
      <c r="G2292" s="59">
        <v>99.8</v>
      </c>
      <c r="H2292" s="1338" t="s">
        <v>93</v>
      </c>
      <c r="I2292" s="960" t="s">
        <v>1046</v>
      </c>
      <c r="J2292" s="57" t="s">
        <v>108</v>
      </c>
      <c r="K2292" s="59" t="s">
        <v>1034</v>
      </c>
    </row>
    <row r="2293" spans="1:11" ht="14.25" customHeight="1" x14ac:dyDescent="0.25">
      <c r="A2293" s="57" t="s">
        <v>108</v>
      </c>
      <c r="B2293" s="57" t="s">
        <v>207</v>
      </c>
      <c r="C2293" s="57">
        <v>2020</v>
      </c>
      <c r="D2293" s="58">
        <f>MATCH(B2293,{"GENNAIO","FEBBRAIO","MARZO","APRILE","MAGGIO","GIUGNO","LUGLIO","AGOSTO","SETTEMBRE","OTTOBRE","NOVEMBRE","DICEMBRE"},0)</f>
        <v>11</v>
      </c>
      <c r="E2293" s="57" t="str">
        <f t="shared" si="1246"/>
        <v>NOVEMBRE 2020</v>
      </c>
      <c r="F2293" s="57" t="str">
        <f t="shared" si="1247"/>
        <v>11 NOVEMBRE 2020</v>
      </c>
      <c r="G2293" s="59">
        <v>17.2</v>
      </c>
      <c r="H2293" s="1338" t="s">
        <v>93</v>
      </c>
      <c r="I2293" s="960" t="s">
        <v>1046</v>
      </c>
      <c r="J2293" s="57" t="s">
        <v>108</v>
      </c>
      <c r="K2293" s="59" t="s">
        <v>1034</v>
      </c>
    </row>
    <row r="2294" spans="1:11" ht="14.25" customHeight="1" x14ac:dyDescent="0.25">
      <c r="A2294" s="57" t="s">
        <v>278</v>
      </c>
      <c r="B2294" s="57" t="s">
        <v>207</v>
      </c>
      <c r="C2294" s="57">
        <v>2020</v>
      </c>
      <c r="D2294" s="58">
        <f>MATCH(B2294,{"GENNAIO","FEBBRAIO","MARZO","APRILE","MAGGIO","GIUGNO","LUGLIO","AGOSTO","SETTEMBRE","OTTOBRE","NOVEMBRE","DICEMBRE"},0)</f>
        <v>11</v>
      </c>
      <c r="E2294" s="57" t="str">
        <f t="shared" si="1246"/>
        <v>NOVEMBRE 2020</v>
      </c>
      <c r="F2294" s="57" t="str">
        <f t="shared" si="1247"/>
        <v>11 NOVEMBRE 2020</v>
      </c>
      <c r="G2294" s="59">
        <v>102</v>
      </c>
      <c r="H2294" s="1338" t="s">
        <v>114</v>
      </c>
      <c r="I2294" s="960"/>
      <c r="J2294" s="59"/>
      <c r="K2294" s="59"/>
    </row>
    <row r="2295" spans="1:11" ht="14.25" customHeight="1" x14ac:dyDescent="0.25">
      <c r="A2295" s="57" t="s">
        <v>234</v>
      </c>
      <c r="B2295" s="57" t="s">
        <v>215</v>
      </c>
      <c r="C2295" s="57">
        <v>2020</v>
      </c>
      <c r="D2295" s="58">
        <f>MATCH(B2295,{"GENNAIO","FEBBRAIO","MARZO","APRILE","MAGGIO","GIUGNO","LUGLIO","AGOSTO","SETTEMBRE","OTTOBRE","NOVEMBRE","DICEMBRE"},0)</f>
        <v>10</v>
      </c>
      <c r="E2295" s="57" t="str">
        <f t="shared" si="1246"/>
        <v>OTTOBRE 2020</v>
      </c>
      <c r="F2295" s="57" t="str">
        <f t="shared" si="1247"/>
        <v>10 OTTOBRE 2020</v>
      </c>
      <c r="G2295" s="59">
        <v>18.12</v>
      </c>
      <c r="H2295" s="1338" t="s">
        <v>137</v>
      </c>
      <c r="I2295" s="960"/>
      <c r="J2295" s="59"/>
      <c r="K2295" s="59"/>
    </row>
    <row r="2296" spans="1:11" ht="14.25" customHeight="1" x14ac:dyDescent="0.25">
      <c r="A2296" s="57" t="s">
        <v>164</v>
      </c>
      <c r="B2296" s="57" t="s">
        <v>215</v>
      </c>
      <c r="C2296" s="57">
        <v>2020</v>
      </c>
      <c r="D2296" s="58">
        <f>MATCH(B2296,{"GENNAIO","FEBBRAIO","MARZO","APRILE","MAGGIO","GIUGNO","LUGLIO","AGOSTO","SETTEMBRE","OTTOBRE","NOVEMBRE","DICEMBRE"},0)</f>
        <v>10</v>
      </c>
      <c r="E2296" s="57" t="str">
        <f t="shared" si="1246"/>
        <v>OTTOBRE 2020</v>
      </c>
      <c r="F2296" s="57" t="str">
        <f t="shared" si="1247"/>
        <v>10 OTTOBRE 2020</v>
      </c>
      <c r="G2296" s="59">
        <v>6.23</v>
      </c>
      <c r="H2296" s="1338" t="s">
        <v>77</v>
      </c>
      <c r="I2296" s="960"/>
      <c r="J2296" s="59"/>
      <c r="K2296" s="59"/>
    </row>
    <row r="2297" spans="1:11" ht="14.25" customHeight="1" x14ac:dyDescent="0.25">
      <c r="A2297" s="57" t="s">
        <v>164</v>
      </c>
      <c r="B2297" s="57" t="s">
        <v>215</v>
      </c>
      <c r="C2297" s="57">
        <v>2020</v>
      </c>
      <c r="D2297" s="58">
        <f>MATCH(B2297,{"GENNAIO","FEBBRAIO","MARZO","APRILE","MAGGIO","GIUGNO","LUGLIO","AGOSTO","SETTEMBRE","OTTOBRE","NOVEMBRE","DICEMBRE"},0)</f>
        <v>10</v>
      </c>
      <c r="E2297" s="57" t="str">
        <f t="shared" si="1246"/>
        <v>OTTOBRE 2020</v>
      </c>
      <c r="F2297" s="57" t="str">
        <f t="shared" si="1247"/>
        <v>10 OTTOBRE 2020</v>
      </c>
      <c r="G2297" s="59">
        <v>28.53</v>
      </c>
      <c r="H2297" s="1338" t="s">
        <v>77</v>
      </c>
      <c r="I2297" s="960"/>
      <c r="J2297" s="59"/>
      <c r="K2297" s="59"/>
    </row>
    <row r="2298" spans="1:11" ht="14.25" customHeight="1" x14ac:dyDescent="0.25">
      <c r="A2298" s="57" t="s">
        <v>67</v>
      </c>
      <c r="B2298" s="57" t="s">
        <v>215</v>
      </c>
      <c r="C2298" s="57">
        <v>2020</v>
      </c>
      <c r="D2298" s="58">
        <f>MATCH(B2298,{"GENNAIO","FEBBRAIO","MARZO","APRILE","MAGGIO","GIUGNO","LUGLIO","AGOSTO","SETTEMBRE","OTTOBRE","NOVEMBRE","DICEMBRE"},0)</f>
        <v>10</v>
      </c>
      <c r="E2298" s="57" t="str">
        <f t="shared" si="1246"/>
        <v>OTTOBRE 2020</v>
      </c>
      <c r="F2298" s="57" t="str">
        <f t="shared" si="1247"/>
        <v>10 OTTOBRE 2020</v>
      </c>
      <c r="G2298" s="59">
        <v>9.1999999999999993</v>
      </c>
      <c r="H2298" s="1338" t="s">
        <v>69</v>
      </c>
      <c r="I2298" s="960"/>
      <c r="J2298" s="59"/>
      <c r="K2298" s="59"/>
    </row>
    <row r="2299" spans="1:11" ht="14.25" customHeight="1" x14ac:dyDescent="0.25">
      <c r="A2299" s="57" t="s">
        <v>232</v>
      </c>
      <c r="B2299" s="57" t="s">
        <v>215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46"/>
        <v>OTTOBRE 2020</v>
      </c>
      <c r="F2299" s="57" t="str">
        <f t="shared" si="1247"/>
        <v>10 OTTOBRE 2020</v>
      </c>
      <c r="G2299" s="59">
        <v>3.3</v>
      </c>
      <c r="H2299" s="1338" t="s">
        <v>91</v>
      </c>
      <c r="I2299" s="960"/>
      <c r="J2299" s="59"/>
      <c r="K2299" s="59"/>
    </row>
    <row r="2300" spans="1:11" ht="14.25" customHeight="1" x14ac:dyDescent="0.25">
      <c r="A2300" s="57" t="s">
        <v>232</v>
      </c>
      <c r="B2300" s="57" t="s">
        <v>215</v>
      </c>
      <c r="C2300" s="57">
        <v>2020</v>
      </c>
      <c r="D2300" s="58">
        <f>MATCH(B2300,{"GENNAIO","FEBBRAIO","MARZO","APRILE","MAGGIO","GIUGNO","LUGLIO","AGOSTO","SETTEMBRE","OTTOBRE","NOVEMBRE","DICEMBRE"},0)</f>
        <v>10</v>
      </c>
      <c r="E2300" s="57" t="str">
        <f t="shared" si="1246"/>
        <v>OTTOBRE 2020</v>
      </c>
      <c r="F2300" s="57" t="str">
        <f t="shared" si="1247"/>
        <v>10 OTTOBRE 2020</v>
      </c>
      <c r="G2300" s="59">
        <v>1.4</v>
      </c>
      <c r="H2300" s="1338" t="s">
        <v>91</v>
      </c>
      <c r="I2300" s="960"/>
      <c r="J2300" s="59"/>
      <c r="K2300" s="59"/>
    </row>
    <row r="2301" spans="1:11" x14ac:dyDescent="0.25">
      <c r="A2301" s="57" t="s">
        <v>140</v>
      </c>
      <c r="B2301" s="57" t="s">
        <v>215</v>
      </c>
      <c r="C2301" s="57">
        <v>2020</v>
      </c>
      <c r="D2301" s="58">
        <f>MATCH(B2301,{"GENNAIO","FEBBRAIO","MARZO","APRILE","MAGGIO","GIUGNO","LUGLIO","AGOSTO","SETTEMBRE","OTTOBRE","NOVEMBRE","DICEMBRE"},0)</f>
        <v>10</v>
      </c>
      <c r="E2301" s="57" t="str">
        <f t="shared" si="1246"/>
        <v>OTTOBRE 2020</v>
      </c>
      <c r="F2301" s="57" t="str">
        <f t="shared" si="1247"/>
        <v>10 OTTOBRE 2020</v>
      </c>
      <c r="G2301" s="59">
        <v>68.3</v>
      </c>
      <c r="H2301" s="1338" t="s">
        <v>69</v>
      </c>
      <c r="I2301" s="960"/>
      <c r="J2301" s="59"/>
      <c r="K2301" s="59"/>
    </row>
    <row r="2302" spans="1:11" x14ac:dyDescent="0.25">
      <c r="A2302" s="57" t="s">
        <v>1017</v>
      </c>
      <c r="B2302" s="57" t="s">
        <v>215</v>
      </c>
      <c r="C2302" s="57">
        <v>2020</v>
      </c>
      <c r="D2302" s="58">
        <f>MATCH(B2302,{"GENNAIO","FEBBRAIO","MARZO","APRILE","MAGGIO","GIUGNO","LUGLIO","AGOSTO","SETTEMBRE","OTTOBRE","NOVEMBRE","DICEMBRE"},0)</f>
        <v>10</v>
      </c>
      <c r="E2302" s="57" t="str">
        <f t="shared" si="1246"/>
        <v>OTTOBRE 2020</v>
      </c>
      <c r="F2302" s="57" t="str">
        <f t="shared" si="1247"/>
        <v>10 OTTOBRE 2020</v>
      </c>
      <c r="G2302" s="59">
        <v>7.99</v>
      </c>
      <c r="H2302" s="1338" t="s">
        <v>75</v>
      </c>
      <c r="I2302" s="960"/>
      <c r="J2302" s="59"/>
      <c r="K2302" s="59"/>
    </row>
    <row r="2303" spans="1:11" x14ac:dyDescent="0.25">
      <c r="A2303" s="57" t="s">
        <v>232</v>
      </c>
      <c r="B2303" s="57" t="s">
        <v>215</v>
      </c>
      <c r="C2303" s="57">
        <v>2020</v>
      </c>
      <c r="D2303" s="58">
        <f>MATCH(B2303,{"GENNAIO","FEBBRAIO","MARZO","APRILE","MAGGIO","GIUGNO","LUGLIO","AGOSTO","SETTEMBRE","OTTOBRE","NOVEMBRE","DICEMBRE"},0)</f>
        <v>10</v>
      </c>
      <c r="E2303" s="57" t="str">
        <f t="shared" si="1246"/>
        <v>OTTOBRE 2020</v>
      </c>
      <c r="F2303" s="57" t="str">
        <f t="shared" si="1247"/>
        <v>10 OTTOBRE 2020</v>
      </c>
      <c r="G2303" s="59">
        <v>2.5</v>
      </c>
      <c r="H2303" s="1338" t="s">
        <v>91</v>
      </c>
      <c r="I2303" s="960"/>
      <c r="J2303" s="59"/>
      <c r="K2303" s="59"/>
    </row>
    <row r="2304" spans="1:11" x14ac:dyDescent="0.25">
      <c r="A2304" s="57" t="s">
        <v>108</v>
      </c>
      <c r="B2304" s="57" t="s">
        <v>215</v>
      </c>
      <c r="C2304" s="57">
        <v>2020</v>
      </c>
      <c r="D2304" s="58">
        <f>MATCH(B2304,{"GENNAIO","FEBBRAIO","MARZO","APRILE","MAGGIO","GIUGNO","LUGLIO","AGOSTO","SETTEMBRE","OTTOBRE","NOVEMBRE","DICEMBRE"},0)</f>
        <v>10</v>
      </c>
      <c r="E2304" s="57" t="str">
        <f t="shared" si="1246"/>
        <v>OTTOBRE 2020</v>
      </c>
      <c r="F2304" s="57" t="str">
        <f t="shared" si="1247"/>
        <v>10 OTTOBRE 2020</v>
      </c>
      <c r="G2304" s="59">
        <v>99.8</v>
      </c>
      <c r="H2304" s="1338" t="s">
        <v>93</v>
      </c>
      <c r="I2304" s="960" t="s">
        <v>1027</v>
      </c>
      <c r="J2304" s="57" t="s">
        <v>108</v>
      </c>
      <c r="K2304" s="59" t="s">
        <v>1028</v>
      </c>
    </row>
    <row r="2305" spans="1:11" x14ac:dyDescent="0.25">
      <c r="A2305" s="57" t="s">
        <v>108</v>
      </c>
      <c r="B2305" s="57" t="s">
        <v>215</v>
      </c>
      <c r="C2305" s="57">
        <v>2020</v>
      </c>
      <c r="D2305" s="58">
        <f>MATCH(B2305,{"GENNAIO","FEBBRAIO","MARZO","APRILE","MAGGIO","GIUGNO","LUGLIO","AGOSTO","SETTEMBRE","OTTOBRE","NOVEMBRE","DICEMBRE"},0)</f>
        <v>10</v>
      </c>
      <c r="E2305" s="57" t="str">
        <f t="shared" si="1246"/>
        <v>OTTOBRE 2020</v>
      </c>
      <c r="F2305" s="57" t="str">
        <f t="shared" si="1247"/>
        <v>10 OTTOBRE 2020</v>
      </c>
      <c r="G2305" s="59">
        <v>17.2</v>
      </c>
      <c r="H2305" s="1338" t="s">
        <v>93</v>
      </c>
      <c r="I2305" s="960" t="s">
        <v>1027</v>
      </c>
      <c r="J2305" s="57" t="s">
        <v>108</v>
      </c>
      <c r="K2305" s="59" t="s">
        <v>1028</v>
      </c>
    </row>
    <row r="2306" spans="1:11" x14ac:dyDescent="0.25">
      <c r="A2306" s="57" t="s">
        <v>108</v>
      </c>
      <c r="B2306" s="57" t="s">
        <v>215</v>
      </c>
      <c r="C2306" s="57">
        <v>2020</v>
      </c>
      <c r="D2306" s="58">
        <f>MATCH(B2306,{"GENNAIO","FEBBRAIO","MARZO","APRILE","MAGGIO","GIUGNO","LUGLIO","AGOSTO","SETTEMBRE","OTTOBRE","NOVEMBRE","DICEMBRE"},0)</f>
        <v>10</v>
      </c>
      <c r="E2306" s="57" t="str">
        <f t="shared" si="1246"/>
        <v>OTTOBRE 2020</v>
      </c>
      <c r="F2306" s="57" t="str">
        <f t="shared" si="1247"/>
        <v>10 OTTOBRE 2020</v>
      </c>
      <c r="G2306" s="59">
        <v>39.9</v>
      </c>
      <c r="H2306" s="1338" t="s">
        <v>75</v>
      </c>
      <c r="I2306" s="960"/>
      <c r="J2306" s="57" t="s">
        <v>108</v>
      </c>
      <c r="K2306" s="59"/>
    </row>
    <row r="2307" spans="1:11" x14ac:dyDescent="0.25">
      <c r="A2307" s="57" t="s">
        <v>67</v>
      </c>
      <c r="B2307" s="57" t="s">
        <v>215</v>
      </c>
      <c r="C2307" s="57">
        <v>2020</v>
      </c>
      <c r="D2307" s="58">
        <f>MATCH(B2307,{"GENNAIO","FEBBRAIO","MARZO","APRILE","MAGGIO","GIUGNO","LUGLIO","AGOSTO","SETTEMBRE","OTTOBRE","NOVEMBRE","DICEMBRE"},0)</f>
        <v>10</v>
      </c>
      <c r="E2307" s="57" t="str">
        <f t="shared" si="1246"/>
        <v>OTTOBRE 2020</v>
      </c>
      <c r="F2307" s="57" t="str">
        <f t="shared" si="1247"/>
        <v>10 OTTOBRE 2020</v>
      </c>
      <c r="G2307" s="59">
        <v>10</v>
      </c>
      <c r="H2307" s="1338" t="s">
        <v>69</v>
      </c>
      <c r="I2307" s="960"/>
      <c r="J2307" s="59"/>
      <c r="K2307" s="59"/>
    </row>
    <row r="2308" spans="1:11" x14ac:dyDescent="0.25">
      <c r="A2308" s="57" t="s">
        <v>108</v>
      </c>
      <c r="B2308" s="57" t="s">
        <v>215</v>
      </c>
      <c r="C2308" s="57">
        <v>2020</v>
      </c>
      <c r="D2308" s="58">
        <f>MATCH(B2308,{"GENNAIO","FEBBRAIO","MARZO","APRILE","MAGGIO","GIUGNO","LUGLIO","AGOSTO","SETTEMBRE","OTTOBRE","NOVEMBRE","DICEMBRE"},0)</f>
        <v>10</v>
      </c>
      <c r="E2308" s="57" t="str">
        <f t="shared" si="1246"/>
        <v>OTTOBRE 2020</v>
      </c>
      <c r="F2308" s="57" t="str">
        <f t="shared" si="1247"/>
        <v>10 OTTOBRE 2020</v>
      </c>
      <c r="G2308" s="59">
        <v>74.989999999999995</v>
      </c>
      <c r="H2308" s="1338" t="s">
        <v>75</v>
      </c>
      <c r="I2308" s="960"/>
      <c r="J2308" s="57" t="s">
        <v>108</v>
      </c>
      <c r="K2308" s="59"/>
    </row>
    <row r="2309" spans="1:11" x14ac:dyDescent="0.25">
      <c r="A2309" s="57" t="s">
        <v>335</v>
      </c>
      <c r="B2309" s="57" t="s">
        <v>215</v>
      </c>
      <c r="C2309" s="57">
        <v>2020</v>
      </c>
      <c r="D2309" s="58">
        <f>MATCH(B2309,{"GENNAIO","FEBBRAIO","MARZO","APRILE","MAGGIO","GIUGNO","LUGLIO","AGOSTO","SETTEMBRE","OTTOBRE","NOVEMBRE","DICEMBRE"},0)</f>
        <v>10</v>
      </c>
      <c r="E2309" s="57" t="str">
        <f t="shared" si="1246"/>
        <v>OTTOBRE 2020</v>
      </c>
      <c r="F2309" s="57" t="str">
        <f t="shared" si="1247"/>
        <v>10 OTTOBRE 2020</v>
      </c>
      <c r="G2309" s="59">
        <v>1.7</v>
      </c>
      <c r="H2309" s="1338" t="s">
        <v>91</v>
      </c>
      <c r="I2309" s="960"/>
      <c r="J2309" s="59"/>
      <c r="K2309" s="59"/>
    </row>
    <row r="2310" spans="1:11" x14ac:dyDescent="0.25">
      <c r="A2310" s="57" t="s">
        <v>335</v>
      </c>
      <c r="B2310" s="57" t="s">
        <v>215</v>
      </c>
      <c r="C2310" s="57">
        <v>2020</v>
      </c>
      <c r="D2310" s="58">
        <f>MATCH(B2310,{"GENNAIO","FEBBRAIO","MARZO","APRILE","MAGGIO","GIUGNO","LUGLIO","AGOSTO","SETTEMBRE","OTTOBRE","NOVEMBRE","DICEMBRE"},0)</f>
        <v>10</v>
      </c>
      <c r="E2310" s="57" t="str">
        <f t="shared" si="1246"/>
        <v>OTTOBRE 2020</v>
      </c>
      <c r="F2310" s="57" t="str">
        <f t="shared" si="1247"/>
        <v>10 OTTOBRE 2020</v>
      </c>
      <c r="G2310" s="59">
        <v>3.3</v>
      </c>
      <c r="H2310" s="1338" t="s">
        <v>91</v>
      </c>
      <c r="I2310" s="960"/>
      <c r="J2310" s="59"/>
      <c r="K2310" s="59"/>
    </row>
    <row r="2311" spans="1:11" x14ac:dyDescent="0.25">
      <c r="A2311" s="57" t="s">
        <v>336</v>
      </c>
      <c r="B2311" s="57" t="s">
        <v>68</v>
      </c>
      <c r="C2311" s="57">
        <v>2020</v>
      </c>
      <c r="D2311" s="58">
        <f>MATCH(B2311,{"GENNAIO","FEBBRAIO","MARZO","APRILE","MAGGIO","GIUGNO","LUGLIO","AGOSTO","SETTEMBRE","OTTOBRE","NOVEMBRE","DICEMBRE"},0)</f>
        <v>9</v>
      </c>
      <c r="E2311" s="57" t="str">
        <f t="shared" si="1246"/>
        <v>SETTEMBRE 2020</v>
      </c>
      <c r="F2311" s="57" t="str">
        <f t="shared" si="1247"/>
        <v>9 SETTEMBRE 2020</v>
      </c>
      <c r="G2311" s="59">
        <v>27.99</v>
      </c>
      <c r="H2311" s="1338" t="s">
        <v>85</v>
      </c>
      <c r="I2311" s="960"/>
      <c r="J2311" s="59"/>
      <c r="K2311" s="59"/>
    </row>
    <row r="2312" spans="1:11" x14ac:dyDescent="0.25">
      <c r="A2312" s="57" t="s">
        <v>1056</v>
      </c>
      <c r="B2312" s="57" t="s">
        <v>68</v>
      </c>
      <c r="C2312" s="57">
        <v>2020</v>
      </c>
      <c r="D2312" s="58">
        <f>MATCH(B2312,{"GENNAIO","FEBBRAIO","MARZO","APRILE","MAGGIO","GIUGNO","LUGLIO","AGOSTO","SETTEMBRE","OTTOBRE","NOVEMBRE","DICEMBRE"},0)</f>
        <v>9</v>
      </c>
      <c r="E2312" s="57" t="str">
        <f t="shared" si="1246"/>
        <v>SETTEMBRE 2020</v>
      </c>
      <c r="F2312" s="57" t="str">
        <f t="shared" si="1247"/>
        <v>9 SETTEMBRE 2020</v>
      </c>
      <c r="G2312" s="59">
        <v>8.49</v>
      </c>
      <c r="H2312" s="1338" t="s">
        <v>174</v>
      </c>
      <c r="I2312" s="960"/>
      <c r="J2312" s="59"/>
      <c r="K2312" s="59"/>
    </row>
    <row r="2313" spans="1:11" x14ac:dyDescent="0.25">
      <c r="A2313" s="57" t="s">
        <v>164</v>
      </c>
      <c r="B2313" s="57" t="s">
        <v>68</v>
      </c>
      <c r="C2313" s="57">
        <v>2020</v>
      </c>
      <c r="D2313" s="58">
        <f>MATCH(B2313,{"GENNAIO","FEBBRAIO","MARZO","APRILE","MAGGIO","GIUGNO","LUGLIO","AGOSTO","SETTEMBRE","OTTOBRE","NOVEMBRE","DICEMBRE"},0)</f>
        <v>9</v>
      </c>
      <c r="E2313" s="57" t="str">
        <f t="shared" si="1246"/>
        <v>SETTEMBRE 2020</v>
      </c>
      <c r="F2313" s="57" t="str">
        <f t="shared" si="1247"/>
        <v>9 SETTEMBRE 2020</v>
      </c>
      <c r="G2313" s="59">
        <v>46.51</v>
      </c>
      <c r="H2313" s="1338" t="s">
        <v>77</v>
      </c>
      <c r="I2313" s="960"/>
      <c r="J2313" s="59"/>
      <c r="K2313" s="59"/>
    </row>
    <row r="2314" spans="1:11" x14ac:dyDescent="0.25">
      <c r="A2314" s="57" t="s">
        <v>278</v>
      </c>
      <c r="B2314" s="57" t="s">
        <v>68</v>
      </c>
      <c r="C2314" s="57">
        <v>2020</v>
      </c>
      <c r="D2314" s="58">
        <f>MATCH(B2314,{"GENNAIO","FEBBRAIO","MARZO","APRILE","MAGGIO","GIUGNO","LUGLIO","AGOSTO","SETTEMBRE","OTTOBRE","NOVEMBRE","DICEMBRE"},0)</f>
        <v>9</v>
      </c>
      <c r="E2314" s="57" t="str">
        <f t="shared" si="1246"/>
        <v>SETTEMBRE 2020</v>
      </c>
      <c r="F2314" s="57" t="str">
        <f t="shared" si="1247"/>
        <v>9 SETTEMBRE 2020</v>
      </c>
      <c r="G2314" s="59">
        <v>122</v>
      </c>
      <c r="H2314" s="1338" t="s">
        <v>114</v>
      </c>
      <c r="I2314" s="960"/>
      <c r="J2314" s="59"/>
      <c r="K2314" s="59"/>
    </row>
    <row r="2315" spans="1:11" x14ac:dyDescent="0.25">
      <c r="A2315" s="57" t="s">
        <v>67</v>
      </c>
      <c r="B2315" s="57" t="s">
        <v>68</v>
      </c>
      <c r="C2315" s="57">
        <v>2020</v>
      </c>
      <c r="D2315" s="58">
        <f>MATCH(B2315,{"GENNAIO","FEBBRAIO","MARZO","APRILE","MAGGIO","GIUGNO","LUGLIO","AGOSTO","SETTEMBRE","OTTOBRE","NOVEMBRE","DICEMBRE"},0)</f>
        <v>9</v>
      </c>
      <c r="E2315" s="57" t="str">
        <f t="shared" si="1246"/>
        <v>SETTEMBRE 2020</v>
      </c>
      <c r="F2315" s="57" t="str">
        <f t="shared" si="1247"/>
        <v>9 SETTEMBRE 2020</v>
      </c>
      <c r="G2315" s="59">
        <v>9</v>
      </c>
      <c r="H2315" s="1338" t="s">
        <v>69</v>
      </c>
      <c r="I2315" s="960"/>
      <c r="J2315" s="59"/>
      <c r="K2315" s="59"/>
    </row>
    <row r="2316" spans="1:11" x14ac:dyDescent="0.25">
      <c r="A2316" s="57" t="s">
        <v>337</v>
      </c>
      <c r="B2316" s="57" t="s">
        <v>68</v>
      </c>
      <c r="C2316" s="57">
        <v>2020</v>
      </c>
      <c r="D2316" s="58">
        <f>MATCH(B2316,{"GENNAIO","FEBBRAIO","MARZO","APRILE","MAGGIO","GIUGNO","LUGLIO","AGOSTO","SETTEMBRE","OTTOBRE","NOVEMBRE","DICEMBRE"},0)</f>
        <v>9</v>
      </c>
      <c r="E2316" s="57" t="str">
        <f t="shared" si="1246"/>
        <v>SETTEMBRE 2020</v>
      </c>
      <c r="F2316" s="57" t="str">
        <f t="shared" si="1247"/>
        <v>9 SETTEMBRE 2020</v>
      </c>
      <c r="G2316" s="59">
        <v>6</v>
      </c>
      <c r="H2316" s="1338" t="s">
        <v>91</v>
      </c>
      <c r="I2316" s="960"/>
      <c r="J2316" s="59"/>
      <c r="K2316" s="59"/>
    </row>
    <row r="2317" spans="1:11" x14ac:dyDescent="0.25">
      <c r="A2317" s="57" t="s">
        <v>164</v>
      </c>
      <c r="B2317" s="57" t="s">
        <v>68</v>
      </c>
      <c r="C2317" s="57">
        <v>2020</v>
      </c>
      <c r="D2317" s="58">
        <f>MATCH(B2317,{"GENNAIO","FEBBRAIO","MARZO","APRILE","MAGGIO","GIUGNO","LUGLIO","AGOSTO","SETTEMBRE","OTTOBRE","NOVEMBRE","DICEMBRE"},0)</f>
        <v>9</v>
      </c>
      <c r="E2317" s="57" t="str">
        <f t="shared" si="1246"/>
        <v>SETTEMBRE 2020</v>
      </c>
      <c r="F2317" s="57" t="str">
        <f t="shared" si="1247"/>
        <v>9 SETTEMBRE 2020</v>
      </c>
      <c r="G2317" s="59">
        <v>25.99</v>
      </c>
      <c r="H2317" s="1338" t="s">
        <v>77</v>
      </c>
      <c r="I2317" s="960"/>
      <c r="J2317" s="59"/>
      <c r="K2317" s="59"/>
    </row>
    <row r="2318" spans="1:11" x14ac:dyDescent="0.25">
      <c r="A2318" s="57" t="s">
        <v>136</v>
      </c>
      <c r="B2318" s="57" t="s">
        <v>68</v>
      </c>
      <c r="C2318" s="57">
        <v>2020</v>
      </c>
      <c r="D2318" s="58">
        <f>MATCH(B2318,{"GENNAIO","FEBBRAIO","MARZO","APRILE","MAGGIO","GIUGNO","LUGLIO","AGOSTO","SETTEMBRE","OTTOBRE","NOVEMBRE","DICEMBRE"},0)</f>
        <v>9</v>
      </c>
      <c r="E2318" s="57" t="str">
        <f t="shared" si="1246"/>
        <v>SETTEMBRE 2020</v>
      </c>
      <c r="F2318" s="57" t="str">
        <f t="shared" si="1247"/>
        <v>9 SETTEMBRE 2020</v>
      </c>
      <c r="G2318" s="59">
        <v>24.9</v>
      </c>
      <c r="H2318" s="1338" t="s">
        <v>137</v>
      </c>
      <c r="I2318" s="960"/>
      <c r="J2318" s="59"/>
      <c r="K2318" s="59"/>
    </row>
    <row r="2319" spans="1:11" x14ac:dyDescent="0.25">
      <c r="A2319" s="57" t="s">
        <v>338</v>
      </c>
      <c r="B2319" s="57" t="s">
        <v>68</v>
      </c>
      <c r="C2319" s="57">
        <v>2020</v>
      </c>
      <c r="D2319" s="58">
        <f>MATCH(B2319,{"GENNAIO","FEBBRAIO","MARZO","APRILE","MAGGIO","GIUGNO","LUGLIO","AGOSTO","SETTEMBRE","OTTOBRE","NOVEMBRE","DICEMBRE"},0)</f>
        <v>9</v>
      </c>
      <c r="E2319" s="57" t="str">
        <f t="shared" si="1246"/>
        <v>SETTEMBRE 2020</v>
      </c>
      <c r="F2319" s="57" t="str">
        <f t="shared" si="1247"/>
        <v>9 SETTEMBRE 2020</v>
      </c>
      <c r="G2319" s="59">
        <v>20</v>
      </c>
      <c r="H2319" s="1338" t="s">
        <v>91</v>
      </c>
      <c r="I2319" s="960"/>
      <c r="J2319" s="59"/>
      <c r="K2319" s="59"/>
    </row>
    <row r="2320" spans="1:11" x14ac:dyDescent="0.25">
      <c r="A2320" s="57" t="s">
        <v>339</v>
      </c>
      <c r="B2320" s="57" t="s">
        <v>68</v>
      </c>
      <c r="C2320" s="57">
        <v>2020</v>
      </c>
      <c r="D2320" s="58">
        <f>MATCH(B2320,{"GENNAIO","FEBBRAIO","MARZO","APRILE","MAGGIO","GIUGNO","LUGLIO","AGOSTO","SETTEMBRE","OTTOBRE","NOVEMBRE","DICEMBRE"},0)</f>
        <v>9</v>
      </c>
      <c r="E2320" s="57" t="str">
        <f t="shared" si="1246"/>
        <v>SETTEMBRE 2020</v>
      </c>
      <c r="F2320" s="57" t="str">
        <f t="shared" si="1247"/>
        <v>9 SETTEMBRE 2020</v>
      </c>
      <c r="G2320" s="59">
        <v>51.3</v>
      </c>
      <c r="H2320" s="1338" t="s">
        <v>69</v>
      </c>
      <c r="I2320" s="960"/>
      <c r="J2320" s="59"/>
      <c r="K2320" s="59"/>
    </row>
    <row r="2321" spans="1:11" x14ac:dyDescent="0.25">
      <c r="A2321" s="57" t="s">
        <v>340</v>
      </c>
      <c r="B2321" s="57" t="s">
        <v>68</v>
      </c>
      <c r="C2321" s="57">
        <v>2020</v>
      </c>
      <c r="D2321" s="58">
        <f>MATCH(B2321,{"GENNAIO","FEBBRAIO","MARZO","APRILE","MAGGIO","GIUGNO","LUGLIO","AGOSTO","SETTEMBRE","OTTOBRE","NOVEMBRE","DICEMBRE"},0)</f>
        <v>9</v>
      </c>
      <c r="E2321" s="57" t="str">
        <f t="shared" si="1246"/>
        <v>SETTEMBRE 2020</v>
      </c>
      <c r="F2321" s="57" t="str">
        <f t="shared" si="1247"/>
        <v>9 SETTEMBRE 2020</v>
      </c>
      <c r="G2321" s="59">
        <v>27</v>
      </c>
      <c r="H2321" s="1338" t="s">
        <v>70</v>
      </c>
      <c r="I2321" s="960"/>
      <c r="J2321" s="59"/>
      <c r="K2321" s="59"/>
    </row>
    <row r="2322" spans="1:11" x14ac:dyDescent="0.25">
      <c r="A2322" s="57" t="s">
        <v>67</v>
      </c>
      <c r="B2322" s="57" t="s">
        <v>80</v>
      </c>
      <c r="C2322" s="57">
        <v>2020</v>
      </c>
      <c r="D2322" s="58">
        <f>MATCH(B2322,{"GENNAIO","FEBBRAIO","MARZO","APRILE","MAGGIO","GIUGNO","LUGLIO","AGOSTO","SETTEMBRE","OTTOBRE","NOVEMBRE","DICEMBRE"},0)</f>
        <v>8</v>
      </c>
      <c r="E2322" s="57" t="str">
        <f t="shared" si="1246"/>
        <v>AGOSTO 2020</v>
      </c>
      <c r="F2322" s="57" t="str">
        <f t="shared" si="1247"/>
        <v>8 AGOSTO 2020</v>
      </c>
      <c r="G2322" s="59">
        <v>5</v>
      </c>
      <c r="H2322" s="1338" t="s">
        <v>776</v>
      </c>
      <c r="I2322" s="960"/>
      <c r="J2322" s="59"/>
      <c r="K2322" s="59"/>
    </row>
    <row r="2323" spans="1:11" x14ac:dyDescent="0.25">
      <c r="A2323" s="57" t="s">
        <v>164</v>
      </c>
      <c r="B2323" s="57" t="s">
        <v>80</v>
      </c>
      <c r="C2323" s="57">
        <v>2020</v>
      </c>
      <c r="D2323" s="58">
        <f>MATCH(B2323,{"GENNAIO","FEBBRAIO","MARZO","APRILE","MAGGIO","GIUGNO","LUGLIO","AGOSTO","SETTEMBRE","OTTOBRE","NOVEMBRE","DICEMBRE"},0)</f>
        <v>8</v>
      </c>
      <c r="E2323" s="57" t="str">
        <f t="shared" si="1246"/>
        <v>AGOSTO 2020</v>
      </c>
      <c r="F2323" s="57" t="str">
        <f t="shared" si="1247"/>
        <v>8 AGOSTO 2020</v>
      </c>
      <c r="G2323" s="59">
        <v>49.51</v>
      </c>
      <c r="H2323" s="1338" t="s">
        <v>77</v>
      </c>
      <c r="I2323" s="960"/>
      <c r="J2323" s="59"/>
      <c r="K2323" s="59"/>
    </row>
    <row r="2324" spans="1:11" x14ac:dyDescent="0.25">
      <c r="A2324" s="57" t="s">
        <v>110</v>
      </c>
      <c r="B2324" s="57" t="s">
        <v>80</v>
      </c>
      <c r="C2324" s="57">
        <v>2020</v>
      </c>
      <c r="D2324" s="58">
        <f>MATCH(B2324,{"GENNAIO","FEBBRAIO","MARZO","APRILE","MAGGIO","GIUGNO","LUGLIO","AGOSTO","SETTEMBRE","OTTOBRE","NOVEMBRE","DICEMBRE"},0)</f>
        <v>8</v>
      </c>
      <c r="E2324" s="57" t="str">
        <f t="shared" si="1246"/>
        <v>AGOSTO 2020</v>
      </c>
      <c r="F2324" s="57" t="str">
        <f t="shared" si="1247"/>
        <v>8 AGOSTO 2020</v>
      </c>
      <c r="G2324" s="59">
        <v>510</v>
      </c>
      <c r="H2324" s="1338" t="s">
        <v>772</v>
      </c>
      <c r="I2324" s="960"/>
      <c r="J2324" s="59"/>
      <c r="K2324" s="59"/>
    </row>
    <row r="2325" spans="1:11" x14ac:dyDescent="0.25">
      <c r="A2325" s="57" t="s">
        <v>341</v>
      </c>
      <c r="B2325" s="57" t="s">
        <v>80</v>
      </c>
      <c r="C2325" s="57">
        <v>2020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246"/>
        <v>AGOSTO 2020</v>
      </c>
      <c r="F2325" s="57" t="str">
        <f t="shared" si="1247"/>
        <v>8 AGOSTO 2020</v>
      </c>
      <c r="G2325" s="59">
        <v>6.08</v>
      </c>
      <c r="H2325" s="1338" t="s">
        <v>91</v>
      </c>
      <c r="I2325" s="960"/>
      <c r="J2325" s="59" t="s">
        <v>768</v>
      </c>
      <c r="K2325" s="59"/>
    </row>
    <row r="2326" spans="1:11" x14ac:dyDescent="0.25">
      <c r="A2326" s="57" t="s">
        <v>341</v>
      </c>
      <c r="B2326" s="57" t="s">
        <v>80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 t="shared" si="1246"/>
        <v>AGOSTO 2020</v>
      </c>
      <c r="F2326" s="57" t="str">
        <f t="shared" si="1247"/>
        <v>8 AGOSTO 2020</v>
      </c>
      <c r="G2326" s="59">
        <v>1.18</v>
      </c>
      <c r="H2326" s="1338" t="s">
        <v>91</v>
      </c>
      <c r="I2326" s="960"/>
      <c r="J2326" s="59" t="s">
        <v>768</v>
      </c>
      <c r="K2326" s="59"/>
    </row>
    <row r="2327" spans="1:11" x14ac:dyDescent="0.25">
      <c r="A2327" s="57" t="s">
        <v>341</v>
      </c>
      <c r="B2327" s="57" t="s">
        <v>80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si="1246"/>
        <v>AGOSTO 2020</v>
      </c>
      <c r="F2327" s="57" t="str">
        <f t="shared" si="1247"/>
        <v>8 AGOSTO 2020</v>
      </c>
      <c r="G2327" s="59">
        <v>0.67</v>
      </c>
      <c r="H2327" s="1338" t="s">
        <v>91</v>
      </c>
      <c r="I2327" s="960"/>
      <c r="J2327" s="59" t="s">
        <v>768</v>
      </c>
      <c r="K2327" s="59"/>
    </row>
    <row r="2328" spans="1:11" x14ac:dyDescent="0.25">
      <c r="A2328" s="57" t="s">
        <v>317</v>
      </c>
      <c r="B2328" s="57" t="s">
        <v>80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 t="shared" si="1246"/>
        <v>AGOSTO 2020</v>
      </c>
      <c r="F2328" s="57" t="str">
        <f t="shared" si="1247"/>
        <v>8 AGOSTO 2020</v>
      </c>
      <c r="G2328" s="59">
        <v>84.5</v>
      </c>
      <c r="H2328" s="1338" t="s">
        <v>772</v>
      </c>
      <c r="I2328" s="960"/>
      <c r="J2328" s="59"/>
      <c r="K2328" s="59"/>
    </row>
    <row r="2329" spans="1:11" x14ac:dyDescent="0.25">
      <c r="A2329" s="57" t="s">
        <v>110</v>
      </c>
      <c r="B2329" s="57" t="s">
        <v>80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si="1246"/>
        <v>AGOSTO 2020</v>
      </c>
      <c r="F2329" s="57" t="str">
        <f t="shared" si="1247"/>
        <v>8 AGOSTO 2020</v>
      </c>
      <c r="G2329" s="59">
        <v>179</v>
      </c>
      <c r="H2329" s="1338" t="s">
        <v>772</v>
      </c>
      <c r="I2329" s="960"/>
      <c r="J2329" s="59"/>
      <c r="K2329" s="59"/>
    </row>
    <row r="2330" spans="1:11" x14ac:dyDescent="0.25">
      <c r="A2330" s="57" t="s">
        <v>337</v>
      </c>
      <c r="B2330" s="57" t="s">
        <v>80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 t="shared" ref="E2330:E2336" si="1248">CONCATENATE(,B2330," ",C2330)</f>
        <v>AGOSTO 2020</v>
      </c>
      <c r="F2330" s="57" t="str">
        <f t="shared" ref="F2330:F2393" si="1249">CONCATENATE(D2330," ",E2330)</f>
        <v>8 AGOSTO 2020</v>
      </c>
      <c r="G2330" s="59">
        <v>6</v>
      </c>
      <c r="H2330" s="1338" t="s">
        <v>91</v>
      </c>
      <c r="I2330" s="960"/>
      <c r="J2330" s="59"/>
      <c r="K2330" s="59"/>
    </row>
    <row r="2331" spans="1:11" x14ac:dyDescent="0.25">
      <c r="A2331" s="57" t="s">
        <v>164</v>
      </c>
      <c r="B2331" s="57" t="s">
        <v>80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248"/>
        <v>AGOSTO 2020</v>
      </c>
      <c r="F2331" s="57" t="str">
        <f t="shared" si="1249"/>
        <v>8 AGOSTO 2020</v>
      </c>
      <c r="G2331" s="59">
        <v>23.41</v>
      </c>
      <c r="H2331" s="1338" t="s">
        <v>77</v>
      </c>
      <c r="I2331" s="960"/>
      <c r="J2331" s="59"/>
      <c r="K2331" s="59"/>
    </row>
    <row r="2332" spans="1:11" x14ac:dyDescent="0.25">
      <c r="A2332" s="57" t="s">
        <v>342</v>
      </c>
      <c r="B2332" s="57" t="s">
        <v>80</v>
      </c>
      <c r="C2332" s="57">
        <v>2020</v>
      </c>
      <c r="D2332" s="58">
        <f>MATCH(B2332,{"GENNAIO","FEBBRAIO","MARZO","APRILE","MAGGIO","GIUGNO","LUGLIO","AGOSTO","SETTEMBRE","OTTOBRE","NOVEMBRE","DICEMBRE"},0)</f>
        <v>8</v>
      </c>
      <c r="E2332" s="57" t="str">
        <f t="shared" si="1248"/>
        <v>AGOSTO 2020</v>
      </c>
      <c r="F2332" s="57" t="str">
        <f t="shared" si="1249"/>
        <v>8 AGOSTO 2020</v>
      </c>
      <c r="G2332" s="59">
        <v>29.8</v>
      </c>
      <c r="H2332" s="1338" t="s">
        <v>77</v>
      </c>
      <c r="I2332" s="960"/>
      <c r="J2332" s="59"/>
      <c r="K2332" s="59"/>
    </row>
    <row r="2333" spans="1:11" x14ac:dyDescent="0.25">
      <c r="A2333" s="57" t="s">
        <v>343</v>
      </c>
      <c r="B2333" s="57" t="s">
        <v>80</v>
      </c>
      <c r="C2333" s="57">
        <v>2020</v>
      </c>
      <c r="D2333" s="58">
        <f>MATCH(B2333,{"GENNAIO","FEBBRAIO","MARZO","APRILE","MAGGIO","GIUGNO","LUGLIO","AGOSTO","SETTEMBRE","OTTOBRE","NOVEMBRE","DICEMBRE"},0)</f>
        <v>8</v>
      </c>
      <c r="E2333" s="57" t="str">
        <f t="shared" si="1248"/>
        <v>AGOSTO 2020</v>
      </c>
      <c r="F2333" s="57" t="str">
        <f t="shared" si="1249"/>
        <v>8 AGOSTO 2020</v>
      </c>
      <c r="G2333" s="59">
        <v>81.91</v>
      </c>
      <c r="H2333" s="1338" t="s">
        <v>137</v>
      </c>
      <c r="I2333" s="960"/>
      <c r="J2333" s="59"/>
      <c r="K2333" s="59"/>
    </row>
    <row r="2334" spans="1:11" x14ac:dyDescent="0.25">
      <c r="A2334" s="57" t="s">
        <v>338</v>
      </c>
      <c r="B2334" s="57" t="s">
        <v>80</v>
      </c>
      <c r="C2334" s="57">
        <v>2020</v>
      </c>
      <c r="D2334" s="58">
        <f>MATCH(B2334,{"GENNAIO","FEBBRAIO","MARZO","APRILE","MAGGIO","GIUGNO","LUGLIO","AGOSTO","SETTEMBRE","OTTOBRE","NOVEMBRE","DICEMBRE"},0)</f>
        <v>8</v>
      </c>
      <c r="E2334" s="57" t="str">
        <f t="shared" si="1248"/>
        <v>AGOSTO 2020</v>
      </c>
      <c r="F2334" s="57" t="str">
        <f t="shared" si="1249"/>
        <v>8 AGOSTO 2020</v>
      </c>
      <c r="G2334" s="59">
        <v>58.55</v>
      </c>
      <c r="H2334" s="1338" t="s">
        <v>91</v>
      </c>
      <c r="I2334" s="960"/>
      <c r="J2334" s="59"/>
      <c r="K2334" s="59"/>
    </row>
    <row r="2335" spans="1:11" x14ac:dyDescent="0.25">
      <c r="A2335" s="57" t="s">
        <v>344</v>
      </c>
      <c r="B2335" s="57" t="s">
        <v>80</v>
      </c>
      <c r="C2335" s="57">
        <v>2020</v>
      </c>
      <c r="D2335" s="58">
        <f>MATCH(B2335,{"GENNAIO","FEBBRAIO","MARZO","APRILE","MAGGIO","GIUGNO","LUGLIO","AGOSTO","SETTEMBRE","OTTOBRE","NOVEMBRE","DICEMBRE"},0)</f>
        <v>8</v>
      </c>
      <c r="E2335" s="57" t="str">
        <f t="shared" si="1248"/>
        <v>AGOSTO 2020</v>
      </c>
      <c r="F2335" s="57" t="str">
        <f t="shared" si="1249"/>
        <v>8 AGOSTO 2020</v>
      </c>
      <c r="G2335" s="59">
        <v>19.559999999999999</v>
      </c>
      <c r="H2335" s="1338" t="s">
        <v>772</v>
      </c>
      <c r="I2335" s="960"/>
      <c r="J2335" s="59"/>
      <c r="K2335" s="59"/>
    </row>
    <row r="2336" spans="1:11" x14ac:dyDescent="0.25">
      <c r="A2336" s="57" t="s">
        <v>164</v>
      </c>
      <c r="B2336" s="57" t="s">
        <v>80</v>
      </c>
      <c r="C2336" s="57">
        <v>2020</v>
      </c>
      <c r="D2336" s="58">
        <f>MATCH(B2336,{"GENNAIO","FEBBRAIO","MARZO","APRILE","MAGGIO","GIUGNO","LUGLIO","AGOSTO","SETTEMBRE","OTTOBRE","NOVEMBRE","DICEMBRE"},0)</f>
        <v>8</v>
      </c>
      <c r="E2336" s="57" t="str">
        <f t="shared" si="1248"/>
        <v>AGOSTO 2020</v>
      </c>
      <c r="F2336" s="57" t="str">
        <f t="shared" si="1249"/>
        <v>8 AGOSTO 2020</v>
      </c>
      <c r="G2336" s="59">
        <v>27.48</v>
      </c>
      <c r="H2336" s="1338" t="s">
        <v>77</v>
      </c>
      <c r="I2336" s="960"/>
      <c r="J2336" s="59"/>
      <c r="K2336" s="59"/>
    </row>
    <row r="2337" spans="1:11" x14ac:dyDescent="0.25">
      <c r="A2337" s="57" t="s">
        <v>108</v>
      </c>
      <c r="B2337" s="57" t="s">
        <v>80</v>
      </c>
      <c r="C2337" s="57">
        <v>2020</v>
      </c>
      <c r="D2337" s="58">
        <f>MATCH(B2337,{"GENNAIO","FEBBRAIO","MARZO","APRILE","MAGGIO","GIUGNO","LUGLIO","AGOSTO","SETTEMBRE","OTTOBRE","NOVEMBRE","DICEMBRE"},0)</f>
        <v>8</v>
      </c>
      <c r="E2337" s="57" t="str">
        <f>CONCATENATE(B2337," ",C2337)</f>
        <v>AGOSTO 2020</v>
      </c>
      <c r="F2337" s="57" t="str">
        <f t="shared" si="1249"/>
        <v>8 AGOSTO 2020</v>
      </c>
      <c r="G2337" s="59">
        <v>42</v>
      </c>
      <c r="H2337" s="1338" t="s">
        <v>75</v>
      </c>
      <c r="I2337" s="960"/>
      <c r="J2337" s="57" t="s">
        <v>108</v>
      </c>
      <c r="K2337" s="59"/>
    </row>
    <row r="2338" spans="1:11" x14ac:dyDescent="0.25">
      <c r="A2338" s="57" t="s">
        <v>329</v>
      </c>
      <c r="B2338" s="57" t="s">
        <v>80</v>
      </c>
      <c r="C2338" s="57">
        <v>2020</v>
      </c>
      <c r="D2338" s="58">
        <f>MATCH(B2338,{"GENNAIO","FEBBRAIO","MARZO","APRILE","MAGGIO","GIUGNO","LUGLIO","AGOSTO","SETTEMBRE","OTTOBRE","NOVEMBRE","DICEMBRE"},0)</f>
        <v>8</v>
      </c>
      <c r="E2338" s="57" t="str">
        <f t="shared" ref="E2338:E2369" si="1250">CONCATENATE(,B2338," ",C2338)</f>
        <v>AGOSTO 2020</v>
      </c>
      <c r="F2338" s="57" t="str">
        <f t="shared" si="1249"/>
        <v>8 AGOSTO 2020</v>
      </c>
      <c r="G2338" s="59">
        <v>49.99</v>
      </c>
      <c r="H2338" s="1338" t="s">
        <v>137</v>
      </c>
      <c r="I2338" s="960"/>
      <c r="J2338" s="59"/>
      <c r="K2338" s="59"/>
    </row>
    <row r="2339" spans="1:11" x14ac:dyDescent="0.25">
      <c r="A2339" s="57" t="s">
        <v>193</v>
      </c>
      <c r="B2339" s="57" t="s">
        <v>80</v>
      </c>
      <c r="C2339" s="57">
        <v>2020</v>
      </c>
      <c r="D2339" s="58">
        <f>MATCH(B2339,{"GENNAIO","FEBBRAIO","MARZO","APRILE","MAGGIO","GIUGNO","LUGLIO","AGOSTO","SETTEMBRE","OTTOBRE","NOVEMBRE","DICEMBRE"},0)</f>
        <v>8</v>
      </c>
      <c r="E2339" s="57" t="str">
        <f t="shared" si="1250"/>
        <v>AGOSTO 2020</v>
      </c>
      <c r="F2339" s="57" t="str">
        <f t="shared" si="1249"/>
        <v>8 AGOSTO 2020</v>
      </c>
      <c r="G2339" s="59">
        <v>24.9</v>
      </c>
      <c r="H2339" s="1338" t="s">
        <v>137</v>
      </c>
      <c r="I2339" s="960"/>
      <c r="J2339" s="59"/>
      <c r="K2339" s="59"/>
    </row>
    <row r="2340" spans="1:11" x14ac:dyDescent="0.25">
      <c r="A2340" s="57" t="s">
        <v>234</v>
      </c>
      <c r="B2340" s="57" t="s">
        <v>80</v>
      </c>
      <c r="C2340" s="57">
        <v>2020</v>
      </c>
      <c r="D2340" s="58">
        <f>MATCH(B2340,{"GENNAIO","FEBBRAIO","MARZO","APRILE","MAGGIO","GIUGNO","LUGLIO","AGOSTO","SETTEMBRE","OTTOBRE","NOVEMBRE","DICEMBRE"},0)</f>
        <v>8</v>
      </c>
      <c r="E2340" s="57" t="str">
        <f t="shared" si="1250"/>
        <v>AGOSTO 2020</v>
      </c>
      <c r="F2340" s="57" t="str">
        <f t="shared" si="1249"/>
        <v>8 AGOSTO 2020</v>
      </c>
      <c r="G2340" s="59">
        <v>9.99</v>
      </c>
      <c r="H2340" s="1338" t="s">
        <v>137</v>
      </c>
      <c r="I2340" s="960"/>
      <c r="J2340" s="59"/>
      <c r="K2340" s="59"/>
    </row>
    <row r="2341" spans="1:11" x14ac:dyDescent="0.25">
      <c r="A2341" s="57" t="s">
        <v>234</v>
      </c>
      <c r="B2341" s="57" t="s">
        <v>80</v>
      </c>
      <c r="C2341" s="57">
        <v>2020</v>
      </c>
      <c r="D2341" s="58">
        <f>MATCH(B2341,{"GENNAIO","FEBBRAIO","MARZO","APRILE","MAGGIO","GIUGNO","LUGLIO","AGOSTO","SETTEMBRE","OTTOBRE","NOVEMBRE","DICEMBRE"},0)</f>
        <v>8</v>
      </c>
      <c r="E2341" s="57" t="str">
        <f t="shared" si="1250"/>
        <v>AGOSTO 2020</v>
      </c>
      <c r="F2341" s="57" t="str">
        <f t="shared" si="1249"/>
        <v>8 AGOSTO 2020</v>
      </c>
      <c r="G2341" s="59">
        <v>15.99</v>
      </c>
      <c r="H2341" s="1338" t="s">
        <v>137</v>
      </c>
      <c r="I2341" s="960"/>
      <c r="J2341" s="59"/>
      <c r="K2341" s="59"/>
    </row>
    <row r="2342" spans="1:11" x14ac:dyDescent="0.25">
      <c r="A2342" s="57" t="s">
        <v>234</v>
      </c>
      <c r="B2342" s="57" t="s">
        <v>80</v>
      </c>
      <c r="C2342" s="57">
        <v>2020</v>
      </c>
      <c r="D2342" s="58">
        <f>MATCH(B2342,{"GENNAIO","FEBBRAIO","MARZO","APRILE","MAGGIO","GIUGNO","LUGLIO","AGOSTO","SETTEMBRE","OTTOBRE","NOVEMBRE","DICEMBRE"},0)</f>
        <v>8</v>
      </c>
      <c r="E2342" s="57" t="str">
        <f t="shared" si="1250"/>
        <v>AGOSTO 2020</v>
      </c>
      <c r="F2342" s="57" t="str">
        <f t="shared" si="1249"/>
        <v>8 AGOSTO 2020</v>
      </c>
      <c r="G2342" s="59">
        <v>71.97</v>
      </c>
      <c r="H2342" s="1338" t="s">
        <v>137</v>
      </c>
      <c r="I2342" s="960"/>
      <c r="J2342" s="59"/>
      <c r="K2342" s="59"/>
    </row>
    <row r="2343" spans="1:11" x14ac:dyDescent="0.25">
      <c r="A2343" s="57" t="s">
        <v>140</v>
      </c>
      <c r="B2343" s="57" t="s">
        <v>119</v>
      </c>
      <c r="C2343" s="57">
        <v>2020</v>
      </c>
      <c r="D2343" s="58">
        <f>MATCH(B2343,{"GENNAIO","FEBBRAIO","MARZO","APRILE","MAGGIO","GIUGNO","LUGLIO","AGOSTO","SETTEMBRE","OTTOBRE","NOVEMBRE","DICEMBRE"},0)</f>
        <v>7</v>
      </c>
      <c r="E2343" s="57" t="str">
        <f t="shared" si="1250"/>
        <v>LUGLIO 2020</v>
      </c>
      <c r="F2343" s="57" t="str">
        <f t="shared" si="1249"/>
        <v>7 LUGLIO 2020</v>
      </c>
      <c r="G2343" s="59">
        <v>51.1</v>
      </c>
      <c r="H2343" s="1338" t="s">
        <v>69</v>
      </c>
      <c r="I2343" s="960"/>
      <c r="J2343" s="59"/>
      <c r="K2343" s="59"/>
    </row>
    <row r="2344" spans="1:11" x14ac:dyDescent="0.25">
      <c r="A2344" s="57" t="s">
        <v>136</v>
      </c>
      <c r="B2344" s="57" t="s">
        <v>119</v>
      </c>
      <c r="C2344" s="57">
        <v>2020</v>
      </c>
      <c r="D2344" s="58">
        <f>MATCH(B2344,{"GENNAIO","FEBBRAIO","MARZO","APRILE","MAGGIO","GIUGNO","LUGLIO","AGOSTO","SETTEMBRE","OTTOBRE","NOVEMBRE","DICEMBRE"},0)</f>
        <v>7</v>
      </c>
      <c r="E2344" s="57" t="str">
        <f t="shared" si="1250"/>
        <v>LUGLIO 2020</v>
      </c>
      <c r="F2344" s="57" t="str">
        <f t="shared" si="1249"/>
        <v>7 LUGLIO 2020</v>
      </c>
      <c r="G2344" s="59">
        <v>64.8</v>
      </c>
      <c r="H2344" s="1338" t="s">
        <v>137</v>
      </c>
      <c r="I2344" s="960"/>
      <c r="J2344" s="59"/>
      <c r="K2344" s="59"/>
    </row>
    <row r="2345" spans="1:11" x14ac:dyDescent="0.25">
      <c r="A2345" s="57" t="s">
        <v>202</v>
      </c>
      <c r="B2345" s="57" t="s">
        <v>119</v>
      </c>
      <c r="C2345" s="57">
        <v>2020</v>
      </c>
      <c r="D2345" s="58">
        <f>MATCH(B2345,{"GENNAIO","FEBBRAIO","MARZO","APRILE","MAGGIO","GIUGNO","LUGLIO","AGOSTO","SETTEMBRE","OTTOBRE","NOVEMBRE","DICEMBRE"},0)</f>
        <v>7</v>
      </c>
      <c r="E2345" s="57" t="str">
        <f t="shared" si="1250"/>
        <v>LUGLIO 2020</v>
      </c>
      <c r="F2345" s="57" t="str">
        <f t="shared" si="1249"/>
        <v>7 LUGLIO 2020</v>
      </c>
      <c r="G2345" s="59">
        <v>27.8</v>
      </c>
      <c r="H2345" s="1338" t="s">
        <v>137</v>
      </c>
      <c r="I2345" s="960"/>
      <c r="J2345" s="59"/>
      <c r="K2345" s="59"/>
    </row>
    <row r="2346" spans="1:11" x14ac:dyDescent="0.25">
      <c r="A2346" s="57" t="s">
        <v>341</v>
      </c>
      <c r="B2346" s="57" t="s">
        <v>119</v>
      </c>
      <c r="C2346" s="57">
        <v>2020</v>
      </c>
      <c r="D2346" s="58">
        <f>MATCH(B2346,{"GENNAIO","FEBBRAIO","MARZO","APRILE","MAGGIO","GIUGNO","LUGLIO","AGOSTO","SETTEMBRE","OTTOBRE","NOVEMBRE","DICEMBRE"},0)</f>
        <v>7</v>
      </c>
      <c r="E2346" s="57" t="str">
        <f t="shared" si="1250"/>
        <v>LUGLIO 2020</v>
      </c>
      <c r="F2346" s="57" t="str">
        <f t="shared" si="1249"/>
        <v>7 LUGLIO 2020</v>
      </c>
      <c r="G2346" s="59">
        <v>1.27</v>
      </c>
      <c r="H2346" s="1338" t="s">
        <v>91</v>
      </c>
      <c r="I2346" s="960"/>
      <c r="J2346" s="59" t="s">
        <v>768</v>
      </c>
      <c r="K2346" s="59"/>
    </row>
    <row r="2347" spans="1:11" x14ac:dyDescent="0.25">
      <c r="A2347" s="57" t="s">
        <v>108</v>
      </c>
      <c r="B2347" s="57" t="s">
        <v>119</v>
      </c>
      <c r="C2347" s="57">
        <v>2020</v>
      </c>
      <c r="D2347" s="58">
        <f>MATCH(B2347,{"GENNAIO","FEBBRAIO","MARZO","APRILE","MAGGIO","GIUGNO","LUGLIO","AGOSTO","SETTEMBRE","OTTOBRE","NOVEMBRE","DICEMBRE"},0)</f>
        <v>7</v>
      </c>
      <c r="E2347" s="57" t="str">
        <f t="shared" si="1250"/>
        <v>LUGLIO 2020</v>
      </c>
      <c r="F2347" s="57" t="str">
        <f t="shared" si="1249"/>
        <v>7 LUGLIO 2020</v>
      </c>
      <c r="G2347" s="59">
        <v>49.99</v>
      </c>
      <c r="H2347" s="1338" t="s">
        <v>75</v>
      </c>
      <c r="I2347" s="960"/>
      <c r="J2347" s="57" t="s">
        <v>108</v>
      </c>
      <c r="K2347" s="59"/>
    </row>
    <row r="2348" spans="1:11" x14ac:dyDescent="0.25">
      <c r="A2348" s="57" t="s">
        <v>164</v>
      </c>
      <c r="B2348" s="57" t="s">
        <v>119</v>
      </c>
      <c r="C2348" s="57">
        <v>2020</v>
      </c>
      <c r="D2348" s="58">
        <f>MATCH(B2348,{"GENNAIO","FEBBRAIO","MARZO","APRILE","MAGGIO","GIUGNO","LUGLIO","AGOSTO","SETTEMBRE","OTTOBRE","NOVEMBRE","DICEMBRE"},0)</f>
        <v>7</v>
      </c>
      <c r="E2348" s="57" t="str">
        <f t="shared" si="1250"/>
        <v>LUGLIO 2020</v>
      </c>
      <c r="F2348" s="57" t="str">
        <f t="shared" si="1249"/>
        <v>7 LUGLIO 2020</v>
      </c>
      <c r="G2348" s="59">
        <v>43.24</v>
      </c>
      <c r="H2348" s="1338" t="s">
        <v>77</v>
      </c>
      <c r="I2348" s="960"/>
      <c r="J2348" s="59"/>
      <c r="K2348" s="59"/>
    </row>
    <row r="2349" spans="1:11" x14ac:dyDescent="0.25">
      <c r="A2349" s="57" t="s">
        <v>302</v>
      </c>
      <c r="B2349" s="57" t="s">
        <v>119</v>
      </c>
      <c r="C2349" s="57">
        <v>2020</v>
      </c>
      <c r="D2349" s="58">
        <f>MATCH(B2349,{"GENNAIO","FEBBRAIO","MARZO","APRILE","MAGGIO","GIUGNO","LUGLIO","AGOSTO","SETTEMBRE","OTTOBRE","NOVEMBRE","DICEMBRE"},0)</f>
        <v>7</v>
      </c>
      <c r="E2349" s="57" t="str">
        <f t="shared" si="1250"/>
        <v>LUGLIO 2020</v>
      </c>
      <c r="F2349" s="57" t="str">
        <f t="shared" si="1249"/>
        <v>7 LUGLIO 2020</v>
      </c>
      <c r="G2349" s="59">
        <v>37.840000000000003</v>
      </c>
      <c r="H2349" s="1338" t="s">
        <v>137</v>
      </c>
      <c r="I2349" s="960"/>
      <c r="J2349" s="59"/>
      <c r="K2349" s="59"/>
    </row>
    <row r="2350" spans="1:11" x14ac:dyDescent="0.25">
      <c r="A2350" s="57" t="s">
        <v>164</v>
      </c>
      <c r="B2350" s="57" t="s">
        <v>119</v>
      </c>
      <c r="C2350" s="57">
        <v>2020</v>
      </c>
      <c r="D2350" s="58">
        <f>MATCH(B2350,{"GENNAIO","FEBBRAIO","MARZO","APRILE","MAGGIO","GIUGNO","LUGLIO","AGOSTO","SETTEMBRE","OTTOBRE","NOVEMBRE","DICEMBRE"},0)</f>
        <v>7</v>
      </c>
      <c r="E2350" s="57" t="str">
        <f t="shared" si="1250"/>
        <v>LUGLIO 2020</v>
      </c>
      <c r="F2350" s="57" t="str">
        <f t="shared" si="1249"/>
        <v>7 LUGLIO 2020</v>
      </c>
      <c r="G2350" s="59">
        <v>38.61</v>
      </c>
      <c r="H2350" s="1338" t="s">
        <v>77</v>
      </c>
      <c r="I2350" s="960"/>
      <c r="J2350" s="59"/>
      <c r="K2350" s="59"/>
    </row>
    <row r="2351" spans="1:11" x14ac:dyDescent="0.25">
      <c r="A2351" s="57" t="s">
        <v>318</v>
      </c>
      <c r="B2351" s="57" t="s">
        <v>119</v>
      </c>
      <c r="C2351" s="57">
        <v>2020</v>
      </c>
      <c r="D2351" s="58">
        <f>MATCH(B2351,{"GENNAIO","FEBBRAIO","MARZO","APRILE","MAGGIO","GIUGNO","LUGLIO","AGOSTO","SETTEMBRE","OTTOBRE","NOVEMBRE","DICEMBRE"},0)</f>
        <v>7</v>
      </c>
      <c r="E2351" s="57" t="str">
        <f t="shared" si="1250"/>
        <v>LUGLIO 2020</v>
      </c>
      <c r="F2351" s="57" t="str">
        <f t="shared" si="1249"/>
        <v>7 LUGLIO 2020</v>
      </c>
      <c r="G2351" s="59">
        <v>60.95</v>
      </c>
      <c r="H2351" s="1338" t="s">
        <v>231</v>
      </c>
      <c r="I2351" s="960"/>
      <c r="J2351" s="59"/>
      <c r="K2351" s="59"/>
    </row>
    <row r="2352" spans="1:11" x14ac:dyDescent="0.25">
      <c r="A2352" s="57" t="s">
        <v>67</v>
      </c>
      <c r="B2352" s="57" t="s">
        <v>131</v>
      </c>
      <c r="C2352" s="57">
        <v>2020</v>
      </c>
      <c r="D2352" s="58">
        <f>MATCH(B2352,{"GENNAIO","FEBBRAIO","MARZO","APRILE","MAGGIO","GIUGNO","LUGLIO","AGOSTO","SETTEMBRE","OTTOBRE","NOVEMBRE","DICEMBRE"},0)</f>
        <v>6</v>
      </c>
      <c r="E2352" s="57" t="str">
        <f t="shared" si="1250"/>
        <v>GIUGNO 2020</v>
      </c>
      <c r="F2352" s="57" t="str">
        <f t="shared" si="1249"/>
        <v>6 GIUGNO 2020</v>
      </c>
      <c r="G2352" s="59">
        <v>9</v>
      </c>
      <c r="H2352" s="1338" t="s">
        <v>69</v>
      </c>
      <c r="I2352" s="960"/>
      <c r="J2352" s="59"/>
      <c r="K2352" s="59"/>
    </row>
    <row r="2353" spans="1:11" x14ac:dyDescent="0.25">
      <c r="A2353" s="57" t="s">
        <v>232</v>
      </c>
      <c r="B2353" s="57" t="s">
        <v>131</v>
      </c>
      <c r="C2353" s="57">
        <v>2020</v>
      </c>
      <c r="D2353" s="58">
        <f>MATCH(B2353,{"GENNAIO","FEBBRAIO","MARZO","APRILE","MAGGIO","GIUGNO","LUGLIO","AGOSTO","SETTEMBRE","OTTOBRE","NOVEMBRE","DICEMBRE"},0)</f>
        <v>6</v>
      </c>
      <c r="E2353" s="57" t="str">
        <f t="shared" si="1250"/>
        <v>GIUGNO 2020</v>
      </c>
      <c r="F2353" s="57" t="str">
        <f t="shared" si="1249"/>
        <v>6 GIUGNO 2020</v>
      </c>
      <c r="G2353" s="59">
        <v>1.7</v>
      </c>
      <c r="H2353" s="1338" t="s">
        <v>91</v>
      </c>
      <c r="I2353" s="960"/>
      <c r="J2353" s="59"/>
      <c r="K2353" s="59"/>
    </row>
    <row r="2354" spans="1:11" x14ac:dyDescent="0.25">
      <c r="A2354" s="57" t="s">
        <v>232</v>
      </c>
      <c r="B2354" s="57" t="s">
        <v>131</v>
      </c>
      <c r="C2354" s="57">
        <v>2020</v>
      </c>
      <c r="D2354" s="58">
        <f>MATCH(B2354,{"GENNAIO","FEBBRAIO","MARZO","APRILE","MAGGIO","GIUGNO","LUGLIO","AGOSTO","SETTEMBRE","OTTOBRE","NOVEMBRE","DICEMBRE"},0)</f>
        <v>6</v>
      </c>
      <c r="E2354" s="57" t="str">
        <f t="shared" si="1250"/>
        <v>GIUGNO 2020</v>
      </c>
      <c r="F2354" s="57" t="str">
        <f t="shared" si="1249"/>
        <v>6 GIUGNO 2020</v>
      </c>
      <c r="G2354" s="59">
        <v>1.7</v>
      </c>
      <c r="H2354" s="1338" t="s">
        <v>91</v>
      </c>
      <c r="I2354" s="960"/>
      <c r="J2354" s="59"/>
      <c r="K2354" s="59"/>
    </row>
    <row r="2355" spans="1:11" x14ac:dyDescent="0.25">
      <c r="A2355" s="57" t="s">
        <v>345</v>
      </c>
      <c r="B2355" s="57" t="s">
        <v>131</v>
      </c>
      <c r="C2355" s="57">
        <v>2020</v>
      </c>
      <c r="D2355" s="58">
        <f>MATCH(B2355,{"GENNAIO","FEBBRAIO","MARZO","APRILE","MAGGIO","GIUGNO","LUGLIO","AGOSTO","SETTEMBRE","OTTOBRE","NOVEMBRE","DICEMBRE"},0)</f>
        <v>6</v>
      </c>
      <c r="E2355" s="57" t="str">
        <f t="shared" si="1250"/>
        <v>GIUGNO 2020</v>
      </c>
      <c r="F2355" s="57" t="str">
        <f t="shared" si="1249"/>
        <v>6 GIUGNO 2020</v>
      </c>
      <c r="G2355" s="59">
        <v>75.8</v>
      </c>
      <c r="H2355" s="1338" t="s">
        <v>69</v>
      </c>
      <c r="I2355" s="960"/>
      <c r="J2355" s="59"/>
      <c r="K2355" s="59"/>
    </row>
    <row r="2356" spans="1:11" x14ac:dyDescent="0.25">
      <c r="A2356" s="57" t="s">
        <v>67</v>
      </c>
      <c r="B2356" s="57" t="s">
        <v>131</v>
      </c>
      <c r="C2356" s="57">
        <v>2020</v>
      </c>
      <c r="D2356" s="58">
        <f>MATCH(B2356,{"GENNAIO","FEBBRAIO","MARZO","APRILE","MAGGIO","GIUGNO","LUGLIO","AGOSTO","SETTEMBRE","OTTOBRE","NOVEMBRE","DICEMBRE"},0)</f>
        <v>6</v>
      </c>
      <c r="E2356" s="57" t="str">
        <f t="shared" si="1250"/>
        <v>GIUGNO 2020</v>
      </c>
      <c r="F2356" s="57" t="str">
        <f t="shared" si="1249"/>
        <v>6 GIUGNO 2020</v>
      </c>
      <c r="G2356" s="59">
        <v>11.5</v>
      </c>
      <c r="H2356" s="1338" t="s">
        <v>69</v>
      </c>
      <c r="I2356" s="960"/>
      <c r="J2356" s="59"/>
      <c r="K2356" s="59"/>
    </row>
    <row r="2357" spans="1:11" x14ac:dyDescent="0.25">
      <c r="A2357" s="57" t="s">
        <v>346</v>
      </c>
      <c r="B2357" s="57" t="s">
        <v>131</v>
      </c>
      <c r="C2357" s="57">
        <v>2020</v>
      </c>
      <c r="D2357" s="58">
        <f>MATCH(B2357,{"GENNAIO","FEBBRAIO","MARZO","APRILE","MAGGIO","GIUGNO","LUGLIO","AGOSTO","SETTEMBRE","OTTOBRE","NOVEMBRE","DICEMBRE"},0)</f>
        <v>6</v>
      </c>
      <c r="E2357" s="57" t="str">
        <f t="shared" si="1250"/>
        <v>GIUGNO 2020</v>
      </c>
      <c r="F2357" s="57" t="str">
        <f t="shared" si="1249"/>
        <v>6 GIUGNO 2020</v>
      </c>
      <c r="G2357" s="59">
        <v>47.5</v>
      </c>
      <c r="H2357" s="1338" t="s">
        <v>75</v>
      </c>
      <c r="I2357" s="960"/>
      <c r="J2357" s="59"/>
      <c r="K2357" s="59"/>
    </row>
    <row r="2358" spans="1:11" x14ac:dyDescent="0.25">
      <c r="A2358" s="57" t="s">
        <v>164</v>
      </c>
      <c r="B2358" s="57" t="s">
        <v>131</v>
      </c>
      <c r="C2358" s="57">
        <v>2020</v>
      </c>
      <c r="D2358" s="58">
        <f>MATCH(B2358,{"GENNAIO","FEBBRAIO","MARZO","APRILE","MAGGIO","GIUGNO","LUGLIO","AGOSTO","SETTEMBRE","OTTOBRE","NOVEMBRE","DICEMBRE"},0)</f>
        <v>6</v>
      </c>
      <c r="E2358" s="57" t="str">
        <f t="shared" si="1250"/>
        <v>GIUGNO 2020</v>
      </c>
      <c r="F2358" s="57" t="str">
        <f t="shared" si="1249"/>
        <v>6 GIUGNO 2020</v>
      </c>
      <c r="G2358" s="59">
        <v>56.43</v>
      </c>
      <c r="H2358" s="1338" t="s">
        <v>77</v>
      </c>
      <c r="I2358" s="960"/>
      <c r="J2358" s="59"/>
      <c r="K2358" s="59"/>
    </row>
    <row r="2359" spans="1:11" x14ac:dyDescent="0.25">
      <c r="A2359" s="57" t="s">
        <v>171</v>
      </c>
      <c r="B2359" s="57" t="s">
        <v>131</v>
      </c>
      <c r="C2359" s="57">
        <v>2020</v>
      </c>
      <c r="D2359" s="58">
        <f>MATCH(B2359,{"GENNAIO","FEBBRAIO","MARZO","APRILE","MAGGIO","GIUGNO","LUGLIO","AGOSTO","SETTEMBRE","OTTOBRE","NOVEMBRE","DICEMBRE"},0)</f>
        <v>6</v>
      </c>
      <c r="E2359" s="57" t="str">
        <f t="shared" si="1250"/>
        <v>GIUGNO 2020</v>
      </c>
      <c r="F2359" s="57" t="str">
        <f t="shared" si="1249"/>
        <v>6 GIUGNO 2020</v>
      </c>
      <c r="G2359" s="59">
        <v>19.899999999999999</v>
      </c>
      <c r="H2359" s="1338" t="s">
        <v>81</v>
      </c>
      <c r="I2359" s="960"/>
      <c r="J2359" s="59"/>
      <c r="K2359" s="59"/>
    </row>
    <row r="2360" spans="1:11" x14ac:dyDescent="0.25">
      <c r="A2360" s="57" t="s">
        <v>333</v>
      </c>
      <c r="B2360" s="57" t="s">
        <v>131</v>
      </c>
      <c r="C2360" s="57">
        <v>2020</v>
      </c>
      <c r="D2360" s="58">
        <f>MATCH(B2360,{"GENNAIO","FEBBRAIO","MARZO","APRILE","MAGGIO","GIUGNO","LUGLIO","AGOSTO","SETTEMBRE","OTTOBRE","NOVEMBRE","DICEMBRE"},0)</f>
        <v>6</v>
      </c>
      <c r="E2360" s="57" t="str">
        <f t="shared" si="1250"/>
        <v>GIUGNO 2020</v>
      </c>
      <c r="F2360" s="57" t="str">
        <f t="shared" si="1249"/>
        <v>6 GIUGNO 2020</v>
      </c>
      <c r="G2360" s="59">
        <v>12.25</v>
      </c>
      <c r="H2360" s="1338" t="s">
        <v>185</v>
      </c>
      <c r="I2360" s="960"/>
      <c r="J2360" s="59"/>
      <c r="K2360" s="59"/>
    </row>
    <row r="2361" spans="1:11" x14ac:dyDescent="0.25">
      <c r="A2361" s="57" t="s">
        <v>347</v>
      </c>
      <c r="B2361" s="57" t="s">
        <v>131</v>
      </c>
      <c r="C2361" s="57">
        <v>2020</v>
      </c>
      <c r="D2361" s="58">
        <f>MATCH(B2361,{"GENNAIO","FEBBRAIO","MARZO","APRILE","MAGGIO","GIUGNO","LUGLIO","AGOSTO","SETTEMBRE","OTTOBRE","NOVEMBRE","DICEMBRE"},0)</f>
        <v>6</v>
      </c>
      <c r="E2361" s="57" t="str">
        <f t="shared" si="1250"/>
        <v>GIUGNO 2020</v>
      </c>
      <c r="F2361" s="57" t="str">
        <f t="shared" si="1249"/>
        <v>6 GIUGNO 2020</v>
      </c>
      <c r="G2361" s="59">
        <v>229.01</v>
      </c>
      <c r="H2361" s="1338" t="s">
        <v>74</v>
      </c>
      <c r="I2361" s="960"/>
      <c r="J2361" s="59"/>
      <c r="K2361" s="59"/>
    </row>
    <row r="2362" spans="1:11" x14ac:dyDescent="0.25">
      <c r="A2362" s="57" t="s">
        <v>234</v>
      </c>
      <c r="B2362" s="57" t="s">
        <v>143</v>
      </c>
      <c r="C2362" s="57">
        <v>2020</v>
      </c>
      <c r="D2362" s="58">
        <f>MATCH(B2362,{"GENNAIO","FEBBRAIO","MARZO","APRILE","MAGGIO","GIUGNO","LUGLIO","AGOSTO","SETTEMBRE","OTTOBRE","NOVEMBRE","DICEMBRE"},0)</f>
        <v>5</v>
      </c>
      <c r="E2362" s="57" t="str">
        <f t="shared" si="1250"/>
        <v>MAGGIO 2020</v>
      </c>
      <c r="F2362" s="57" t="str">
        <f t="shared" si="1249"/>
        <v>5 MAGGIO 2020</v>
      </c>
      <c r="G2362" s="59">
        <v>32.119999999999997</v>
      </c>
      <c r="H2362" s="1338" t="s">
        <v>137</v>
      </c>
      <c r="I2362" s="960"/>
      <c r="J2362" s="59"/>
      <c r="K2362" s="59"/>
    </row>
    <row r="2363" spans="1:11" x14ac:dyDescent="0.25">
      <c r="A2363" s="57" t="s">
        <v>108</v>
      </c>
      <c r="B2363" s="57" t="s">
        <v>143</v>
      </c>
      <c r="C2363" s="57">
        <v>2020</v>
      </c>
      <c r="D2363" s="58">
        <f>MATCH(B2363,{"GENNAIO","FEBBRAIO","MARZO","APRILE","MAGGIO","GIUGNO","LUGLIO","AGOSTO","SETTEMBRE","OTTOBRE","NOVEMBRE","DICEMBRE"},0)</f>
        <v>5</v>
      </c>
      <c r="E2363" s="57" t="str">
        <f t="shared" si="1250"/>
        <v>MAGGIO 2020</v>
      </c>
      <c r="F2363" s="57" t="str">
        <f t="shared" si="1249"/>
        <v>5 MAGGIO 2020</v>
      </c>
      <c r="G2363" s="59">
        <v>13.9</v>
      </c>
      <c r="H2363" s="1338" t="s">
        <v>75</v>
      </c>
      <c r="I2363" s="960"/>
      <c r="J2363" s="57" t="s">
        <v>108</v>
      </c>
      <c r="K2363" s="59"/>
    </row>
    <row r="2364" spans="1:11" x14ac:dyDescent="0.25">
      <c r="A2364" s="57" t="s">
        <v>164</v>
      </c>
      <c r="B2364" s="57" t="s">
        <v>143</v>
      </c>
      <c r="C2364" s="57">
        <v>2020</v>
      </c>
      <c r="D2364" s="58">
        <f>MATCH(B2364,{"GENNAIO","FEBBRAIO","MARZO","APRILE","MAGGIO","GIUGNO","LUGLIO","AGOSTO","SETTEMBRE","OTTOBRE","NOVEMBRE","DICEMBRE"},0)</f>
        <v>5</v>
      </c>
      <c r="E2364" s="57" t="str">
        <f t="shared" si="1250"/>
        <v>MAGGIO 2020</v>
      </c>
      <c r="F2364" s="57" t="str">
        <f t="shared" si="1249"/>
        <v>5 MAGGIO 2020</v>
      </c>
      <c r="G2364" s="59">
        <v>50.6</v>
      </c>
      <c r="H2364" s="1338" t="s">
        <v>77</v>
      </c>
      <c r="I2364" s="960"/>
      <c r="J2364" s="59"/>
      <c r="K2364" s="59"/>
    </row>
    <row r="2365" spans="1:11" x14ac:dyDescent="0.25">
      <c r="A2365" s="57" t="s">
        <v>189</v>
      </c>
      <c r="B2365" s="57" t="s">
        <v>143</v>
      </c>
      <c r="C2365" s="57">
        <v>2020</v>
      </c>
      <c r="D2365" s="58">
        <f>MATCH(B2365,{"GENNAIO","FEBBRAIO","MARZO","APRILE","MAGGIO","GIUGNO","LUGLIO","AGOSTO","SETTEMBRE","OTTOBRE","NOVEMBRE","DICEMBRE"},0)</f>
        <v>5</v>
      </c>
      <c r="E2365" s="57" t="str">
        <f t="shared" si="1250"/>
        <v>MAGGIO 2020</v>
      </c>
      <c r="F2365" s="57" t="str">
        <f t="shared" si="1249"/>
        <v>5 MAGGIO 2020</v>
      </c>
      <c r="G2365" s="59">
        <v>9.98</v>
      </c>
      <c r="H2365" s="1338" t="s">
        <v>81</v>
      </c>
      <c r="I2365" s="960"/>
      <c r="J2365" s="59"/>
      <c r="K2365" s="59"/>
    </row>
    <row r="2366" spans="1:11" x14ac:dyDescent="0.25">
      <c r="A2366" s="57" t="s">
        <v>164</v>
      </c>
      <c r="B2366" s="57" t="s">
        <v>143</v>
      </c>
      <c r="C2366" s="57">
        <v>2020</v>
      </c>
      <c r="D2366" s="58">
        <f>MATCH(B2366,{"GENNAIO","FEBBRAIO","MARZO","APRILE","MAGGIO","GIUGNO","LUGLIO","AGOSTO","SETTEMBRE","OTTOBRE","NOVEMBRE","DICEMBRE"},0)</f>
        <v>5</v>
      </c>
      <c r="E2366" s="57" t="str">
        <f t="shared" si="1250"/>
        <v>MAGGIO 2020</v>
      </c>
      <c r="F2366" s="57" t="str">
        <f t="shared" si="1249"/>
        <v>5 MAGGIO 2020</v>
      </c>
      <c r="G2366" s="59">
        <v>94.11</v>
      </c>
      <c r="H2366" s="1338" t="s">
        <v>77</v>
      </c>
      <c r="I2366" s="960"/>
      <c r="J2366" s="59"/>
      <c r="K2366" s="59"/>
    </row>
    <row r="2367" spans="1:11" x14ac:dyDescent="0.25">
      <c r="A2367" s="57" t="s">
        <v>280</v>
      </c>
      <c r="B2367" s="57" t="s">
        <v>143</v>
      </c>
      <c r="C2367" s="57">
        <v>2020</v>
      </c>
      <c r="D2367" s="58">
        <f>MATCH(B2367,{"GENNAIO","FEBBRAIO","MARZO","APRILE","MAGGIO","GIUGNO","LUGLIO","AGOSTO","SETTEMBRE","OTTOBRE","NOVEMBRE","DICEMBRE"},0)</f>
        <v>5</v>
      </c>
      <c r="E2367" s="57" t="str">
        <f t="shared" si="1250"/>
        <v>MAGGIO 2020</v>
      </c>
      <c r="F2367" s="57" t="str">
        <f t="shared" si="1249"/>
        <v>5 MAGGIO 2020</v>
      </c>
      <c r="G2367" s="59">
        <v>353.33</v>
      </c>
      <c r="H2367" s="1338" t="s">
        <v>77</v>
      </c>
      <c r="I2367" s="960"/>
      <c r="J2367" s="59"/>
      <c r="K2367" s="59"/>
    </row>
    <row r="2368" spans="1:11" x14ac:dyDescent="0.25">
      <c r="A2368" s="57" t="s">
        <v>164</v>
      </c>
      <c r="B2368" s="57" t="s">
        <v>143</v>
      </c>
      <c r="C2368" s="57">
        <v>2020</v>
      </c>
      <c r="D2368" s="58">
        <f>MATCH(B2368,{"GENNAIO","FEBBRAIO","MARZO","APRILE","MAGGIO","GIUGNO","LUGLIO","AGOSTO","SETTEMBRE","OTTOBRE","NOVEMBRE","DICEMBRE"},0)</f>
        <v>5</v>
      </c>
      <c r="E2368" s="57" t="str">
        <f t="shared" si="1250"/>
        <v>MAGGIO 2020</v>
      </c>
      <c r="F2368" s="57" t="str">
        <f t="shared" si="1249"/>
        <v>5 MAGGIO 2020</v>
      </c>
      <c r="G2368" s="59">
        <v>121.91</v>
      </c>
      <c r="H2368" s="1338" t="s">
        <v>77</v>
      </c>
      <c r="I2368" s="960"/>
      <c r="J2368" s="59"/>
      <c r="K2368" s="59"/>
    </row>
    <row r="2369" spans="1:11" x14ac:dyDescent="0.25">
      <c r="A2369" s="57" t="s">
        <v>348</v>
      </c>
      <c r="B2369" s="57" t="s">
        <v>159</v>
      </c>
      <c r="C2369" s="57">
        <v>2020</v>
      </c>
      <c r="D2369" s="58">
        <f>MATCH(B2369,{"GENNAIO","FEBBRAIO","MARZO","APRILE","MAGGIO","GIUGNO","LUGLIO","AGOSTO","SETTEMBRE","OTTOBRE","NOVEMBRE","DICEMBRE"},0)</f>
        <v>4</v>
      </c>
      <c r="E2369" s="57" t="str">
        <f t="shared" si="1250"/>
        <v>APRILE 2020</v>
      </c>
      <c r="F2369" s="57" t="str">
        <f t="shared" si="1249"/>
        <v>4 APRILE 2020</v>
      </c>
      <c r="G2369" s="59">
        <v>1</v>
      </c>
      <c r="H2369" s="1338" t="s">
        <v>75</v>
      </c>
      <c r="I2369" s="960"/>
      <c r="J2369" s="59"/>
      <c r="K2369" s="59"/>
    </row>
    <row r="2370" spans="1:11" x14ac:dyDescent="0.25">
      <c r="A2370" s="57" t="s">
        <v>164</v>
      </c>
      <c r="B2370" s="57" t="s">
        <v>159</v>
      </c>
      <c r="C2370" s="57">
        <v>2020</v>
      </c>
      <c r="D2370" s="58">
        <f>MATCH(B2370,{"GENNAIO","FEBBRAIO","MARZO","APRILE","MAGGIO","GIUGNO","LUGLIO","AGOSTO","SETTEMBRE","OTTOBRE","NOVEMBRE","DICEMBRE"},0)</f>
        <v>4</v>
      </c>
      <c r="E2370" s="57" t="str">
        <f t="shared" ref="E2370:E2401" si="1251">CONCATENATE(,B2370," ",C2370)</f>
        <v>APRILE 2020</v>
      </c>
      <c r="F2370" s="57" t="str">
        <f t="shared" si="1249"/>
        <v>4 APRILE 2020</v>
      </c>
      <c r="G2370" s="59">
        <v>32</v>
      </c>
      <c r="H2370" s="1338" t="s">
        <v>77</v>
      </c>
      <c r="I2370" s="960"/>
      <c r="J2370" s="59"/>
      <c r="K2370" s="59"/>
    </row>
    <row r="2371" spans="1:11" x14ac:dyDescent="0.25">
      <c r="A2371" s="57" t="s">
        <v>164</v>
      </c>
      <c r="B2371" s="57" t="s">
        <v>159</v>
      </c>
      <c r="C2371" s="57">
        <v>2020</v>
      </c>
      <c r="D2371" s="58">
        <f>MATCH(B2371,{"GENNAIO","FEBBRAIO","MARZO","APRILE","MAGGIO","GIUGNO","LUGLIO","AGOSTO","SETTEMBRE","OTTOBRE","NOVEMBRE","DICEMBRE"},0)</f>
        <v>4</v>
      </c>
      <c r="E2371" s="57" t="str">
        <f t="shared" si="1251"/>
        <v>APRILE 2020</v>
      </c>
      <c r="F2371" s="57" t="str">
        <f t="shared" si="1249"/>
        <v>4 APRILE 2020</v>
      </c>
      <c r="G2371" s="59">
        <v>99</v>
      </c>
      <c r="H2371" s="1338" t="s">
        <v>77</v>
      </c>
      <c r="I2371" s="960"/>
      <c r="J2371" s="59"/>
      <c r="K2371" s="59"/>
    </row>
    <row r="2372" spans="1:11" x14ac:dyDescent="0.25">
      <c r="A2372" s="57" t="s">
        <v>164</v>
      </c>
      <c r="B2372" s="57" t="s">
        <v>159</v>
      </c>
      <c r="C2372" s="57">
        <v>2020</v>
      </c>
      <c r="D2372" s="58">
        <f>MATCH(B2372,{"GENNAIO","FEBBRAIO","MARZO","APRILE","MAGGIO","GIUGNO","LUGLIO","AGOSTO","SETTEMBRE","OTTOBRE","NOVEMBRE","DICEMBRE"},0)</f>
        <v>4</v>
      </c>
      <c r="E2372" s="57" t="str">
        <f t="shared" si="1251"/>
        <v>APRILE 2020</v>
      </c>
      <c r="F2372" s="57" t="str">
        <f t="shared" si="1249"/>
        <v>4 APRILE 2020</v>
      </c>
      <c r="G2372" s="59">
        <v>7.9</v>
      </c>
      <c r="H2372" s="1338" t="s">
        <v>77</v>
      </c>
      <c r="I2372" s="960"/>
      <c r="J2372" s="59"/>
      <c r="K2372" s="59"/>
    </row>
    <row r="2373" spans="1:11" x14ac:dyDescent="0.25">
      <c r="A2373" s="57" t="s">
        <v>164</v>
      </c>
      <c r="B2373" s="57" t="s">
        <v>159</v>
      </c>
      <c r="C2373" s="57">
        <v>2020</v>
      </c>
      <c r="D2373" s="58">
        <f>MATCH(B2373,{"GENNAIO","FEBBRAIO","MARZO","APRILE","MAGGIO","GIUGNO","LUGLIO","AGOSTO","SETTEMBRE","OTTOBRE","NOVEMBRE","DICEMBRE"},0)</f>
        <v>4</v>
      </c>
      <c r="E2373" s="57" t="str">
        <f t="shared" si="1251"/>
        <v>APRILE 2020</v>
      </c>
      <c r="F2373" s="57" t="str">
        <f t="shared" si="1249"/>
        <v>4 APRILE 2020</v>
      </c>
      <c r="G2373" s="59">
        <v>70.98</v>
      </c>
      <c r="H2373" s="1338" t="s">
        <v>77</v>
      </c>
      <c r="I2373" s="960"/>
      <c r="J2373" s="59"/>
      <c r="K2373" s="59"/>
    </row>
    <row r="2374" spans="1:11" x14ac:dyDescent="0.25">
      <c r="A2374" s="57" t="s">
        <v>108</v>
      </c>
      <c r="B2374" s="57" t="s">
        <v>159</v>
      </c>
      <c r="C2374" s="57">
        <v>2020</v>
      </c>
      <c r="D2374" s="58">
        <f>MATCH(B2374,{"GENNAIO","FEBBRAIO","MARZO","APRILE","MAGGIO","GIUGNO","LUGLIO","AGOSTO","SETTEMBRE","OTTOBRE","NOVEMBRE","DICEMBRE"},0)</f>
        <v>4</v>
      </c>
      <c r="E2374" s="57" t="str">
        <f t="shared" si="1251"/>
        <v>APRILE 2020</v>
      </c>
      <c r="F2374" s="57" t="str">
        <f t="shared" si="1249"/>
        <v>4 APRILE 2020</v>
      </c>
      <c r="G2374" s="59">
        <v>89.98</v>
      </c>
      <c r="H2374" s="1338" t="s">
        <v>75</v>
      </c>
      <c r="I2374" s="960"/>
      <c r="J2374" s="57" t="s">
        <v>108</v>
      </c>
      <c r="K2374" s="59"/>
    </row>
    <row r="2375" spans="1:11" x14ac:dyDescent="0.25">
      <c r="A2375" s="57" t="s">
        <v>108</v>
      </c>
      <c r="B2375" s="57" t="s">
        <v>159</v>
      </c>
      <c r="C2375" s="57">
        <v>2020</v>
      </c>
      <c r="D2375" s="58">
        <f>MATCH(B2375,{"GENNAIO","FEBBRAIO","MARZO","APRILE","MAGGIO","GIUGNO","LUGLIO","AGOSTO","SETTEMBRE","OTTOBRE","NOVEMBRE","DICEMBRE"},0)</f>
        <v>4</v>
      </c>
      <c r="E2375" s="57" t="str">
        <f t="shared" si="1251"/>
        <v>APRILE 2020</v>
      </c>
      <c r="F2375" s="57" t="str">
        <f t="shared" si="1249"/>
        <v>4 APRILE 2020</v>
      </c>
      <c r="G2375" s="59">
        <v>13.99</v>
      </c>
      <c r="H2375" s="1338" t="s">
        <v>75</v>
      </c>
      <c r="I2375" s="960"/>
      <c r="J2375" s="57" t="s">
        <v>108</v>
      </c>
      <c r="K2375" s="59"/>
    </row>
    <row r="2376" spans="1:11" x14ac:dyDescent="0.25">
      <c r="A2376" s="57" t="s">
        <v>108</v>
      </c>
      <c r="B2376" s="57" t="s">
        <v>159</v>
      </c>
      <c r="C2376" s="57">
        <v>2020</v>
      </c>
      <c r="D2376" s="58">
        <f>MATCH(B2376,{"GENNAIO","FEBBRAIO","MARZO","APRILE","MAGGIO","GIUGNO","LUGLIO","AGOSTO","SETTEMBRE","OTTOBRE","NOVEMBRE","DICEMBRE"},0)</f>
        <v>4</v>
      </c>
      <c r="E2376" s="57" t="str">
        <f t="shared" si="1251"/>
        <v>APRILE 2020</v>
      </c>
      <c r="F2376" s="57" t="str">
        <f t="shared" si="1249"/>
        <v>4 APRILE 2020</v>
      </c>
      <c r="G2376" s="59">
        <v>105</v>
      </c>
      <c r="H2376" s="1338" t="s">
        <v>75</v>
      </c>
      <c r="I2376" s="960"/>
      <c r="J2376" s="57" t="s">
        <v>108</v>
      </c>
      <c r="K2376" s="59"/>
    </row>
    <row r="2377" spans="1:11" x14ac:dyDescent="0.25">
      <c r="A2377" s="57" t="s">
        <v>164</v>
      </c>
      <c r="B2377" s="57" t="s">
        <v>159</v>
      </c>
      <c r="C2377" s="57">
        <v>2020</v>
      </c>
      <c r="D2377" s="58">
        <f>MATCH(B2377,{"GENNAIO","FEBBRAIO","MARZO","APRILE","MAGGIO","GIUGNO","LUGLIO","AGOSTO","SETTEMBRE","OTTOBRE","NOVEMBRE","DICEMBRE"},0)</f>
        <v>4</v>
      </c>
      <c r="E2377" s="57" t="str">
        <f t="shared" si="1251"/>
        <v>APRILE 2020</v>
      </c>
      <c r="F2377" s="57" t="str">
        <f t="shared" si="1249"/>
        <v>4 APRILE 2020</v>
      </c>
      <c r="G2377" s="59">
        <v>72.569999999999993</v>
      </c>
      <c r="H2377" s="1338" t="s">
        <v>77</v>
      </c>
      <c r="I2377" s="960"/>
      <c r="J2377" s="59"/>
      <c r="K2377" s="59"/>
    </row>
    <row r="2378" spans="1:11" x14ac:dyDescent="0.25">
      <c r="A2378" s="57" t="s">
        <v>333</v>
      </c>
      <c r="B2378" s="57" t="s">
        <v>168</v>
      </c>
      <c r="C2378" s="57">
        <v>2020</v>
      </c>
      <c r="D2378" s="58">
        <f>MATCH(B2378,{"GENNAIO","FEBBRAIO","MARZO","APRILE","MAGGIO","GIUGNO","LUGLIO","AGOSTO","SETTEMBRE","OTTOBRE","NOVEMBRE","DICEMBRE"},0)</f>
        <v>3</v>
      </c>
      <c r="E2378" s="57" t="str">
        <f t="shared" si="1251"/>
        <v>MARZO 2020</v>
      </c>
      <c r="F2378" s="57" t="str">
        <f t="shared" si="1249"/>
        <v>3 MARZO 2020</v>
      </c>
      <c r="G2378" s="59">
        <v>8.99</v>
      </c>
      <c r="H2378" s="1338" t="s">
        <v>185</v>
      </c>
      <c r="I2378" s="960"/>
      <c r="J2378" s="59"/>
      <c r="K2378" s="59"/>
    </row>
    <row r="2379" spans="1:11" x14ac:dyDescent="0.25">
      <c r="A2379" s="57" t="s">
        <v>108</v>
      </c>
      <c r="B2379" s="57" t="s">
        <v>168</v>
      </c>
      <c r="C2379" s="57">
        <v>2020</v>
      </c>
      <c r="D2379" s="58">
        <f>MATCH(B2379,{"GENNAIO","FEBBRAIO","MARZO","APRILE","MAGGIO","GIUGNO","LUGLIO","AGOSTO","SETTEMBRE","OTTOBRE","NOVEMBRE","DICEMBRE"},0)</f>
        <v>3</v>
      </c>
      <c r="E2379" s="57" t="str">
        <f t="shared" si="1251"/>
        <v>MARZO 2020</v>
      </c>
      <c r="F2379" s="57" t="str">
        <f t="shared" si="1249"/>
        <v>3 MARZO 2020</v>
      </c>
      <c r="G2379" s="59">
        <v>239.99</v>
      </c>
      <c r="H2379" s="1338" t="s">
        <v>75</v>
      </c>
      <c r="I2379" s="960"/>
      <c r="J2379" s="57" t="s">
        <v>108</v>
      </c>
      <c r="K2379" s="59"/>
    </row>
    <row r="2380" spans="1:11" x14ac:dyDescent="0.25">
      <c r="A2380" s="57" t="s">
        <v>108</v>
      </c>
      <c r="B2380" s="57" t="s">
        <v>168</v>
      </c>
      <c r="C2380" s="57">
        <v>2020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251"/>
        <v>MARZO 2020</v>
      </c>
      <c r="F2380" s="57" t="str">
        <f t="shared" si="1249"/>
        <v>3 MARZO 2020</v>
      </c>
      <c r="G2380" s="59">
        <v>144.99</v>
      </c>
      <c r="H2380" s="1338" t="s">
        <v>75</v>
      </c>
      <c r="I2380" s="960"/>
      <c r="J2380" s="57" t="s">
        <v>108</v>
      </c>
      <c r="K2380" s="59"/>
    </row>
    <row r="2381" spans="1:11" x14ac:dyDescent="0.25">
      <c r="A2381" s="57" t="s">
        <v>108</v>
      </c>
      <c r="B2381" s="57" t="s">
        <v>168</v>
      </c>
      <c r="C2381" s="57">
        <v>2020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251"/>
        <v>MARZO 2020</v>
      </c>
      <c r="F2381" s="57" t="str">
        <f t="shared" si="1249"/>
        <v>3 MARZO 2020</v>
      </c>
      <c r="G2381" s="59">
        <v>83.61</v>
      </c>
      <c r="H2381" s="1338" t="s">
        <v>75</v>
      </c>
      <c r="I2381" s="960"/>
      <c r="J2381" s="57" t="s">
        <v>108</v>
      </c>
      <c r="K2381" s="59"/>
    </row>
    <row r="2382" spans="1:11" x14ac:dyDescent="0.25">
      <c r="A2382" s="57" t="s">
        <v>164</v>
      </c>
      <c r="B2382" s="57" t="s">
        <v>168</v>
      </c>
      <c r="C2382" s="57">
        <v>2020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251"/>
        <v>MARZO 2020</v>
      </c>
      <c r="F2382" s="57" t="str">
        <f t="shared" si="1249"/>
        <v>3 MARZO 2020</v>
      </c>
      <c r="G2382" s="59">
        <v>86.31</v>
      </c>
      <c r="H2382" s="1338" t="s">
        <v>77</v>
      </c>
      <c r="I2382" s="960"/>
      <c r="J2382" s="59"/>
      <c r="K2382" s="59"/>
    </row>
    <row r="2383" spans="1:11" x14ac:dyDescent="0.25">
      <c r="A2383" s="57" t="s">
        <v>278</v>
      </c>
      <c r="B2383" s="57" t="s">
        <v>168</v>
      </c>
      <c r="C2383" s="57">
        <v>2020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251"/>
        <v>MARZO 2020</v>
      </c>
      <c r="F2383" s="57" t="str">
        <f t="shared" si="1249"/>
        <v>3 MARZO 2020</v>
      </c>
      <c r="G2383" s="59">
        <v>40</v>
      </c>
      <c r="H2383" s="1338" t="s">
        <v>114</v>
      </c>
      <c r="I2383" s="960"/>
      <c r="J2383" s="59"/>
      <c r="K2383" s="59"/>
    </row>
    <row r="2384" spans="1:11" x14ac:dyDescent="0.25">
      <c r="A2384" s="57" t="s">
        <v>346</v>
      </c>
      <c r="B2384" s="57" t="s">
        <v>168</v>
      </c>
      <c r="C2384" s="57">
        <v>2020</v>
      </c>
      <c r="D2384" s="58">
        <f>MATCH(B2384,{"GENNAIO","FEBBRAIO","MARZO","APRILE","MAGGIO","GIUGNO","LUGLIO","AGOSTO","SETTEMBRE","OTTOBRE","NOVEMBRE","DICEMBRE"},0)</f>
        <v>3</v>
      </c>
      <c r="E2384" s="57" t="str">
        <f t="shared" si="1251"/>
        <v>MARZO 2020</v>
      </c>
      <c r="F2384" s="57" t="str">
        <f t="shared" si="1249"/>
        <v>3 MARZO 2020</v>
      </c>
      <c r="G2384" s="59">
        <v>14.54</v>
      </c>
      <c r="H2384" s="1338" t="s">
        <v>75</v>
      </c>
      <c r="I2384" s="960"/>
      <c r="J2384" s="59"/>
      <c r="K2384" s="59"/>
    </row>
    <row r="2385" spans="1:11" x14ac:dyDescent="0.25">
      <c r="A2385" s="57" t="s">
        <v>108</v>
      </c>
      <c r="B2385" s="57" t="s">
        <v>168</v>
      </c>
      <c r="C2385" s="57">
        <v>2020</v>
      </c>
      <c r="D2385" s="58">
        <f>MATCH(B2385,{"GENNAIO","FEBBRAIO","MARZO","APRILE","MAGGIO","GIUGNO","LUGLIO","AGOSTO","SETTEMBRE","OTTOBRE","NOVEMBRE","DICEMBRE"},0)</f>
        <v>3</v>
      </c>
      <c r="E2385" s="57" t="str">
        <f t="shared" si="1251"/>
        <v>MARZO 2020</v>
      </c>
      <c r="F2385" s="57" t="str">
        <f t="shared" si="1249"/>
        <v>3 MARZO 2020</v>
      </c>
      <c r="G2385" s="59">
        <v>49.95</v>
      </c>
      <c r="H2385" s="1338" t="s">
        <v>75</v>
      </c>
      <c r="I2385" s="960"/>
      <c r="J2385" s="57" t="s">
        <v>108</v>
      </c>
      <c r="K2385" s="59"/>
    </row>
    <row r="2386" spans="1:11" x14ac:dyDescent="0.25">
      <c r="A2386" s="57" t="s">
        <v>108</v>
      </c>
      <c r="B2386" s="57" t="s">
        <v>168</v>
      </c>
      <c r="C2386" s="57">
        <v>2020</v>
      </c>
      <c r="D2386" s="58">
        <f>MATCH(B2386,{"GENNAIO","FEBBRAIO","MARZO","APRILE","MAGGIO","GIUGNO","LUGLIO","AGOSTO","SETTEMBRE","OTTOBRE","NOVEMBRE","DICEMBRE"},0)</f>
        <v>3</v>
      </c>
      <c r="E2386" s="57" t="str">
        <f t="shared" si="1251"/>
        <v>MARZO 2020</v>
      </c>
      <c r="F2386" s="57" t="str">
        <f t="shared" si="1249"/>
        <v>3 MARZO 2020</v>
      </c>
      <c r="G2386" s="59">
        <v>8.4600000000000009</v>
      </c>
      <c r="H2386" s="1338" t="s">
        <v>75</v>
      </c>
      <c r="I2386" s="960"/>
      <c r="J2386" s="57" t="s">
        <v>108</v>
      </c>
      <c r="K2386" s="59"/>
    </row>
    <row r="2387" spans="1:11" x14ac:dyDescent="0.25">
      <c r="A2387" s="57" t="s">
        <v>108</v>
      </c>
      <c r="B2387" s="57" t="s">
        <v>168</v>
      </c>
      <c r="C2387" s="57">
        <v>2020</v>
      </c>
      <c r="D2387" s="58">
        <f>MATCH(B2387,{"GENNAIO","FEBBRAIO","MARZO","APRILE","MAGGIO","GIUGNO","LUGLIO","AGOSTO","SETTEMBRE","OTTOBRE","NOVEMBRE","DICEMBRE"},0)</f>
        <v>3</v>
      </c>
      <c r="E2387" s="57" t="str">
        <f t="shared" si="1251"/>
        <v>MARZO 2020</v>
      </c>
      <c r="F2387" s="57" t="str">
        <f t="shared" si="1249"/>
        <v>3 MARZO 2020</v>
      </c>
      <c r="G2387" s="59">
        <v>7.07</v>
      </c>
      <c r="H2387" s="1338" t="s">
        <v>75</v>
      </c>
      <c r="I2387" s="960"/>
      <c r="J2387" s="57" t="s">
        <v>108</v>
      </c>
      <c r="K2387" s="59"/>
    </row>
    <row r="2388" spans="1:11" x14ac:dyDescent="0.25">
      <c r="A2388" s="57" t="s">
        <v>164</v>
      </c>
      <c r="B2388" s="57" t="s">
        <v>168</v>
      </c>
      <c r="C2388" s="57">
        <v>2020</v>
      </c>
      <c r="D2388" s="58">
        <f>MATCH(B2388,{"GENNAIO","FEBBRAIO","MARZO","APRILE","MAGGIO","GIUGNO","LUGLIO","AGOSTO","SETTEMBRE","OTTOBRE","NOVEMBRE","DICEMBRE"},0)</f>
        <v>3</v>
      </c>
      <c r="E2388" s="57" t="str">
        <f t="shared" si="1251"/>
        <v>MARZO 2020</v>
      </c>
      <c r="F2388" s="57" t="str">
        <f t="shared" si="1249"/>
        <v>3 MARZO 2020</v>
      </c>
      <c r="G2388" s="59">
        <v>37.97</v>
      </c>
      <c r="H2388" s="1338" t="s">
        <v>77</v>
      </c>
      <c r="I2388" s="960"/>
      <c r="J2388" s="59"/>
      <c r="K2388" s="59"/>
    </row>
    <row r="2389" spans="1:11" x14ac:dyDescent="0.25">
      <c r="A2389" s="57" t="s">
        <v>108</v>
      </c>
      <c r="B2389" s="57" t="s">
        <v>168</v>
      </c>
      <c r="C2389" s="57">
        <v>2020</v>
      </c>
      <c r="D2389" s="58">
        <f>MATCH(B2389,{"GENNAIO","FEBBRAIO","MARZO","APRILE","MAGGIO","GIUGNO","LUGLIO","AGOSTO","SETTEMBRE","OTTOBRE","NOVEMBRE","DICEMBRE"},0)</f>
        <v>3</v>
      </c>
      <c r="E2389" s="57" t="str">
        <f t="shared" si="1251"/>
        <v>MARZO 2020</v>
      </c>
      <c r="F2389" s="57" t="str">
        <f t="shared" si="1249"/>
        <v>3 MARZO 2020</v>
      </c>
      <c r="G2389" s="59">
        <v>10.56</v>
      </c>
      <c r="H2389" s="1338" t="s">
        <v>75</v>
      </c>
      <c r="I2389" s="960"/>
      <c r="J2389" s="57" t="s">
        <v>108</v>
      </c>
      <c r="K2389" s="59"/>
    </row>
    <row r="2390" spans="1:11" x14ac:dyDescent="0.25">
      <c r="A2390" s="57" t="s">
        <v>278</v>
      </c>
      <c r="B2390" s="57" t="s">
        <v>168</v>
      </c>
      <c r="C2390" s="57">
        <v>2020</v>
      </c>
      <c r="D2390" s="58">
        <f>MATCH(B2390,{"GENNAIO","FEBBRAIO","MARZO","APRILE","MAGGIO","GIUGNO","LUGLIO","AGOSTO","SETTEMBRE","OTTOBRE","NOVEMBRE","DICEMBRE"},0)</f>
        <v>3</v>
      </c>
      <c r="E2390" s="57" t="str">
        <f t="shared" si="1251"/>
        <v>MARZO 2020</v>
      </c>
      <c r="F2390" s="57" t="str">
        <f t="shared" si="1249"/>
        <v>3 MARZO 2020</v>
      </c>
      <c r="G2390" s="59">
        <v>40</v>
      </c>
      <c r="H2390" s="1338" t="s">
        <v>114</v>
      </c>
      <c r="I2390" s="960"/>
      <c r="J2390" s="59"/>
      <c r="K2390" s="59"/>
    </row>
    <row r="2391" spans="1:11" x14ac:dyDescent="0.25">
      <c r="A2391" s="57" t="s">
        <v>202</v>
      </c>
      <c r="B2391" s="57" t="s">
        <v>168</v>
      </c>
      <c r="C2391" s="57">
        <v>2020</v>
      </c>
      <c r="D2391" s="58">
        <f>MATCH(B2391,{"GENNAIO","FEBBRAIO","MARZO","APRILE","MAGGIO","GIUGNO","LUGLIO","AGOSTO","SETTEMBRE","OTTOBRE","NOVEMBRE","DICEMBRE"},0)</f>
        <v>3</v>
      </c>
      <c r="E2391" s="57" t="str">
        <f t="shared" si="1251"/>
        <v>MARZO 2020</v>
      </c>
      <c r="F2391" s="57" t="str">
        <f t="shared" si="1249"/>
        <v>3 MARZO 2020</v>
      </c>
      <c r="G2391" s="59">
        <v>60.6</v>
      </c>
      <c r="H2391" s="1338" t="s">
        <v>137</v>
      </c>
      <c r="I2391" s="960"/>
      <c r="J2391" s="59"/>
      <c r="K2391" s="59"/>
    </row>
    <row r="2392" spans="1:11" x14ac:dyDescent="0.25">
      <c r="A2392" s="57" t="s">
        <v>218</v>
      </c>
      <c r="B2392" s="57" t="s">
        <v>168</v>
      </c>
      <c r="C2392" s="57">
        <v>2020</v>
      </c>
      <c r="D2392" s="58">
        <f>MATCH(B2392,{"GENNAIO","FEBBRAIO","MARZO","APRILE","MAGGIO","GIUGNO","LUGLIO","AGOSTO","SETTEMBRE","OTTOBRE","NOVEMBRE","DICEMBRE"},0)</f>
        <v>3</v>
      </c>
      <c r="E2392" s="57" t="str">
        <f t="shared" si="1251"/>
        <v>MARZO 2020</v>
      </c>
      <c r="F2392" s="57" t="str">
        <f t="shared" si="1249"/>
        <v>3 MARZO 2020</v>
      </c>
      <c r="G2392" s="59">
        <v>71.92</v>
      </c>
      <c r="H2392" s="1338" t="s">
        <v>137</v>
      </c>
      <c r="I2392" s="960"/>
      <c r="J2392" s="59"/>
      <c r="K2392" s="59"/>
    </row>
    <row r="2393" spans="1:11" x14ac:dyDescent="0.25">
      <c r="A2393" s="57" t="s">
        <v>349</v>
      </c>
      <c r="B2393" s="57" t="s">
        <v>176</v>
      </c>
      <c r="C2393" s="57">
        <v>2020</v>
      </c>
      <c r="D2393" s="58">
        <f>MATCH(B2393,{"GENNAIO","FEBBRAIO","MARZO","APRILE","MAGGIO","GIUGNO","LUGLIO","AGOSTO","SETTEMBRE","OTTOBRE","NOVEMBRE","DICEMBRE"},0)</f>
        <v>2</v>
      </c>
      <c r="E2393" s="57" t="str">
        <f t="shared" si="1251"/>
        <v>FEBBRAIO 2020</v>
      </c>
      <c r="F2393" s="57" t="str">
        <f t="shared" si="1249"/>
        <v>2 FEBBRAIO 2020</v>
      </c>
      <c r="G2393" s="59">
        <v>9.99</v>
      </c>
      <c r="H2393" s="1338" t="s">
        <v>174</v>
      </c>
      <c r="I2393" s="960"/>
      <c r="J2393" s="59"/>
      <c r="K2393" s="59"/>
    </row>
    <row r="2394" spans="1:11" ht="16.5" customHeight="1" x14ac:dyDescent="0.25">
      <c r="A2394" s="57" t="s">
        <v>278</v>
      </c>
      <c r="B2394" s="57" t="s">
        <v>176</v>
      </c>
      <c r="C2394" s="57">
        <v>2020</v>
      </c>
      <c r="D2394" s="58">
        <f>MATCH(B2394,{"GENNAIO","FEBBRAIO","MARZO","APRILE","MAGGIO","GIUGNO","LUGLIO","AGOSTO","SETTEMBRE","OTTOBRE","NOVEMBRE","DICEMBRE"},0)</f>
        <v>2</v>
      </c>
      <c r="E2394" s="57" t="str">
        <f t="shared" si="1251"/>
        <v>FEBBRAIO 2020</v>
      </c>
      <c r="F2394" s="57" t="str">
        <f t="shared" ref="F2394:F2457" si="1252">CONCATENATE(D2394," ",E2394)</f>
        <v>2 FEBBRAIO 2020</v>
      </c>
      <c r="G2394" s="59">
        <v>50</v>
      </c>
      <c r="H2394" s="1338" t="s">
        <v>114</v>
      </c>
      <c r="I2394" s="960"/>
      <c r="J2394" s="59"/>
      <c r="K2394" s="59"/>
    </row>
    <row r="2395" spans="1:11" ht="16.5" customHeight="1" x14ac:dyDescent="0.25">
      <c r="A2395" s="57" t="s">
        <v>108</v>
      </c>
      <c r="B2395" s="57" t="s">
        <v>176</v>
      </c>
      <c r="C2395" s="57">
        <v>2020</v>
      </c>
      <c r="D2395" s="58">
        <f>MATCH(B2395,{"GENNAIO","FEBBRAIO","MARZO","APRILE","MAGGIO","GIUGNO","LUGLIO","AGOSTO","SETTEMBRE","OTTOBRE","NOVEMBRE","DICEMBRE"},0)</f>
        <v>2</v>
      </c>
      <c r="E2395" s="57" t="str">
        <f t="shared" si="1251"/>
        <v>FEBBRAIO 2020</v>
      </c>
      <c r="F2395" s="57" t="str">
        <f t="shared" si="1252"/>
        <v>2 FEBBRAIO 2020</v>
      </c>
      <c r="G2395" s="59">
        <v>27.9</v>
      </c>
      <c r="H2395" s="1338" t="s">
        <v>75</v>
      </c>
      <c r="I2395" s="960"/>
      <c r="J2395" s="57" t="s">
        <v>108</v>
      </c>
      <c r="K2395" s="59"/>
    </row>
    <row r="2396" spans="1:11" ht="16.5" customHeight="1" x14ac:dyDescent="0.25">
      <c r="A2396" s="57" t="s">
        <v>171</v>
      </c>
      <c r="B2396" s="57" t="s">
        <v>176</v>
      </c>
      <c r="C2396" s="57">
        <v>2020</v>
      </c>
      <c r="D2396" s="58">
        <f>MATCH(B2396,{"GENNAIO","FEBBRAIO","MARZO","APRILE","MAGGIO","GIUGNO","LUGLIO","AGOSTO","SETTEMBRE","OTTOBRE","NOVEMBRE","DICEMBRE"},0)</f>
        <v>2</v>
      </c>
      <c r="E2396" s="57" t="str">
        <f t="shared" si="1251"/>
        <v>FEBBRAIO 2020</v>
      </c>
      <c r="F2396" s="57" t="str">
        <f t="shared" si="1252"/>
        <v>2 FEBBRAIO 2020</v>
      </c>
      <c r="G2396" s="59">
        <v>7.95</v>
      </c>
      <c r="H2396" s="1338" t="s">
        <v>81</v>
      </c>
      <c r="I2396" s="960"/>
      <c r="J2396" s="59"/>
      <c r="K2396" s="59"/>
    </row>
    <row r="2397" spans="1:11" ht="16.5" customHeight="1" x14ac:dyDescent="0.25">
      <c r="A2397" s="57" t="s">
        <v>164</v>
      </c>
      <c r="B2397" s="57" t="s">
        <v>176</v>
      </c>
      <c r="C2397" s="57">
        <v>2020</v>
      </c>
      <c r="D2397" s="58">
        <f>MATCH(B2397,{"GENNAIO","FEBBRAIO","MARZO","APRILE","MAGGIO","GIUGNO","LUGLIO","AGOSTO","SETTEMBRE","OTTOBRE","NOVEMBRE","DICEMBRE"},0)</f>
        <v>2</v>
      </c>
      <c r="E2397" s="57" t="str">
        <f t="shared" si="1251"/>
        <v>FEBBRAIO 2020</v>
      </c>
      <c r="F2397" s="57" t="str">
        <f t="shared" si="1252"/>
        <v>2 FEBBRAIO 2020</v>
      </c>
      <c r="G2397" s="59">
        <v>32.97</v>
      </c>
      <c r="H2397" s="1338" t="s">
        <v>77</v>
      </c>
      <c r="I2397" s="960"/>
      <c r="J2397" s="59"/>
      <c r="K2397" s="59"/>
    </row>
    <row r="2398" spans="1:11" ht="16.5" customHeight="1" x14ac:dyDescent="0.25">
      <c r="A2398" s="57" t="s">
        <v>164</v>
      </c>
      <c r="B2398" s="57" t="s">
        <v>176</v>
      </c>
      <c r="C2398" s="57">
        <v>2020</v>
      </c>
      <c r="D2398" s="58">
        <f>MATCH(B2398,{"GENNAIO","FEBBRAIO","MARZO","APRILE","MAGGIO","GIUGNO","LUGLIO","AGOSTO","SETTEMBRE","OTTOBRE","NOVEMBRE","DICEMBRE"},0)</f>
        <v>2</v>
      </c>
      <c r="E2398" s="57" t="str">
        <f t="shared" si="1251"/>
        <v>FEBBRAIO 2020</v>
      </c>
      <c r="F2398" s="57" t="str">
        <f t="shared" si="1252"/>
        <v>2 FEBBRAIO 2020</v>
      </c>
      <c r="G2398" s="59">
        <v>50.24</v>
      </c>
      <c r="H2398" s="1338" t="s">
        <v>77</v>
      </c>
      <c r="I2398" s="960"/>
      <c r="J2398" s="59"/>
      <c r="K2398" s="59"/>
    </row>
    <row r="2399" spans="1:11" ht="16.5" customHeight="1" x14ac:dyDescent="0.25">
      <c r="A2399" s="57" t="s">
        <v>108</v>
      </c>
      <c r="B2399" s="57" t="s">
        <v>176</v>
      </c>
      <c r="C2399" s="57">
        <v>2020</v>
      </c>
      <c r="D2399" s="58">
        <f>MATCH(B2399,{"GENNAIO","FEBBRAIO","MARZO","APRILE","MAGGIO","GIUGNO","LUGLIO","AGOSTO","SETTEMBRE","OTTOBRE","NOVEMBRE","DICEMBRE"},0)</f>
        <v>2</v>
      </c>
      <c r="E2399" s="57" t="str">
        <f t="shared" si="1251"/>
        <v>FEBBRAIO 2020</v>
      </c>
      <c r="F2399" s="57" t="str">
        <f t="shared" si="1252"/>
        <v>2 FEBBRAIO 2020</v>
      </c>
      <c r="G2399" s="59">
        <v>29.73</v>
      </c>
      <c r="H2399" s="1338" t="s">
        <v>75</v>
      </c>
      <c r="I2399" s="960"/>
      <c r="J2399" s="57" t="s">
        <v>108</v>
      </c>
      <c r="K2399" s="59"/>
    </row>
    <row r="2400" spans="1:11" ht="16.5" customHeight="1" x14ac:dyDescent="0.25">
      <c r="A2400" s="57" t="s">
        <v>108</v>
      </c>
      <c r="B2400" s="57" t="s">
        <v>176</v>
      </c>
      <c r="C2400" s="57">
        <v>2020</v>
      </c>
      <c r="D2400" s="58">
        <f>MATCH(B2400,{"GENNAIO","FEBBRAIO","MARZO","APRILE","MAGGIO","GIUGNO","LUGLIO","AGOSTO","SETTEMBRE","OTTOBRE","NOVEMBRE","DICEMBRE"},0)</f>
        <v>2</v>
      </c>
      <c r="E2400" s="57" t="str">
        <f t="shared" si="1251"/>
        <v>FEBBRAIO 2020</v>
      </c>
      <c r="F2400" s="57" t="str">
        <f t="shared" si="1252"/>
        <v>2 FEBBRAIO 2020</v>
      </c>
      <c r="G2400" s="59">
        <v>51.89</v>
      </c>
      <c r="H2400" s="1338" t="s">
        <v>75</v>
      </c>
      <c r="I2400" s="960"/>
      <c r="J2400" s="57" t="s">
        <v>108</v>
      </c>
      <c r="K2400" s="59"/>
    </row>
    <row r="2401" spans="1:11" ht="16.5" customHeight="1" x14ac:dyDescent="0.25">
      <c r="A2401" s="57" t="s">
        <v>164</v>
      </c>
      <c r="B2401" s="57" t="s">
        <v>176</v>
      </c>
      <c r="C2401" s="57">
        <v>2020</v>
      </c>
      <c r="D2401" s="58">
        <f>MATCH(B2401,{"GENNAIO","FEBBRAIO","MARZO","APRILE","MAGGIO","GIUGNO","LUGLIO","AGOSTO","SETTEMBRE","OTTOBRE","NOVEMBRE","DICEMBRE"},0)</f>
        <v>2</v>
      </c>
      <c r="E2401" s="57" t="str">
        <f t="shared" si="1251"/>
        <v>FEBBRAIO 2020</v>
      </c>
      <c r="F2401" s="57" t="str">
        <f t="shared" si="1252"/>
        <v>2 FEBBRAIO 2020</v>
      </c>
      <c r="G2401" s="59">
        <v>2.4900000000000002</v>
      </c>
      <c r="H2401" s="1338" t="s">
        <v>77</v>
      </c>
      <c r="I2401" s="960"/>
      <c r="J2401" s="59"/>
      <c r="K2401" s="59"/>
    </row>
    <row r="2402" spans="1:11" ht="16.5" customHeight="1" x14ac:dyDescent="0.25">
      <c r="A2402" s="57" t="s">
        <v>164</v>
      </c>
      <c r="B2402" s="57" t="s">
        <v>176</v>
      </c>
      <c r="C2402" s="57">
        <v>2020</v>
      </c>
      <c r="D2402" s="58">
        <f>MATCH(B2402,{"GENNAIO","FEBBRAIO","MARZO","APRILE","MAGGIO","GIUGNO","LUGLIO","AGOSTO","SETTEMBRE","OTTOBRE","NOVEMBRE","DICEMBRE"},0)</f>
        <v>2</v>
      </c>
      <c r="E2402" s="57" t="str">
        <f t="shared" ref="E2402:E2433" si="1253">CONCATENATE(,B2402," ",C2402)</f>
        <v>FEBBRAIO 2020</v>
      </c>
      <c r="F2402" s="57" t="str">
        <f t="shared" si="1252"/>
        <v>2 FEBBRAIO 2020</v>
      </c>
      <c r="G2402" s="59">
        <v>5.89</v>
      </c>
      <c r="H2402" s="1338" t="s">
        <v>77</v>
      </c>
      <c r="I2402" s="960"/>
      <c r="J2402" s="59"/>
      <c r="K2402" s="59"/>
    </row>
    <row r="2403" spans="1:11" ht="16.5" customHeight="1" x14ac:dyDescent="0.25">
      <c r="A2403" s="57" t="s">
        <v>350</v>
      </c>
      <c r="B2403" s="57" t="s">
        <v>176</v>
      </c>
      <c r="C2403" s="57">
        <v>2020</v>
      </c>
      <c r="D2403" s="58">
        <f>MATCH(B2403,{"GENNAIO","FEBBRAIO","MARZO","APRILE","MAGGIO","GIUGNO","LUGLIO","AGOSTO","SETTEMBRE","OTTOBRE","NOVEMBRE","DICEMBRE"},0)</f>
        <v>2</v>
      </c>
      <c r="E2403" s="57" t="str">
        <f t="shared" si="1253"/>
        <v>FEBBRAIO 2020</v>
      </c>
      <c r="F2403" s="57" t="str">
        <f t="shared" si="1252"/>
        <v>2 FEBBRAIO 2020</v>
      </c>
      <c r="G2403" s="59">
        <v>201.68</v>
      </c>
      <c r="H2403" s="1338" t="s">
        <v>75</v>
      </c>
      <c r="I2403" s="960"/>
      <c r="J2403" s="59"/>
      <c r="K2403" s="59"/>
    </row>
    <row r="2404" spans="1:11" ht="16.5" customHeight="1" x14ac:dyDescent="0.25">
      <c r="A2404" s="57" t="s">
        <v>164</v>
      </c>
      <c r="B2404" s="57" t="s">
        <v>176</v>
      </c>
      <c r="C2404" s="57">
        <v>2020</v>
      </c>
      <c r="D2404" s="58">
        <f>MATCH(B2404,{"GENNAIO","FEBBRAIO","MARZO","APRILE","MAGGIO","GIUGNO","LUGLIO","AGOSTO","SETTEMBRE","OTTOBRE","NOVEMBRE","DICEMBRE"},0)</f>
        <v>2</v>
      </c>
      <c r="E2404" s="57" t="str">
        <f t="shared" si="1253"/>
        <v>FEBBRAIO 2020</v>
      </c>
      <c r="F2404" s="57" t="str">
        <f t="shared" si="1252"/>
        <v>2 FEBBRAIO 2020</v>
      </c>
      <c r="G2404" s="59">
        <v>2.4900000000000002</v>
      </c>
      <c r="H2404" s="1338" t="s">
        <v>77</v>
      </c>
      <c r="I2404" s="960"/>
      <c r="J2404" s="59"/>
      <c r="K2404" s="59"/>
    </row>
    <row r="2405" spans="1:11" x14ac:dyDescent="0.25">
      <c r="A2405" s="57" t="s">
        <v>164</v>
      </c>
      <c r="B2405" s="57" t="s">
        <v>176</v>
      </c>
      <c r="C2405" s="57">
        <v>2020</v>
      </c>
      <c r="D2405" s="58">
        <f>MATCH(B2405,{"GENNAIO","FEBBRAIO","MARZO","APRILE","MAGGIO","GIUGNO","LUGLIO","AGOSTO","SETTEMBRE","OTTOBRE","NOVEMBRE","DICEMBRE"},0)</f>
        <v>2</v>
      </c>
      <c r="E2405" s="57" t="str">
        <f t="shared" si="1253"/>
        <v>FEBBRAIO 2020</v>
      </c>
      <c r="F2405" s="57" t="str">
        <f t="shared" si="1252"/>
        <v>2 FEBBRAIO 2020</v>
      </c>
      <c r="G2405" s="59">
        <v>45.21</v>
      </c>
      <c r="H2405" s="1338" t="s">
        <v>77</v>
      </c>
      <c r="I2405" s="960"/>
      <c r="J2405" s="59"/>
      <c r="K2405" s="59"/>
    </row>
    <row r="2406" spans="1:11" x14ac:dyDescent="0.25">
      <c r="A2406" s="57" t="s">
        <v>232</v>
      </c>
      <c r="B2406" s="57" t="s">
        <v>183</v>
      </c>
      <c r="C2406" s="57">
        <v>2020</v>
      </c>
      <c r="D2406" s="58">
        <f>MATCH(B2406,{"GENNAIO","FEBBRAIO","MARZO","APRILE","MAGGIO","GIUGNO","LUGLIO","AGOSTO","SETTEMBRE","OTTOBRE","NOVEMBRE","DICEMBRE"},0)</f>
        <v>1</v>
      </c>
      <c r="E2406" s="57" t="str">
        <f t="shared" si="1253"/>
        <v>GENNAIO 2020</v>
      </c>
      <c r="F2406" s="57" t="str">
        <f t="shared" si="1252"/>
        <v>1 GENNAIO 2020</v>
      </c>
      <c r="G2406" s="59">
        <v>2.5</v>
      </c>
      <c r="H2406" s="1338" t="s">
        <v>91</v>
      </c>
      <c r="I2406" s="960"/>
      <c r="J2406" s="59"/>
      <c r="K2406" s="59"/>
    </row>
    <row r="2407" spans="1:11" x14ac:dyDescent="0.25">
      <c r="A2407" s="57" t="s">
        <v>351</v>
      </c>
      <c r="B2407" s="57" t="s">
        <v>183</v>
      </c>
      <c r="C2407" s="57">
        <v>2020</v>
      </c>
      <c r="D2407" s="58">
        <f>MATCH(B2407,{"GENNAIO","FEBBRAIO","MARZO","APRILE","MAGGIO","GIUGNO","LUGLIO","AGOSTO","SETTEMBRE","OTTOBRE","NOVEMBRE","DICEMBRE"},0)</f>
        <v>1</v>
      </c>
      <c r="E2407" s="57" t="str">
        <f t="shared" si="1253"/>
        <v>GENNAIO 2020</v>
      </c>
      <c r="F2407" s="57" t="str">
        <f t="shared" si="1252"/>
        <v>1 GENNAIO 2020</v>
      </c>
      <c r="G2407" s="59">
        <v>42</v>
      </c>
      <c r="H2407" s="1338" t="s">
        <v>137</v>
      </c>
      <c r="I2407" s="960"/>
      <c r="J2407" s="59"/>
      <c r="K2407" s="59"/>
    </row>
    <row r="2408" spans="1:11" x14ac:dyDescent="0.25">
      <c r="A2408" s="57" t="s">
        <v>352</v>
      </c>
      <c r="B2408" s="57" t="s">
        <v>183</v>
      </c>
      <c r="C2408" s="57">
        <v>2020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253"/>
        <v>GENNAIO 2020</v>
      </c>
      <c r="F2408" s="57" t="str">
        <f t="shared" si="1252"/>
        <v>1 GENNAIO 2020</v>
      </c>
      <c r="G2408" s="59">
        <v>9</v>
      </c>
      <c r="H2408" s="1338" t="s">
        <v>91</v>
      </c>
      <c r="I2408" s="960"/>
      <c r="J2408" s="59"/>
      <c r="K2408" s="59"/>
    </row>
    <row r="2409" spans="1:11" x14ac:dyDescent="0.25">
      <c r="A2409" s="57" t="s">
        <v>108</v>
      </c>
      <c r="B2409" s="57" t="s">
        <v>183</v>
      </c>
      <c r="C2409" s="57">
        <v>2020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253"/>
        <v>GENNAIO 2020</v>
      </c>
      <c r="F2409" s="57" t="str">
        <f t="shared" si="1252"/>
        <v>1 GENNAIO 2020</v>
      </c>
      <c r="G2409" s="59">
        <v>19.899999999999999</v>
      </c>
      <c r="H2409" s="1338" t="s">
        <v>75</v>
      </c>
      <c r="I2409" s="960"/>
      <c r="J2409" s="57" t="s">
        <v>108</v>
      </c>
      <c r="K2409" s="59"/>
    </row>
    <row r="2410" spans="1:11" x14ac:dyDescent="0.25">
      <c r="A2410" s="57" t="s">
        <v>79</v>
      </c>
      <c r="B2410" s="57" t="s">
        <v>183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53"/>
        <v>GENNAIO 2020</v>
      </c>
      <c r="F2410" s="57" t="str">
        <f t="shared" si="1252"/>
        <v>1 GENNAIO 2020</v>
      </c>
      <c r="G2410" s="59">
        <v>15.09</v>
      </c>
      <c r="H2410" s="1338" t="s">
        <v>155</v>
      </c>
      <c r="I2410" s="960"/>
      <c r="J2410" s="59"/>
      <c r="K2410" s="59"/>
    </row>
    <row r="2411" spans="1:11" x14ac:dyDescent="0.25">
      <c r="A2411" s="57" t="s">
        <v>108</v>
      </c>
      <c r="B2411" s="57" t="s">
        <v>183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53"/>
        <v>GENNAIO 2020</v>
      </c>
      <c r="F2411" s="57" t="str">
        <f t="shared" si="1252"/>
        <v>1 GENNAIO 2020</v>
      </c>
      <c r="G2411" s="59">
        <v>21.04</v>
      </c>
      <c r="H2411" s="1338" t="s">
        <v>75</v>
      </c>
      <c r="I2411" s="960"/>
      <c r="J2411" s="57" t="s">
        <v>108</v>
      </c>
      <c r="K2411" s="59"/>
    </row>
    <row r="2412" spans="1:11" x14ac:dyDescent="0.25">
      <c r="A2412" s="57" t="s">
        <v>108</v>
      </c>
      <c r="B2412" s="57" t="s">
        <v>183</v>
      </c>
      <c r="C2412" s="57">
        <v>2020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253"/>
        <v>GENNAIO 2020</v>
      </c>
      <c r="F2412" s="57" t="str">
        <f t="shared" si="1252"/>
        <v>1 GENNAIO 2020</v>
      </c>
      <c r="G2412" s="59">
        <v>11.68</v>
      </c>
      <c r="H2412" s="1338" t="s">
        <v>75</v>
      </c>
      <c r="I2412" s="960"/>
      <c r="J2412" s="57" t="s">
        <v>108</v>
      </c>
      <c r="K2412" s="59"/>
    </row>
    <row r="2413" spans="1:11" x14ac:dyDescent="0.25">
      <c r="A2413" s="57" t="s">
        <v>333</v>
      </c>
      <c r="B2413" s="57" t="s">
        <v>183</v>
      </c>
      <c r="C2413" s="57">
        <v>2020</v>
      </c>
      <c r="D2413" s="58">
        <f>MATCH(B2413,{"GENNAIO","FEBBRAIO","MARZO","APRILE","MAGGIO","GIUGNO","LUGLIO","AGOSTO","SETTEMBRE","OTTOBRE","NOVEMBRE","DICEMBRE"},0)</f>
        <v>1</v>
      </c>
      <c r="E2413" s="57" t="str">
        <f t="shared" si="1253"/>
        <v>GENNAIO 2020</v>
      </c>
      <c r="F2413" s="57" t="str">
        <f t="shared" si="1252"/>
        <v>1 GENNAIO 2020</v>
      </c>
      <c r="G2413" s="59">
        <v>9.99</v>
      </c>
      <c r="H2413" s="1338" t="s">
        <v>185</v>
      </c>
      <c r="I2413" s="960"/>
      <c r="J2413" s="59"/>
      <c r="K2413" s="59"/>
    </row>
    <row r="2414" spans="1:11" x14ac:dyDescent="0.25">
      <c r="A2414" s="57" t="s">
        <v>108</v>
      </c>
      <c r="B2414" s="57" t="s">
        <v>183</v>
      </c>
      <c r="C2414" s="57">
        <v>2020</v>
      </c>
      <c r="D2414" s="58">
        <f>MATCH(B2414,{"GENNAIO","FEBBRAIO","MARZO","APRILE","MAGGIO","GIUGNO","LUGLIO","AGOSTO","SETTEMBRE","OTTOBRE","NOVEMBRE","DICEMBRE"},0)</f>
        <v>1</v>
      </c>
      <c r="E2414" s="57" t="str">
        <f t="shared" si="1253"/>
        <v>GENNAIO 2020</v>
      </c>
      <c r="F2414" s="57" t="str">
        <f t="shared" si="1252"/>
        <v>1 GENNAIO 2020</v>
      </c>
      <c r="G2414" s="59">
        <v>22.82</v>
      </c>
      <c r="H2414" s="1338" t="s">
        <v>75</v>
      </c>
      <c r="I2414" s="960"/>
      <c r="J2414" s="57" t="s">
        <v>108</v>
      </c>
      <c r="K2414" s="59"/>
    </row>
    <row r="2415" spans="1:11" x14ac:dyDescent="0.25">
      <c r="A2415" s="57" t="s">
        <v>171</v>
      </c>
      <c r="B2415" s="57" t="s">
        <v>183</v>
      </c>
      <c r="C2415" s="57">
        <v>2020</v>
      </c>
      <c r="D2415" s="58">
        <f>MATCH(B2415,{"GENNAIO","FEBBRAIO","MARZO","APRILE","MAGGIO","GIUGNO","LUGLIO","AGOSTO","SETTEMBRE","OTTOBRE","NOVEMBRE","DICEMBRE"},0)</f>
        <v>1</v>
      </c>
      <c r="E2415" s="57" t="str">
        <f t="shared" si="1253"/>
        <v>GENNAIO 2020</v>
      </c>
      <c r="F2415" s="57" t="str">
        <f t="shared" si="1252"/>
        <v>1 GENNAIO 2020</v>
      </c>
      <c r="G2415" s="59">
        <v>32</v>
      </c>
      <c r="H2415" s="1338" t="s">
        <v>81</v>
      </c>
      <c r="I2415" s="960"/>
      <c r="J2415" s="59"/>
      <c r="K2415" s="59"/>
    </row>
    <row r="2416" spans="1:11" x14ac:dyDescent="0.25">
      <c r="A2416" s="57" t="s">
        <v>164</v>
      </c>
      <c r="B2416" s="57" t="s">
        <v>183</v>
      </c>
      <c r="C2416" s="57">
        <v>2020</v>
      </c>
      <c r="D2416" s="58">
        <f>MATCH(B2416,{"GENNAIO","FEBBRAIO","MARZO","APRILE","MAGGIO","GIUGNO","LUGLIO","AGOSTO","SETTEMBRE","OTTOBRE","NOVEMBRE","DICEMBRE"},0)</f>
        <v>1</v>
      </c>
      <c r="E2416" s="57" t="str">
        <f t="shared" si="1253"/>
        <v>GENNAIO 2020</v>
      </c>
      <c r="F2416" s="57" t="str">
        <f t="shared" si="1252"/>
        <v>1 GENNAIO 2020</v>
      </c>
      <c r="G2416" s="59">
        <v>28.39</v>
      </c>
      <c r="H2416" s="1338" t="s">
        <v>77</v>
      </c>
      <c r="I2416" s="960"/>
      <c r="J2416" s="59"/>
      <c r="K2416" s="59"/>
    </row>
    <row r="2417" spans="1:11" x14ac:dyDescent="0.25">
      <c r="A2417" s="57" t="s">
        <v>329</v>
      </c>
      <c r="B2417" s="57" t="s">
        <v>183</v>
      </c>
      <c r="C2417" s="57">
        <v>2020</v>
      </c>
      <c r="D2417" s="58">
        <f>MATCH(B2417,{"GENNAIO","FEBBRAIO","MARZO","APRILE","MAGGIO","GIUGNO","LUGLIO","AGOSTO","SETTEMBRE","OTTOBRE","NOVEMBRE","DICEMBRE"},0)</f>
        <v>1</v>
      </c>
      <c r="E2417" s="57" t="str">
        <f t="shared" si="1253"/>
        <v>GENNAIO 2020</v>
      </c>
      <c r="F2417" s="57" t="str">
        <f t="shared" si="1252"/>
        <v>1 GENNAIO 2020</v>
      </c>
      <c r="G2417" s="59">
        <v>38.5</v>
      </c>
      <c r="H2417" s="1338" t="s">
        <v>137</v>
      </c>
      <c r="I2417" s="960"/>
      <c r="J2417" s="59"/>
      <c r="K2417" s="59"/>
    </row>
    <row r="2418" spans="1:11" x14ac:dyDescent="0.25">
      <c r="A2418" s="57" t="s">
        <v>164</v>
      </c>
      <c r="B2418" s="57" t="s">
        <v>183</v>
      </c>
      <c r="C2418" s="57">
        <v>2020</v>
      </c>
      <c r="D2418" s="58">
        <f>MATCH(B2418,{"GENNAIO","FEBBRAIO","MARZO","APRILE","MAGGIO","GIUGNO","LUGLIO","AGOSTO","SETTEMBRE","OTTOBRE","NOVEMBRE","DICEMBRE"},0)</f>
        <v>1</v>
      </c>
      <c r="E2418" s="57" t="str">
        <f t="shared" si="1253"/>
        <v>GENNAIO 2020</v>
      </c>
      <c r="F2418" s="57" t="str">
        <f t="shared" si="1252"/>
        <v>1 GENNAIO 2020</v>
      </c>
      <c r="G2418" s="59">
        <v>47.28</v>
      </c>
      <c r="H2418" s="1338" t="s">
        <v>77</v>
      </c>
      <c r="I2418" s="960"/>
      <c r="J2418" s="59"/>
      <c r="K2418" s="59"/>
    </row>
    <row r="2419" spans="1:11" x14ac:dyDescent="0.25">
      <c r="A2419" s="57" t="s">
        <v>329</v>
      </c>
      <c r="B2419" s="57" t="s">
        <v>183</v>
      </c>
      <c r="C2419" s="57">
        <v>2020</v>
      </c>
      <c r="D2419" s="58">
        <f>MATCH(B2419,{"GENNAIO","FEBBRAIO","MARZO","APRILE","MAGGIO","GIUGNO","LUGLIO","AGOSTO","SETTEMBRE","OTTOBRE","NOVEMBRE","DICEMBRE"},0)</f>
        <v>1</v>
      </c>
      <c r="E2419" s="57" t="str">
        <f t="shared" si="1253"/>
        <v>GENNAIO 2020</v>
      </c>
      <c r="F2419" s="57" t="str">
        <f t="shared" si="1252"/>
        <v>1 GENNAIO 2020</v>
      </c>
      <c r="G2419" s="59">
        <v>31.5</v>
      </c>
      <c r="H2419" s="1338" t="s">
        <v>137</v>
      </c>
      <c r="I2419" s="960"/>
      <c r="J2419" s="59"/>
      <c r="K2419" s="59"/>
    </row>
    <row r="2420" spans="1:11" x14ac:dyDescent="0.25">
      <c r="A2420" s="57" t="s">
        <v>353</v>
      </c>
      <c r="B2420" s="57" t="s">
        <v>183</v>
      </c>
      <c r="C2420" s="57">
        <v>2020</v>
      </c>
      <c r="D2420" s="58">
        <f>MATCH(B2420,{"GENNAIO","FEBBRAIO","MARZO","APRILE","MAGGIO","GIUGNO","LUGLIO","AGOSTO","SETTEMBRE","OTTOBRE","NOVEMBRE","DICEMBRE"},0)</f>
        <v>1</v>
      </c>
      <c r="E2420" s="57" t="str">
        <f t="shared" si="1253"/>
        <v>GENNAIO 2020</v>
      </c>
      <c r="F2420" s="57" t="str">
        <f t="shared" si="1252"/>
        <v>1 GENNAIO 2020</v>
      </c>
      <c r="G2420" s="59">
        <v>15</v>
      </c>
      <c r="H2420" s="1338" t="s">
        <v>91</v>
      </c>
      <c r="I2420" s="960"/>
      <c r="J2420" s="59"/>
      <c r="K2420" s="59"/>
    </row>
    <row r="2421" spans="1:11" x14ac:dyDescent="0.25">
      <c r="A2421" s="57" t="s">
        <v>171</v>
      </c>
      <c r="B2421" s="57" t="s">
        <v>183</v>
      </c>
      <c r="C2421" s="57">
        <v>2020</v>
      </c>
      <c r="D2421" s="58">
        <f>MATCH(B2421,{"GENNAIO","FEBBRAIO","MARZO","APRILE","MAGGIO","GIUGNO","LUGLIO","AGOSTO","SETTEMBRE","OTTOBRE","NOVEMBRE","DICEMBRE"},0)</f>
        <v>1</v>
      </c>
      <c r="E2421" s="57" t="str">
        <f t="shared" si="1253"/>
        <v>GENNAIO 2020</v>
      </c>
      <c r="F2421" s="57" t="str">
        <f t="shared" si="1252"/>
        <v>1 GENNAIO 2020</v>
      </c>
      <c r="G2421" s="59">
        <v>8.4499999999999993</v>
      </c>
      <c r="H2421" s="1338" t="s">
        <v>81</v>
      </c>
      <c r="I2421" s="960"/>
      <c r="J2421" s="59"/>
      <c r="K2421" s="59"/>
    </row>
    <row r="2422" spans="1:11" x14ac:dyDescent="0.25">
      <c r="A2422" s="57" t="s">
        <v>136</v>
      </c>
      <c r="B2422" s="57" t="s">
        <v>183</v>
      </c>
      <c r="C2422" s="57">
        <v>2020</v>
      </c>
      <c r="D2422" s="58">
        <f>MATCH(B2422,{"GENNAIO","FEBBRAIO","MARZO","APRILE","MAGGIO","GIUGNO","LUGLIO","AGOSTO","SETTEMBRE","OTTOBRE","NOVEMBRE","DICEMBRE"},0)</f>
        <v>1</v>
      </c>
      <c r="E2422" s="57" t="str">
        <f t="shared" si="1253"/>
        <v>GENNAIO 2020</v>
      </c>
      <c r="F2422" s="57" t="str">
        <f t="shared" si="1252"/>
        <v>1 GENNAIO 2020</v>
      </c>
      <c r="G2422" s="59">
        <v>153.86000000000001</v>
      </c>
      <c r="H2422" s="1338" t="s">
        <v>137</v>
      </c>
      <c r="I2422" s="960"/>
      <c r="J2422" s="59"/>
      <c r="K2422" s="59"/>
    </row>
    <row r="2423" spans="1:11" x14ac:dyDescent="0.25">
      <c r="A2423" s="57" t="s">
        <v>351</v>
      </c>
      <c r="B2423" s="57" t="s">
        <v>188</v>
      </c>
      <c r="C2423" s="57">
        <v>2019</v>
      </c>
      <c r="D2423" s="58">
        <f>MATCH(B2423,{"GENNAIO","FEBBRAIO","MARZO","APRILE","MAGGIO","GIUGNO","LUGLIO","AGOSTO","SETTEMBRE","OTTOBRE","NOVEMBRE","DICEMBRE"},0)</f>
        <v>12</v>
      </c>
      <c r="E2423" s="57" t="str">
        <f t="shared" si="1253"/>
        <v>DICEMBRE 2019</v>
      </c>
      <c r="F2423" s="57" t="str">
        <f t="shared" si="1252"/>
        <v>12 DICEMBRE 2019</v>
      </c>
      <c r="G2423" s="59">
        <v>55.5</v>
      </c>
      <c r="H2423" s="1338" t="s">
        <v>137</v>
      </c>
      <c r="I2423" s="960"/>
      <c r="J2423" s="59"/>
      <c r="K2423" s="59"/>
    </row>
    <row r="2424" spans="1:11" x14ac:dyDescent="0.25">
      <c r="A2424" s="57" t="s">
        <v>354</v>
      </c>
      <c r="B2424" s="57" t="s">
        <v>188</v>
      </c>
      <c r="C2424" s="57">
        <v>2019</v>
      </c>
      <c r="D2424" s="58">
        <f>MATCH(B2424,{"GENNAIO","FEBBRAIO","MARZO","APRILE","MAGGIO","GIUGNO","LUGLIO","AGOSTO","SETTEMBRE","OTTOBRE","NOVEMBRE","DICEMBRE"},0)</f>
        <v>12</v>
      </c>
      <c r="E2424" s="57" t="str">
        <f t="shared" si="1253"/>
        <v>DICEMBRE 2019</v>
      </c>
      <c r="F2424" s="57" t="str">
        <f t="shared" si="1252"/>
        <v>12 DICEMBRE 2019</v>
      </c>
      <c r="G2424" s="59">
        <v>74.959999999999994</v>
      </c>
      <c r="H2424" s="1338" t="s">
        <v>231</v>
      </c>
      <c r="I2424" s="960"/>
      <c r="J2424" s="59"/>
      <c r="K2424" s="59"/>
    </row>
    <row r="2425" spans="1:11" x14ac:dyDescent="0.25">
      <c r="A2425" s="57" t="s">
        <v>164</v>
      </c>
      <c r="B2425" s="57" t="s">
        <v>188</v>
      </c>
      <c r="C2425" s="57">
        <v>2019</v>
      </c>
      <c r="D2425" s="58">
        <f>MATCH(B2425,{"GENNAIO","FEBBRAIO","MARZO","APRILE","MAGGIO","GIUGNO","LUGLIO","AGOSTO","SETTEMBRE","OTTOBRE","NOVEMBRE","DICEMBRE"},0)</f>
        <v>12</v>
      </c>
      <c r="E2425" s="57" t="str">
        <f t="shared" si="1253"/>
        <v>DICEMBRE 2019</v>
      </c>
      <c r="F2425" s="57" t="str">
        <f t="shared" si="1252"/>
        <v>12 DICEMBRE 2019</v>
      </c>
      <c r="G2425" s="59">
        <v>36.19</v>
      </c>
      <c r="H2425" s="1338" t="s">
        <v>77</v>
      </c>
      <c r="I2425" s="960"/>
      <c r="J2425" s="59"/>
      <c r="K2425" s="59"/>
    </row>
    <row r="2426" spans="1:11" x14ac:dyDescent="0.25">
      <c r="A2426" s="57" t="s">
        <v>190</v>
      </c>
      <c r="B2426" s="57" t="s">
        <v>188</v>
      </c>
      <c r="C2426" s="57">
        <v>2019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253"/>
        <v>DICEMBRE 2019</v>
      </c>
      <c r="F2426" s="57" t="str">
        <f t="shared" si="1252"/>
        <v>12 DICEMBRE 2019</v>
      </c>
      <c r="G2426" s="59">
        <v>12.9</v>
      </c>
      <c r="H2426" s="1338" t="s">
        <v>191</v>
      </c>
      <c r="I2426" s="960"/>
      <c r="J2426" s="59"/>
      <c r="K2426" s="59"/>
    </row>
    <row r="2427" spans="1:11" x14ac:dyDescent="0.25">
      <c r="A2427" s="57" t="s">
        <v>175</v>
      </c>
      <c r="B2427" s="57" t="s">
        <v>188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253"/>
        <v>DICEMBRE 2019</v>
      </c>
      <c r="F2427" s="57" t="str">
        <f t="shared" si="1252"/>
        <v>12 DICEMBRE 2019</v>
      </c>
      <c r="G2427" s="59">
        <v>6.1</v>
      </c>
      <c r="H2427" s="1338" t="s">
        <v>70</v>
      </c>
      <c r="I2427" s="960"/>
      <c r="J2427" s="59"/>
      <c r="K2427" s="59"/>
    </row>
    <row r="2428" spans="1:11" x14ac:dyDescent="0.25">
      <c r="A2428" s="57" t="s">
        <v>108</v>
      </c>
      <c r="B2428" s="57" t="s">
        <v>188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53"/>
        <v>DICEMBRE 2019</v>
      </c>
      <c r="F2428" s="57" t="str">
        <f t="shared" si="1252"/>
        <v>12 DICEMBRE 2019</v>
      </c>
      <c r="G2428" s="59">
        <v>12</v>
      </c>
      <c r="H2428" s="1338" t="s">
        <v>75</v>
      </c>
      <c r="I2428" s="960"/>
      <c r="J2428" s="57" t="s">
        <v>108</v>
      </c>
      <c r="K2428" s="59"/>
    </row>
    <row r="2429" spans="1:11" x14ac:dyDescent="0.25">
      <c r="A2429" s="57" t="s">
        <v>175</v>
      </c>
      <c r="B2429" s="57" t="s">
        <v>188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53"/>
        <v>DICEMBRE 2019</v>
      </c>
      <c r="F2429" s="57" t="str">
        <f t="shared" si="1252"/>
        <v>12 DICEMBRE 2019</v>
      </c>
      <c r="G2429" s="59">
        <v>12.2</v>
      </c>
      <c r="H2429" s="1338" t="s">
        <v>70</v>
      </c>
      <c r="I2429" s="960"/>
      <c r="J2429" s="59"/>
      <c r="K2429" s="59"/>
    </row>
    <row r="2430" spans="1:11" x14ac:dyDescent="0.25">
      <c r="A2430" s="57" t="s">
        <v>108</v>
      </c>
      <c r="B2430" s="57" t="s">
        <v>188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53"/>
        <v>DICEMBRE 2019</v>
      </c>
      <c r="F2430" s="57" t="str">
        <f t="shared" si="1252"/>
        <v>12 DICEMBRE 2019</v>
      </c>
      <c r="G2430" s="59">
        <v>11.99</v>
      </c>
      <c r="H2430" s="1338" t="s">
        <v>75</v>
      </c>
      <c r="I2430" s="960"/>
      <c r="J2430" s="57" t="s">
        <v>108</v>
      </c>
      <c r="K2430" s="59"/>
    </row>
    <row r="2431" spans="1:11" x14ac:dyDescent="0.25">
      <c r="A2431" s="57" t="s">
        <v>108</v>
      </c>
      <c r="B2431" s="57" t="s">
        <v>188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53"/>
        <v>DICEMBRE 2019</v>
      </c>
      <c r="F2431" s="57" t="str">
        <f t="shared" si="1252"/>
        <v>12 DICEMBRE 2019</v>
      </c>
      <c r="G2431" s="60">
        <v>-48.99</v>
      </c>
      <c r="H2431" s="1338" t="s">
        <v>1042</v>
      </c>
      <c r="I2431" s="960"/>
      <c r="J2431" s="57" t="s">
        <v>108</v>
      </c>
      <c r="K2431" s="59"/>
    </row>
    <row r="2432" spans="1:11" x14ac:dyDescent="0.25">
      <c r="A2432" s="57" t="s">
        <v>108</v>
      </c>
      <c r="B2432" s="57" t="s">
        <v>188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53"/>
        <v>DICEMBRE 2019</v>
      </c>
      <c r="F2432" s="57" t="str">
        <f t="shared" si="1252"/>
        <v>12 DICEMBRE 2019</v>
      </c>
      <c r="G2432" s="59">
        <v>48.99</v>
      </c>
      <c r="H2432" s="1338" t="s">
        <v>75</v>
      </c>
      <c r="I2432" s="960"/>
      <c r="J2432" s="57" t="s">
        <v>108</v>
      </c>
      <c r="K2432" s="59"/>
    </row>
    <row r="2433" spans="1:14" x14ac:dyDescent="0.25">
      <c r="A2433" s="57" t="s">
        <v>108</v>
      </c>
      <c r="B2433" s="57" t="s">
        <v>188</v>
      </c>
      <c r="C2433" s="57">
        <v>2019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253"/>
        <v>DICEMBRE 2019</v>
      </c>
      <c r="F2433" s="57" t="str">
        <f t="shared" si="1252"/>
        <v>12 DICEMBRE 2019</v>
      </c>
      <c r="G2433" s="59">
        <v>54.9</v>
      </c>
      <c r="H2433" s="1338" t="s">
        <v>75</v>
      </c>
      <c r="I2433" s="960"/>
      <c r="J2433" s="57" t="s">
        <v>108</v>
      </c>
      <c r="K2433" s="59"/>
    </row>
    <row r="2434" spans="1:14" x14ac:dyDescent="0.25">
      <c r="A2434" s="57" t="s">
        <v>108</v>
      </c>
      <c r="B2434" s="57" t="s">
        <v>188</v>
      </c>
      <c r="C2434" s="57">
        <v>2019</v>
      </c>
      <c r="D2434" s="58">
        <f>MATCH(B2434,{"GENNAIO","FEBBRAIO","MARZO","APRILE","MAGGIO","GIUGNO","LUGLIO","AGOSTO","SETTEMBRE","OTTOBRE","NOVEMBRE","DICEMBRE"},0)</f>
        <v>12</v>
      </c>
      <c r="E2434" s="57" t="str">
        <f t="shared" ref="E2434:E2465" si="1254">CONCATENATE(,B2434," ",C2434)</f>
        <v>DICEMBRE 2019</v>
      </c>
      <c r="F2434" s="57" t="str">
        <f t="shared" si="1252"/>
        <v>12 DICEMBRE 2019</v>
      </c>
      <c r="G2434" s="59">
        <v>35.950000000000003</v>
      </c>
      <c r="H2434" s="1338" t="s">
        <v>75</v>
      </c>
      <c r="I2434" s="960"/>
      <c r="J2434" s="57" t="s">
        <v>108</v>
      </c>
      <c r="K2434" s="59"/>
    </row>
    <row r="2435" spans="1:14" x14ac:dyDescent="0.25">
      <c r="A2435" s="57" t="s">
        <v>355</v>
      </c>
      <c r="B2435" s="57" t="s">
        <v>188</v>
      </c>
      <c r="C2435" s="57">
        <v>2019</v>
      </c>
      <c r="D2435" s="58">
        <f>MATCH(B2435,{"GENNAIO","FEBBRAIO","MARZO","APRILE","MAGGIO","GIUGNO","LUGLIO","AGOSTO","SETTEMBRE","OTTOBRE","NOVEMBRE","DICEMBRE"},0)</f>
        <v>12</v>
      </c>
      <c r="E2435" s="57" t="str">
        <f t="shared" si="1254"/>
        <v>DICEMBRE 2019</v>
      </c>
      <c r="F2435" s="57" t="str">
        <f t="shared" si="1252"/>
        <v>12 DICEMBRE 2019</v>
      </c>
      <c r="G2435" s="59">
        <v>14.98</v>
      </c>
      <c r="H2435" s="1338" t="s">
        <v>91</v>
      </c>
      <c r="I2435" s="960"/>
      <c r="J2435" s="59"/>
      <c r="K2435" s="59"/>
    </row>
    <row r="2436" spans="1:14" x14ac:dyDescent="0.25">
      <c r="A2436" s="57" t="s">
        <v>164</v>
      </c>
      <c r="B2436" s="57" t="s">
        <v>188</v>
      </c>
      <c r="C2436" s="57">
        <v>2019</v>
      </c>
      <c r="D2436" s="58">
        <f>MATCH(B2436,{"GENNAIO","FEBBRAIO","MARZO","APRILE","MAGGIO","GIUGNO","LUGLIO","AGOSTO","SETTEMBRE","OTTOBRE","NOVEMBRE","DICEMBRE"},0)</f>
        <v>12</v>
      </c>
      <c r="E2436" s="57" t="str">
        <f t="shared" si="1254"/>
        <v>DICEMBRE 2019</v>
      </c>
      <c r="F2436" s="57" t="str">
        <f t="shared" si="1252"/>
        <v>12 DICEMBRE 2019</v>
      </c>
      <c r="G2436" s="59">
        <v>54.61</v>
      </c>
      <c r="H2436" s="1338" t="s">
        <v>77</v>
      </c>
      <c r="I2436" s="960"/>
      <c r="J2436" s="59"/>
      <c r="K2436" s="59"/>
    </row>
    <row r="2437" spans="1:14" x14ac:dyDescent="0.25">
      <c r="A2437" s="57" t="s">
        <v>356</v>
      </c>
      <c r="B2437" s="57" t="s">
        <v>188</v>
      </c>
      <c r="C2437" s="57">
        <v>2019</v>
      </c>
      <c r="D2437" s="58">
        <f>MATCH(B2437,{"GENNAIO","FEBBRAIO","MARZO","APRILE","MAGGIO","GIUGNO","LUGLIO","AGOSTO","SETTEMBRE","OTTOBRE","NOVEMBRE","DICEMBRE"},0)</f>
        <v>12</v>
      </c>
      <c r="E2437" s="57" t="str">
        <f t="shared" si="1254"/>
        <v>DICEMBRE 2019</v>
      </c>
      <c r="F2437" s="57" t="str">
        <f t="shared" si="1252"/>
        <v>12 DICEMBRE 2019</v>
      </c>
      <c r="G2437" s="59">
        <v>343.29</v>
      </c>
      <c r="H2437" s="1338" t="s">
        <v>91</v>
      </c>
      <c r="I2437" s="960"/>
      <c r="J2437" s="59"/>
      <c r="K2437" s="59"/>
    </row>
    <row r="2438" spans="1:14" x14ac:dyDescent="0.25">
      <c r="A2438" s="57" t="s">
        <v>164</v>
      </c>
      <c r="B2438" s="57" t="s">
        <v>188</v>
      </c>
      <c r="C2438" s="57">
        <v>2019</v>
      </c>
      <c r="D2438" s="58">
        <f>MATCH(B2438,{"GENNAIO","FEBBRAIO","MARZO","APRILE","MAGGIO","GIUGNO","LUGLIO","AGOSTO","SETTEMBRE","OTTOBRE","NOVEMBRE","DICEMBRE"},0)</f>
        <v>12</v>
      </c>
      <c r="E2438" s="57" t="str">
        <f t="shared" si="1254"/>
        <v>DICEMBRE 2019</v>
      </c>
      <c r="F2438" s="57" t="str">
        <f t="shared" si="1252"/>
        <v>12 DICEMBRE 2019</v>
      </c>
      <c r="G2438" s="59">
        <v>30.59</v>
      </c>
      <c r="H2438" s="1338" t="s">
        <v>77</v>
      </c>
      <c r="I2438" s="960"/>
      <c r="J2438" s="59"/>
      <c r="K2438" s="59"/>
    </row>
    <row r="2439" spans="1:14" x14ac:dyDescent="0.25">
      <c r="A2439" s="57" t="s">
        <v>164</v>
      </c>
      <c r="B2439" s="57" t="s">
        <v>188</v>
      </c>
      <c r="C2439" s="57">
        <v>2019</v>
      </c>
      <c r="D2439" s="58">
        <f>MATCH(B2439,{"GENNAIO","FEBBRAIO","MARZO","APRILE","MAGGIO","GIUGNO","LUGLIO","AGOSTO","SETTEMBRE","OTTOBRE","NOVEMBRE","DICEMBRE"},0)</f>
        <v>12</v>
      </c>
      <c r="E2439" s="57" t="str">
        <f t="shared" si="1254"/>
        <v>DICEMBRE 2019</v>
      </c>
      <c r="F2439" s="57" t="str">
        <f t="shared" si="1252"/>
        <v>12 DICEMBRE 2019</v>
      </c>
      <c r="G2439" s="59">
        <v>25.39</v>
      </c>
      <c r="H2439" s="1338" t="s">
        <v>77</v>
      </c>
      <c r="I2439" s="960"/>
      <c r="J2439" s="59"/>
      <c r="K2439" s="59"/>
    </row>
    <row r="2440" spans="1:14" x14ac:dyDescent="0.25">
      <c r="A2440" s="57" t="s">
        <v>171</v>
      </c>
      <c r="B2440" s="57" t="s">
        <v>188</v>
      </c>
      <c r="C2440" s="57">
        <v>2019</v>
      </c>
      <c r="D2440" s="58">
        <f>MATCH(B2440,{"GENNAIO","FEBBRAIO","MARZO","APRILE","MAGGIO","GIUGNO","LUGLIO","AGOSTO","SETTEMBRE","OTTOBRE","NOVEMBRE","DICEMBRE"},0)</f>
        <v>12</v>
      </c>
      <c r="E2440" s="57" t="str">
        <f t="shared" si="1254"/>
        <v>DICEMBRE 2019</v>
      </c>
      <c r="F2440" s="57" t="str">
        <f t="shared" si="1252"/>
        <v>12 DICEMBRE 2019</v>
      </c>
      <c r="G2440" s="59">
        <v>18.399999999999999</v>
      </c>
      <c r="H2440" s="1338" t="s">
        <v>81</v>
      </c>
      <c r="I2440" s="960"/>
      <c r="J2440" s="59"/>
      <c r="K2440" s="59"/>
    </row>
    <row r="2441" spans="1:14" x14ac:dyDescent="0.25">
      <c r="A2441" s="57" t="s">
        <v>108</v>
      </c>
      <c r="B2441" s="57" t="s">
        <v>188</v>
      </c>
      <c r="C2441" s="57">
        <v>2019</v>
      </c>
      <c r="D2441" s="58">
        <f>MATCH(B2441,{"GENNAIO","FEBBRAIO","MARZO","APRILE","MAGGIO","GIUGNO","LUGLIO","AGOSTO","SETTEMBRE","OTTOBRE","NOVEMBRE","DICEMBRE"},0)</f>
        <v>12</v>
      </c>
      <c r="E2441" s="57" t="str">
        <f t="shared" si="1254"/>
        <v>DICEMBRE 2019</v>
      </c>
      <c r="F2441" s="57" t="str">
        <f t="shared" si="1252"/>
        <v>12 DICEMBRE 2019</v>
      </c>
      <c r="G2441" s="59">
        <v>69.989999999999995</v>
      </c>
      <c r="H2441" s="1338" t="s">
        <v>75</v>
      </c>
      <c r="I2441" s="960"/>
      <c r="J2441" s="57" t="s">
        <v>108</v>
      </c>
      <c r="K2441" s="59"/>
    </row>
    <row r="2442" spans="1:14" x14ac:dyDescent="0.25">
      <c r="A2442" s="57" t="s">
        <v>357</v>
      </c>
      <c r="B2442" s="57" t="s">
        <v>188</v>
      </c>
      <c r="C2442" s="57">
        <v>2019</v>
      </c>
      <c r="D2442" s="58">
        <f>MATCH(B2442,{"GENNAIO","FEBBRAIO","MARZO","APRILE","MAGGIO","GIUGNO","LUGLIO","AGOSTO","SETTEMBRE","OTTOBRE","NOVEMBRE","DICEMBRE"},0)</f>
        <v>12</v>
      </c>
      <c r="E2442" s="57" t="str">
        <f t="shared" si="1254"/>
        <v>DICEMBRE 2019</v>
      </c>
      <c r="F2442" s="57" t="str">
        <f t="shared" si="1252"/>
        <v>12 DICEMBRE 2019</v>
      </c>
      <c r="G2442" s="59">
        <v>55</v>
      </c>
      <c r="H2442" s="1338" t="s">
        <v>114</v>
      </c>
      <c r="I2442" s="960"/>
      <c r="J2442" s="59"/>
      <c r="K2442" s="59"/>
    </row>
    <row r="2443" spans="1:14" x14ac:dyDescent="0.25">
      <c r="A2443" s="57" t="s">
        <v>108</v>
      </c>
      <c r="B2443" s="57" t="s">
        <v>188</v>
      </c>
      <c r="C2443" s="57">
        <v>2019</v>
      </c>
      <c r="D2443" s="58">
        <f>MATCH(B2443,{"GENNAIO","FEBBRAIO","MARZO","APRILE","MAGGIO","GIUGNO","LUGLIO","AGOSTO","SETTEMBRE","OTTOBRE","NOVEMBRE","DICEMBRE"},0)</f>
        <v>12</v>
      </c>
      <c r="E2443" s="57" t="str">
        <f t="shared" si="1254"/>
        <v>DICEMBRE 2019</v>
      </c>
      <c r="F2443" s="57" t="str">
        <f t="shared" si="1252"/>
        <v>12 DICEMBRE 2019</v>
      </c>
      <c r="G2443" s="59">
        <v>239</v>
      </c>
      <c r="H2443" s="1338" t="s">
        <v>75</v>
      </c>
      <c r="I2443" s="960"/>
      <c r="J2443" s="57" t="s">
        <v>108</v>
      </c>
      <c r="K2443" s="59"/>
    </row>
    <row r="2444" spans="1:14" x14ac:dyDescent="0.25">
      <c r="A2444" s="57" t="s">
        <v>164</v>
      </c>
      <c r="B2444" s="57" t="s">
        <v>207</v>
      </c>
      <c r="C2444" s="57">
        <v>2019</v>
      </c>
      <c r="D2444" s="58">
        <f>MATCH(B2444,{"GENNAIO","FEBBRAIO","MARZO","APRILE","MAGGIO","GIUGNO","LUGLIO","AGOSTO","SETTEMBRE","OTTOBRE","NOVEMBRE","DICEMBRE"},0)</f>
        <v>11</v>
      </c>
      <c r="E2444" s="57" t="str">
        <f t="shared" si="1254"/>
        <v>NOVEMBRE 2019</v>
      </c>
      <c r="F2444" s="57" t="str">
        <f t="shared" si="1252"/>
        <v>11 NOVEMBRE 2019</v>
      </c>
      <c r="G2444" s="59">
        <v>41.77</v>
      </c>
      <c r="H2444" s="1338" t="s">
        <v>77</v>
      </c>
      <c r="I2444" s="960"/>
      <c r="J2444" s="59"/>
      <c r="K2444" s="59"/>
      <c r="L2444"/>
      <c r="M2444"/>
      <c r="N2444"/>
    </row>
    <row r="2445" spans="1:14" x14ac:dyDescent="0.25">
      <c r="A2445" s="57" t="s">
        <v>358</v>
      </c>
      <c r="B2445" s="57" t="s">
        <v>207</v>
      </c>
      <c r="C2445" s="57">
        <v>2019</v>
      </c>
      <c r="D2445" s="58">
        <f>MATCH(B2445,{"GENNAIO","FEBBRAIO","MARZO","APRILE","MAGGIO","GIUGNO","LUGLIO","AGOSTO","SETTEMBRE","OTTOBRE","NOVEMBRE","DICEMBRE"},0)</f>
        <v>11</v>
      </c>
      <c r="E2445" s="57" t="str">
        <f t="shared" si="1254"/>
        <v>NOVEMBRE 2019</v>
      </c>
      <c r="F2445" s="57" t="str">
        <f t="shared" si="1252"/>
        <v>11 NOVEMBRE 2019</v>
      </c>
      <c r="G2445" s="59">
        <v>9.5</v>
      </c>
      <c r="H2445" s="1338" t="s">
        <v>69</v>
      </c>
      <c r="I2445" s="960"/>
      <c r="J2445" s="59"/>
      <c r="K2445" s="59"/>
      <c r="L2445"/>
      <c r="M2445"/>
      <c r="N2445"/>
    </row>
    <row r="2446" spans="1:14" x14ac:dyDescent="0.25">
      <c r="A2446" s="57" t="s">
        <v>358</v>
      </c>
      <c r="B2446" s="57" t="s">
        <v>207</v>
      </c>
      <c r="C2446" s="57">
        <v>2019</v>
      </c>
      <c r="D2446" s="58">
        <f>MATCH(B2446,{"GENNAIO","FEBBRAIO","MARZO","APRILE","MAGGIO","GIUGNO","LUGLIO","AGOSTO","SETTEMBRE","OTTOBRE","NOVEMBRE","DICEMBRE"},0)</f>
        <v>11</v>
      </c>
      <c r="E2446" s="57" t="str">
        <f t="shared" si="1254"/>
        <v>NOVEMBRE 2019</v>
      </c>
      <c r="F2446" s="57" t="str">
        <f t="shared" si="1252"/>
        <v>11 NOVEMBRE 2019</v>
      </c>
      <c r="G2446" s="59">
        <v>21.47</v>
      </c>
      <c r="H2446" s="1338" t="s">
        <v>69</v>
      </c>
      <c r="I2446" s="960"/>
      <c r="J2446" s="59"/>
      <c r="K2446" s="59"/>
      <c r="L2446"/>
      <c r="M2446"/>
      <c r="N2446"/>
    </row>
    <row r="2447" spans="1:14" x14ac:dyDescent="0.25">
      <c r="A2447" s="57" t="s">
        <v>111</v>
      </c>
      <c r="B2447" s="57" t="s">
        <v>207</v>
      </c>
      <c r="C2447" s="57">
        <v>2019</v>
      </c>
      <c r="D2447" s="58">
        <f>MATCH(B2447,{"GENNAIO","FEBBRAIO","MARZO","APRILE","MAGGIO","GIUGNO","LUGLIO","AGOSTO","SETTEMBRE","OTTOBRE","NOVEMBRE","DICEMBRE"},0)</f>
        <v>11</v>
      </c>
      <c r="E2447" s="57" t="str">
        <f t="shared" si="1254"/>
        <v>NOVEMBRE 2019</v>
      </c>
      <c r="F2447" s="57" t="str">
        <f t="shared" si="1252"/>
        <v>11 NOVEMBRE 2019</v>
      </c>
      <c r="G2447" s="59">
        <v>133.25</v>
      </c>
      <c r="H2447" s="1338" t="s">
        <v>772</v>
      </c>
      <c r="I2447" s="960"/>
      <c r="J2447" s="59"/>
      <c r="K2447" s="59"/>
      <c r="L2447"/>
      <c r="M2447"/>
      <c r="N2447"/>
    </row>
    <row r="2448" spans="1:14" x14ac:dyDescent="0.25">
      <c r="A2448" s="57" t="s">
        <v>358</v>
      </c>
      <c r="B2448" s="57" t="s">
        <v>207</v>
      </c>
      <c r="C2448" s="57">
        <v>2019</v>
      </c>
      <c r="D2448" s="58">
        <f>MATCH(B2448,{"GENNAIO","FEBBRAIO","MARZO","APRILE","MAGGIO","GIUGNO","LUGLIO","AGOSTO","SETTEMBRE","OTTOBRE","NOVEMBRE","DICEMBRE"},0)</f>
        <v>11</v>
      </c>
      <c r="E2448" s="57" t="str">
        <f t="shared" si="1254"/>
        <v>NOVEMBRE 2019</v>
      </c>
      <c r="F2448" s="57" t="str">
        <f t="shared" si="1252"/>
        <v>11 NOVEMBRE 2019</v>
      </c>
      <c r="G2448" s="59">
        <v>16.5</v>
      </c>
      <c r="H2448" s="1338" t="s">
        <v>69</v>
      </c>
      <c r="I2448" s="960"/>
      <c r="J2448" s="59"/>
      <c r="K2448" s="59"/>
      <c r="L2448"/>
      <c r="M2448"/>
      <c r="N2448"/>
    </row>
    <row r="2449" spans="1:14" x14ac:dyDescent="0.25">
      <c r="A2449" s="57" t="s">
        <v>250</v>
      </c>
      <c r="B2449" s="57" t="s">
        <v>207</v>
      </c>
      <c r="C2449" s="57">
        <v>2019</v>
      </c>
      <c r="D2449" s="58">
        <f>MATCH(B2449,{"GENNAIO","FEBBRAIO","MARZO","APRILE","MAGGIO","GIUGNO","LUGLIO","AGOSTO","SETTEMBRE","OTTOBRE","NOVEMBRE","DICEMBRE"},0)</f>
        <v>11</v>
      </c>
      <c r="E2449" s="57" t="str">
        <f t="shared" si="1254"/>
        <v>NOVEMBRE 2019</v>
      </c>
      <c r="F2449" s="57" t="str">
        <f t="shared" si="1252"/>
        <v>11 NOVEMBRE 2019</v>
      </c>
      <c r="G2449" s="59">
        <v>30</v>
      </c>
      <c r="H2449" s="1338" t="s">
        <v>91</v>
      </c>
      <c r="I2449" s="960"/>
      <c r="J2449" s="59"/>
      <c r="K2449" s="59"/>
      <c r="L2449"/>
      <c r="M2449"/>
      <c r="N2449"/>
    </row>
    <row r="2450" spans="1:14" x14ac:dyDescent="0.25">
      <c r="A2450" s="57" t="s">
        <v>67</v>
      </c>
      <c r="B2450" s="57" t="s">
        <v>207</v>
      </c>
      <c r="C2450" s="57">
        <v>2019</v>
      </c>
      <c r="D2450" s="58">
        <f>MATCH(B2450,{"GENNAIO","FEBBRAIO","MARZO","APRILE","MAGGIO","GIUGNO","LUGLIO","AGOSTO","SETTEMBRE","OTTOBRE","NOVEMBRE","DICEMBRE"},0)</f>
        <v>11</v>
      </c>
      <c r="E2450" s="57" t="str">
        <f t="shared" si="1254"/>
        <v>NOVEMBRE 2019</v>
      </c>
      <c r="F2450" s="57" t="str">
        <f t="shared" si="1252"/>
        <v>11 NOVEMBRE 2019</v>
      </c>
      <c r="G2450" s="59">
        <v>12</v>
      </c>
      <c r="H2450" s="1338" t="s">
        <v>69</v>
      </c>
      <c r="I2450" s="960"/>
      <c r="J2450" s="59"/>
      <c r="K2450" s="59"/>
      <c r="L2450"/>
      <c r="M2450"/>
      <c r="N2450"/>
    </row>
    <row r="2451" spans="1:14" x14ac:dyDescent="0.25">
      <c r="A2451" s="57" t="s">
        <v>108</v>
      </c>
      <c r="B2451" s="57" t="s">
        <v>207</v>
      </c>
      <c r="C2451" s="57">
        <v>2019</v>
      </c>
      <c r="D2451" s="58">
        <f>MATCH(B2451,{"GENNAIO","FEBBRAIO","MARZO","APRILE","MAGGIO","GIUGNO","LUGLIO","AGOSTO","SETTEMBRE","OTTOBRE","NOVEMBRE","DICEMBRE"},0)</f>
        <v>11</v>
      </c>
      <c r="E2451" s="57" t="str">
        <f t="shared" si="1254"/>
        <v>NOVEMBRE 2019</v>
      </c>
      <c r="F2451" s="57" t="str">
        <f t="shared" si="1252"/>
        <v>11 NOVEMBRE 2019</v>
      </c>
      <c r="G2451" s="59">
        <v>9.9</v>
      </c>
      <c r="H2451" s="1338" t="s">
        <v>75</v>
      </c>
      <c r="I2451" s="960"/>
      <c r="J2451" s="57" t="s">
        <v>108</v>
      </c>
      <c r="K2451" s="59"/>
      <c r="L2451"/>
      <c r="M2451"/>
      <c r="N2451"/>
    </row>
    <row r="2452" spans="1:14" x14ac:dyDescent="0.25">
      <c r="A2452" s="57" t="s">
        <v>164</v>
      </c>
      <c r="B2452" s="57" t="s">
        <v>207</v>
      </c>
      <c r="C2452" s="57">
        <v>2019</v>
      </c>
      <c r="D2452" s="58">
        <f>MATCH(B2452,{"GENNAIO","FEBBRAIO","MARZO","APRILE","MAGGIO","GIUGNO","LUGLIO","AGOSTO","SETTEMBRE","OTTOBRE","NOVEMBRE","DICEMBRE"},0)</f>
        <v>11</v>
      </c>
      <c r="E2452" s="57" t="str">
        <f t="shared" si="1254"/>
        <v>NOVEMBRE 2019</v>
      </c>
      <c r="F2452" s="57" t="str">
        <f t="shared" si="1252"/>
        <v>11 NOVEMBRE 2019</v>
      </c>
      <c r="G2452" s="59">
        <v>44.43</v>
      </c>
      <c r="H2452" s="1338" t="s">
        <v>77</v>
      </c>
      <c r="I2452" s="960"/>
      <c r="J2452" s="59"/>
      <c r="K2452" s="59"/>
      <c r="L2452"/>
      <c r="M2452"/>
      <c r="N2452"/>
    </row>
    <row r="2453" spans="1:14" x14ac:dyDescent="0.25">
      <c r="A2453" s="57" t="s">
        <v>189</v>
      </c>
      <c r="B2453" s="57" t="s">
        <v>207</v>
      </c>
      <c r="C2453" s="57">
        <v>2019</v>
      </c>
      <c r="D2453" s="58">
        <f>MATCH(B2453,{"GENNAIO","FEBBRAIO","MARZO","APRILE","MAGGIO","GIUGNO","LUGLIO","AGOSTO","SETTEMBRE","OTTOBRE","NOVEMBRE","DICEMBRE"},0)</f>
        <v>11</v>
      </c>
      <c r="E2453" s="57" t="str">
        <f t="shared" si="1254"/>
        <v>NOVEMBRE 2019</v>
      </c>
      <c r="F2453" s="57" t="str">
        <f t="shared" si="1252"/>
        <v>11 NOVEMBRE 2019</v>
      </c>
      <c r="G2453" s="59">
        <v>69.989999999999995</v>
      </c>
      <c r="H2453" s="1338" t="s">
        <v>81</v>
      </c>
      <c r="I2453" s="960"/>
      <c r="J2453" s="59"/>
      <c r="K2453" s="59"/>
      <c r="L2453"/>
      <c r="M2453"/>
      <c r="N2453"/>
    </row>
    <row r="2454" spans="1:14" x14ac:dyDescent="0.25">
      <c r="A2454" s="57" t="s">
        <v>67</v>
      </c>
      <c r="B2454" s="57" t="s">
        <v>207</v>
      </c>
      <c r="C2454" s="57">
        <v>2019</v>
      </c>
      <c r="D2454" s="58">
        <f>MATCH(B2454,{"GENNAIO","FEBBRAIO","MARZO","APRILE","MAGGIO","GIUGNO","LUGLIO","AGOSTO","SETTEMBRE","OTTOBRE","NOVEMBRE","DICEMBRE"},0)</f>
        <v>11</v>
      </c>
      <c r="E2454" s="57" t="str">
        <f t="shared" si="1254"/>
        <v>NOVEMBRE 2019</v>
      </c>
      <c r="F2454" s="57" t="str">
        <f t="shared" si="1252"/>
        <v>11 NOVEMBRE 2019</v>
      </c>
      <c r="G2454" s="59">
        <v>12</v>
      </c>
      <c r="H2454" s="1338" t="s">
        <v>69</v>
      </c>
      <c r="I2454" s="960"/>
      <c r="J2454" s="59"/>
      <c r="K2454" s="59"/>
      <c r="L2454"/>
      <c r="M2454"/>
      <c r="N2454"/>
    </row>
    <row r="2455" spans="1:14" x14ac:dyDescent="0.25">
      <c r="A2455" s="57" t="s">
        <v>221</v>
      </c>
      <c r="B2455" s="57" t="s">
        <v>207</v>
      </c>
      <c r="C2455" s="57">
        <v>2019</v>
      </c>
      <c r="D2455" s="58">
        <f>MATCH(B2455,{"GENNAIO","FEBBRAIO","MARZO","APRILE","MAGGIO","GIUGNO","LUGLIO","AGOSTO","SETTEMBRE","OTTOBRE","NOVEMBRE","DICEMBRE"},0)</f>
        <v>11</v>
      </c>
      <c r="E2455" s="57" t="str">
        <f t="shared" si="1254"/>
        <v>NOVEMBRE 2019</v>
      </c>
      <c r="F2455" s="57" t="str">
        <f t="shared" si="1252"/>
        <v>11 NOVEMBRE 2019</v>
      </c>
      <c r="G2455" s="59">
        <v>14.5</v>
      </c>
      <c r="H2455" s="1338" t="s">
        <v>137</v>
      </c>
      <c r="I2455" s="960"/>
      <c r="J2455" s="59"/>
      <c r="K2455" s="59"/>
      <c r="L2455"/>
      <c r="M2455"/>
      <c r="N2455"/>
    </row>
    <row r="2456" spans="1:14" x14ac:dyDescent="0.25">
      <c r="A2456" s="57" t="s">
        <v>171</v>
      </c>
      <c r="B2456" s="57" t="s">
        <v>215</v>
      </c>
      <c r="C2456" s="57">
        <v>2019</v>
      </c>
      <c r="D2456" s="58">
        <f>MATCH(B2456,{"GENNAIO","FEBBRAIO","MARZO","APRILE","MAGGIO","GIUGNO","LUGLIO","AGOSTO","SETTEMBRE","OTTOBRE","NOVEMBRE","DICEMBRE"},0)</f>
        <v>10</v>
      </c>
      <c r="E2456" s="57" t="str">
        <f t="shared" si="1254"/>
        <v>OTTOBRE 2019</v>
      </c>
      <c r="F2456" s="57" t="str">
        <f t="shared" si="1252"/>
        <v>10 OTTOBRE 2019</v>
      </c>
      <c r="G2456" s="60">
        <v>56.95</v>
      </c>
      <c r="H2456" s="1338" t="s">
        <v>81</v>
      </c>
      <c r="I2456" s="960"/>
      <c r="J2456" s="59"/>
      <c r="K2456" s="59"/>
      <c r="L2456"/>
      <c r="M2456"/>
      <c r="N2456"/>
    </row>
    <row r="2457" spans="1:14" x14ac:dyDescent="0.25">
      <c r="A2457" s="57" t="s">
        <v>164</v>
      </c>
      <c r="B2457" s="57" t="s">
        <v>215</v>
      </c>
      <c r="C2457" s="57">
        <v>2019</v>
      </c>
      <c r="D2457" s="58">
        <f>MATCH(B2457,{"GENNAIO","FEBBRAIO","MARZO","APRILE","MAGGIO","GIUGNO","LUGLIO","AGOSTO","SETTEMBRE","OTTOBRE","NOVEMBRE","DICEMBRE"},0)</f>
        <v>10</v>
      </c>
      <c r="E2457" s="57" t="str">
        <f t="shared" si="1254"/>
        <v>OTTOBRE 2019</v>
      </c>
      <c r="F2457" s="57" t="str">
        <f t="shared" si="1252"/>
        <v>10 OTTOBRE 2019</v>
      </c>
      <c r="G2457" s="59">
        <v>22.52</v>
      </c>
      <c r="H2457" s="1338" t="s">
        <v>77</v>
      </c>
      <c r="I2457" s="960"/>
      <c r="J2457" s="59"/>
      <c r="K2457" s="59"/>
      <c r="L2457"/>
      <c r="M2457"/>
      <c r="N2457"/>
    </row>
    <row r="2458" spans="1:14" x14ac:dyDescent="0.25">
      <c r="A2458" s="57" t="s">
        <v>171</v>
      </c>
      <c r="B2458" s="57" t="s">
        <v>215</v>
      </c>
      <c r="C2458" s="57">
        <v>2019</v>
      </c>
      <c r="D2458" s="58">
        <f>MATCH(B2458,{"GENNAIO","FEBBRAIO","MARZO","APRILE","MAGGIO","GIUGNO","LUGLIO","AGOSTO","SETTEMBRE","OTTOBRE","NOVEMBRE","DICEMBRE"},0)</f>
        <v>10</v>
      </c>
      <c r="E2458" s="57" t="str">
        <f t="shared" si="1254"/>
        <v>OTTOBRE 2019</v>
      </c>
      <c r="F2458" s="57" t="str">
        <f t="shared" ref="F2458:F2508" si="1255">CONCATENATE(D2458," ",E2458)</f>
        <v>10 OTTOBRE 2019</v>
      </c>
      <c r="G2458" s="59">
        <v>15.95</v>
      </c>
      <c r="H2458" s="1338" t="s">
        <v>81</v>
      </c>
      <c r="I2458" s="960"/>
      <c r="J2458" s="59"/>
      <c r="K2458" s="59"/>
      <c r="L2458"/>
      <c r="M2458"/>
      <c r="N2458"/>
    </row>
    <row r="2459" spans="1:14" x14ac:dyDescent="0.25">
      <c r="A2459" s="57" t="s">
        <v>164</v>
      </c>
      <c r="B2459" s="57" t="s">
        <v>215</v>
      </c>
      <c r="C2459" s="57">
        <v>2019</v>
      </c>
      <c r="D2459" s="58">
        <f>MATCH(B2459,{"GENNAIO","FEBBRAIO","MARZO","APRILE","MAGGIO","GIUGNO","LUGLIO","AGOSTO","SETTEMBRE","OTTOBRE","NOVEMBRE","DICEMBRE"},0)</f>
        <v>10</v>
      </c>
      <c r="E2459" s="57" t="str">
        <f t="shared" si="1254"/>
        <v>OTTOBRE 2019</v>
      </c>
      <c r="F2459" s="57" t="str">
        <f t="shared" si="1255"/>
        <v>10 OTTOBRE 2019</v>
      </c>
      <c r="G2459" s="59">
        <v>20.3</v>
      </c>
      <c r="H2459" s="1338" t="s">
        <v>77</v>
      </c>
      <c r="I2459" s="960"/>
      <c r="J2459" s="59"/>
      <c r="K2459" s="59"/>
      <c r="L2459"/>
      <c r="M2459"/>
      <c r="N2459"/>
    </row>
    <row r="2460" spans="1:14" x14ac:dyDescent="0.25">
      <c r="A2460" s="57" t="s">
        <v>302</v>
      </c>
      <c r="B2460" s="57" t="s">
        <v>215</v>
      </c>
      <c r="C2460" s="57">
        <v>2019</v>
      </c>
      <c r="D2460" s="58">
        <f>MATCH(B2460,{"GENNAIO","FEBBRAIO","MARZO","APRILE","MAGGIO","GIUGNO","LUGLIO","AGOSTO","SETTEMBRE","OTTOBRE","NOVEMBRE","DICEMBRE"},0)</f>
        <v>10</v>
      </c>
      <c r="E2460" s="57" t="str">
        <f t="shared" si="1254"/>
        <v>OTTOBRE 2019</v>
      </c>
      <c r="F2460" s="57" t="str">
        <f t="shared" si="1255"/>
        <v>10 OTTOBRE 2019</v>
      </c>
      <c r="G2460" s="59">
        <v>36.39</v>
      </c>
      <c r="H2460" s="1338" t="s">
        <v>137</v>
      </c>
      <c r="I2460" s="960"/>
      <c r="J2460" s="59"/>
      <c r="K2460" s="59"/>
      <c r="L2460"/>
      <c r="M2460"/>
      <c r="N2460"/>
    </row>
    <row r="2461" spans="1:14" x14ac:dyDescent="0.25">
      <c r="A2461" s="57" t="s">
        <v>250</v>
      </c>
      <c r="B2461" s="57" t="s">
        <v>215</v>
      </c>
      <c r="C2461" s="57">
        <v>2019</v>
      </c>
      <c r="D2461" s="58">
        <f>MATCH(B2461,{"GENNAIO","FEBBRAIO","MARZO","APRILE","MAGGIO","GIUGNO","LUGLIO","AGOSTO","SETTEMBRE","OTTOBRE","NOVEMBRE","DICEMBRE"},0)</f>
        <v>10</v>
      </c>
      <c r="E2461" s="57" t="str">
        <f t="shared" si="1254"/>
        <v>OTTOBRE 2019</v>
      </c>
      <c r="F2461" s="57" t="str">
        <f t="shared" si="1255"/>
        <v>10 OTTOBRE 2019</v>
      </c>
      <c r="G2461" s="60">
        <v>10</v>
      </c>
      <c r="H2461" s="1338" t="s">
        <v>91</v>
      </c>
      <c r="I2461" s="960"/>
      <c r="J2461" s="59"/>
      <c r="K2461" s="59"/>
      <c r="L2461"/>
      <c r="M2461"/>
      <c r="N2461"/>
    </row>
    <row r="2462" spans="1:14" x14ac:dyDescent="0.25">
      <c r="A2462" s="57" t="s">
        <v>108</v>
      </c>
      <c r="B2462" s="57" t="s">
        <v>215</v>
      </c>
      <c r="C2462" s="57">
        <v>2019</v>
      </c>
      <c r="D2462" s="58">
        <f>MATCH(B2462,{"GENNAIO","FEBBRAIO","MARZO","APRILE","MAGGIO","GIUGNO","LUGLIO","AGOSTO","SETTEMBRE","OTTOBRE","NOVEMBRE","DICEMBRE"},0)</f>
        <v>10</v>
      </c>
      <c r="E2462" s="57" t="str">
        <f t="shared" si="1254"/>
        <v>OTTOBRE 2019</v>
      </c>
      <c r="F2462" s="57" t="str">
        <f t="shared" si="1255"/>
        <v>10 OTTOBRE 2019</v>
      </c>
      <c r="G2462" s="60">
        <v>114.95</v>
      </c>
      <c r="H2462" s="1338" t="s">
        <v>75</v>
      </c>
      <c r="I2462" s="960"/>
      <c r="J2462" s="57" t="s">
        <v>108</v>
      </c>
      <c r="K2462" s="59"/>
      <c r="L2462"/>
      <c r="M2462"/>
      <c r="N2462"/>
    </row>
    <row r="2463" spans="1:14" x14ac:dyDescent="0.25">
      <c r="A2463" s="57" t="s">
        <v>108</v>
      </c>
      <c r="B2463" s="57" t="s">
        <v>68</v>
      </c>
      <c r="C2463" s="57">
        <v>2019</v>
      </c>
      <c r="D2463" s="58">
        <f>MATCH(B2463,{"GENNAIO","FEBBRAIO","MARZO","APRILE","MAGGIO","GIUGNO","LUGLIO","AGOSTO","SETTEMBRE","OTTOBRE","NOVEMBRE","DICEMBRE"},0)</f>
        <v>9</v>
      </c>
      <c r="E2463" s="57" t="str">
        <f t="shared" si="1254"/>
        <v>SETTEMBRE 2019</v>
      </c>
      <c r="F2463" s="57" t="str">
        <f t="shared" si="1255"/>
        <v>9 SETTEMBRE 2019</v>
      </c>
      <c r="G2463" s="60">
        <v>17.899999999999999</v>
      </c>
      <c r="H2463" s="1338" t="s">
        <v>75</v>
      </c>
      <c r="I2463" s="960"/>
      <c r="J2463" s="57" t="s">
        <v>108</v>
      </c>
      <c r="K2463" s="59"/>
      <c r="L2463"/>
      <c r="M2463"/>
      <c r="N2463"/>
    </row>
    <row r="2464" spans="1:14" x14ac:dyDescent="0.25">
      <c r="A2464" s="57" t="s">
        <v>108</v>
      </c>
      <c r="B2464" s="57" t="s">
        <v>68</v>
      </c>
      <c r="C2464" s="57">
        <v>2019</v>
      </c>
      <c r="D2464" s="58">
        <f>MATCH(B2464,{"GENNAIO","FEBBRAIO","MARZO","APRILE","MAGGIO","GIUGNO","LUGLIO","AGOSTO","SETTEMBRE","OTTOBRE","NOVEMBRE","DICEMBRE"},0)</f>
        <v>9</v>
      </c>
      <c r="E2464" s="57" t="str">
        <f t="shared" si="1254"/>
        <v>SETTEMBRE 2019</v>
      </c>
      <c r="F2464" s="57" t="str">
        <f t="shared" si="1255"/>
        <v>9 SETTEMBRE 2019</v>
      </c>
      <c r="G2464" s="60">
        <v>25.67</v>
      </c>
      <c r="H2464" s="1338" t="s">
        <v>75</v>
      </c>
      <c r="I2464" s="960"/>
      <c r="J2464" s="57" t="s">
        <v>108</v>
      </c>
      <c r="K2464" s="59"/>
      <c r="L2464"/>
      <c r="M2464"/>
      <c r="N2464"/>
    </row>
    <row r="2465" spans="1:14" x14ac:dyDescent="0.25">
      <c r="A2465" s="57" t="s">
        <v>164</v>
      </c>
      <c r="B2465" s="57" t="s">
        <v>68</v>
      </c>
      <c r="C2465" s="57">
        <v>2019</v>
      </c>
      <c r="D2465" s="58">
        <f>MATCH(B2465,{"GENNAIO","FEBBRAIO","MARZO","APRILE","MAGGIO","GIUGNO","LUGLIO","AGOSTO","SETTEMBRE","OTTOBRE","NOVEMBRE","DICEMBRE"},0)</f>
        <v>9</v>
      </c>
      <c r="E2465" s="57" t="str">
        <f t="shared" si="1254"/>
        <v>SETTEMBRE 2019</v>
      </c>
      <c r="F2465" s="57" t="str">
        <f t="shared" si="1255"/>
        <v>9 SETTEMBRE 2019</v>
      </c>
      <c r="G2465" s="60">
        <v>20.09</v>
      </c>
      <c r="H2465" s="1338" t="s">
        <v>77</v>
      </c>
      <c r="I2465" s="960"/>
      <c r="J2465" s="59"/>
      <c r="K2465" s="59"/>
      <c r="L2465"/>
      <c r="M2465"/>
      <c r="N2465"/>
    </row>
    <row r="2466" spans="1:14" x14ac:dyDescent="0.25">
      <c r="A2466" s="57" t="s">
        <v>171</v>
      </c>
      <c r="B2466" s="57" t="s">
        <v>68</v>
      </c>
      <c r="C2466" s="57">
        <v>2019</v>
      </c>
      <c r="D2466" s="58">
        <f>MATCH(B2466,{"GENNAIO","FEBBRAIO","MARZO","APRILE","MAGGIO","GIUGNO","LUGLIO","AGOSTO","SETTEMBRE","OTTOBRE","NOVEMBRE","DICEMBRE"},0)</f>
        <v>9</v>
      </c>
      <c r="E2466" s="57" t="str">
        <f t="shared" ref="E2466:E2497" si="1256">CONCATENATE(,B2466," ",C2466)</f>
        <v>SETTEMBRE 2019</v>
      </c>
      <c r="F2466" s="57" t="str">
        <f t="shared" si="1255"/>
        <v>9 SETTEMBRE 2019</v>
      </c>
      <c r="G2466" s="60">
        <v>61.45</v>
      </c>
      <c r="H2466" s="1338" t="s">
        <v>81</v>
      </c>
      <c r="I2466" s="960"/>
      <c r="J2466" s="59"/>
      <c r="K2466" s="59"/>
      <c r="L2466"/>
      <c r="M2466"/>
      <c r="N2466"/>
    </row>
    <row r="2467" spans="1:14" x14ac:dyDescent="0.25">
      <c r="A2467" s="57" t="s">
        <v>1056</v>
      </c>
      <c r="B2467" s="57" t="s">
        <v>68</v>
      </c>
      <c r="C2467" s="57">
        <v>2019</v>
      </c>
      <c r="D2467" s="58">
        <f>MATCH(B2467,{"GENNAIO","FEBBRAIO","MARZO","APRILE","MAGGIO","GIUGNO","LUGLIO","AGOSTO","SETTEMBRE","OTTOBRE","NOVEMBRE","DICEMBRE"},0)</f>
        <v>9</v>
      </c>
      <c r="E2467" s="57" t="str">
        <f t="shared" si="1256"/>
        <v>SETTEMBRE 2019</v>
      </c>
      <c r="F2467" s="57" t="str">
        <f t="shared" si="1255"/>
        <v>9 SETTEMBRE 2019</v>
      </c>
      <c r="G2467" s="60">
        <v>159</v>
      </c>
      <c r="H2467" s="1338" t="s">
        <v>75</v>
      </c>
      <c r="I2467" s="960"/>
      <c r="J2467" s="59"/>
      <c r="K2467" s="59"/>
      <c r="L2467"/>
      <c r="M2467"/>
      <c r="N2467"/>
    </row>
    <row r="2468" spans="1:14" x14ac:dyDescent="0.25">
      <c r="A2468" s="57" t="s">
        <v>1056</v>
      </c>
      <c r="B2468" s="57" t="s">
        <v>68</v>
      </c>
      <c r="C2468" s="57">
        <v>2019</v>
      </c>
      <c r="D2468" s="58">
        <f>MATCH(B2468,{"GENNAIO","FEBBRAIO","MARZO","APRILE","MAGGIO","GIUGNO","LUGLIO","AGOSTO","SETTEMBRE","OTTOBRE","NOVEMBRE","DICEMBRE"},0)</f>
        <v>9</v>
      </c>
      <c r="E2468" s="57" t="str">
        <f t="shared" si="1256"/>
        <v>SETTEMBRE 2019</v>
      </c>
      <c r="F2468" s="57" t="str">
        <f t="shared" si="1255"/>
        <v>9 SETTEMBRE 2019</v>
      </c>
      <c r="G2468" s="60">
        <v>3.09</v>
      </c>
      <c r="H2468" s="1338" t="s">
        <v>741</v>
      </c>
      <c r="I2468" s="960"/>
      <c r="J2468" s="59"/>
      <c r="K2468" s="59"/>
      <c r="L2468"/>
      <c r="M2468"/>
      <c r="N2468"/>
    </row>
    <row r="2469" spans="1:14" x14ac:dyDescent="0.25">
      <c r="A2469" s="57" t="s">
        <v>1056</v>
      </c>
      <c r="B2469" s="57" t="s">
        <v>68</v>
      </c>
      <c r="C2469" s="57">
        <v>2019</v>
      </c>
      <c r="D2469" s="58">
        <f>MATCH(B2469,{"GENNAIO","FEBBRAIO","MARZO","APRILE","MAGGIO","GIUGNO","LUGLIO","AGOSTO","SETTEMBRE","OTTOBRE","NOVEMBRE","DICEMBRE"},0)</f>
        <v>9</v>
      </c>
      <c r="E2469" s="57" t="str">
        <f t="shared" si="1256"/>
        <v>SETTEMBRE 2019</v>
      </c>
      <c r="F2469" s="57" t="str">
        <f t="shared" si="1255"/>
        <v>9 SETTEMBRE 2019</v>
      </c>
      <c r="G2469" s="60">
        <v>8.49</v>
      </c>
      <c r="H2469" s="1338" t="s">
        <v>174</v>
      </c>
      <c r="I2469" s="960"/>
      <c r="J2469" s="59"/>
      <c r="K2469" s="59"/>
      <c r="L2469"/>
      <c r="M2469"/>
      <c r="N2469"/>
    </row>
    <row r="2470" spans="1:14" x14ac:dyDescent="0.25">
      <c r="A2470" s="57" t="s">
        <v>164</v>
      </c>
      <c r="B2470" s="57" t="s">
        <v>68</v>
      </c>
      <c r="C2470" s="57">
        <v>2019</v>
      </c>
      <c r="D2470" s="58">
        <f>MATCH(B2470,{"GENNAIO","FEBBRAIO","MARZO","APRILE","MAGGIO","GIUGNO","LUGLIO","AGOSTO","SETTEMBRE","OTTOBRE","NOVEMBRE","DICEMBRE"},0)</f>
        <v>9</v>
      </c>
      <c r="E2470" s="57" t="str">
        <f t="shared" si="1256"/>
        <v>SETTEMBRE 2019</v>
      </c>
      <c r="F2470" s="57" t="str">
        <f t="shared" si="1255"/>
        <v>9 SETTEMBRE 2019</v>
      </c>
      <c r="G2470" s="60">
        <v>47.73</v>
      </c>
      <c r="H2470" s="1338" t="s">
        <v>77</v>
      </c>
      <c r="I2470" s="960"/>
      <c r="J2470" s="59"/>
      <c r="K2470" s="59"/>
      <c r="L2470"/>
      <c r="M2470"/>
      <c r="N2470"/>
    </row>
    <row r="2471" spans="1:14" x14ac:dyDescent="0.25">
      <c r="A2471" s="57" t="s">
        <v>240</v>
      </c>
      <c r="B2471" s="57" t="s">
        <v>68</v>
      </c>
      <c r="C2471" s="57">
        <v>2019</v>
      </c>
      <c r="D2471" s="58">
        <f>MATCH(B2471,{"GENNAIO","FEBBRAIO","MARZO","APRILE","MAGGIO","GIUGNO","LUGLIO","AGOSTO","SETTEMBRE","OTTOBRE","NOVEMBRE","DICEMBRE"},0)</f>
        <v>9</v>
      </c>
      <c r="E2471" s="57" t="str">
        <f t="shared" si="1256"/>
        <v>SETTEMBRE 2019</v>
      </c>
      <c r="F2471" s="57" t="str">
        <f t="shared" si="1255"/>
        <v>9 SETTEMBRE 2019</v>
      </c>
      <c r="G2471" s="60">
        <v>32.4</v>
      </c>
      <c r="H2471" s="1338" t="s">
        <v>85</v>
      </c>
      <c r="I2471" s="960"/>
      <c r="J2471" s="59"/>
      <c r="K2471" s="59"/>
    </row>
    <row r="2472" spans="1:14" x14ac:dyDescent="0.25">
      <c r="A2472" s="57" t="s">
        <v>359</v>
      </c>
      <c r="B2472" s="57" t="s">
        <v>80</v>
      </c>
      <c r="C2472" s="57">
        <v>2019</v>
      </c>
      <c r="D2472" s="58">
        <f>MATCH(B2472,{"GENNAIO","FEBBRAIO","MARZO","APRILE","MAGGIO","GIUGNO","LUGLIO","AGOSTO","SETTEMBRE","OTTOBRE","NOVEMBRE","DICEMBRE"},0)</f>
        <v>8</v>
      </c>
      <c r="E2472" s="57" t="str">
        <f t="shared" si="1256"/>
        <v>AGOSTO 2019</v>
      </c>
      <c r="F2472" s="57" t="str">
        <f t="shared" si="1255"/>
        <v>8 AGOSTO 2019</v>
      </c>
      <c r="G2472" s="60">
        <v>25.18</v>
      </c>
      <c r="H2472" s="1338" t="s">
        <v>185</v>
      </c>
      <c r="I2472" s="960"/>
      <c r="J2472" s="59"/>
      <c r="K2472" s="59"/>
    </row>
    <row r="2473" spans="1:14" x14ac:dyDescent="0.25">
      <c r="A2473" s="57" t="s">
        <v>250</v>
      </c>
      <c r="B2473" s="57" t="s">
        <v>80</v>
      </c>
      <c r="C2473" s="57">
        <v>2019</v>
      </c>
      <c r="D2473" s="58">
        <f>MATCH(B2473,{"GENNAIO","FEBBRAIO","MARZO","APRILE","MAGGIO","GIUGNO","LUGLIO","AGOSTO","SETTEMBRE","OTTOBRE","NOVEMBRE","DICEMBRE"},0)</f>
        <v>8</v>
      </c>
      <c r="E2473" s="57" t="str">
        <f t="shared" si="1256"/>
        <v>AGOSTO 2019</v>
      </c>
      <c r="F2473" s="57" t="str">
        <f t="shared" si="1255"/>
        <v>8 AGOSTO 2019</v>
      </c>
      <c r="G2473" s="60">
        <v>4.5</v>
      </c>
      <c r="H2473" s="1338" t="s">
        <v>91</v>
      </c>
      <c r="I2473" s="960"/>
      <c r="J2473" s="59"/>
      <c r="K2473" s="59"/>
    </row>
    <row r="2474" spans="1:14" x14ac:dyDescent="0.25">
      <c r="A2474" s="57" t="s">
        <v>171</v>
      </c>
      <c r="B2474" s="57" t="s">
        <v>80</v>
      </c>
      <c r="C2474" s="57">
        <v>2019</v>
      </c>
      <c r="D2474" s="58">
        <f>MATCH(B2474,{"GENNAIO","FEBBRAIO","MARZO","APRILE","MAGGIO","GIUGNO","LUGLIO","AGOSTO","SETTEMBRE","OTTOBRE","NOVEMBRE","DICEMBRE"},0)</f>
        <v>8</v>
      </c>
      <c r="E2474" s="57" t="str">
        <f t="shared" si="1256"/>
        <v>AGOSTO 2019</v>
      </c>
      <c r="F2474" s="57" t="str">
        <f t="shared" si="1255"/>
        <v>8 AGOSTO 2019</v>
      </c>
      <c r="G2474" s="60">
        <v>22.55</v>
      </c>
      <c r="H2474" s="1338" t="s">
        <v>81</v>
      </c>
      <c r="I2474" s="960"/>
      <c r="J2474" s="59"/>
      <c r="K2474" s="59"/>
    </row>
    <row r="2475" spans="1:14" x14ac:dyDescent="0.25">
      <c r="A2475" s="57" t="s">
        <v>136</v>
      </c>
      <c r="B2475" s="57" t="s">
        <v>80</v>
      </c>
      <c r="C2475" s="57">
        <v>2019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256"/>
        <v>AGOSTO 2019</v>
      </c>
      <c r="F2475" s="57" t="str">
        <f t="shared" si="1255"/>
        <v>8 AGOSTO 2019</v>
      </c>
      <c r="G2475" s="60">
        <v>44.95</v>
      </c>
      <c r="H2475" s="1338" t="s">
        <v>137</v>
      </c>
      <c r="I2475" s="960"/>
      <c r="J2475" s="59"/>
      <c r="K2475" s="59"/>
    </row>
    <row r="2476" spans="1:14" x14ac:dyDescent="0.25">
      <c r="A2476" s="57" t="s">
        <v>360</v>
      </c>
      <c r="B2476" s="57" t="s">
        <v>80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56"/>
        <v>AGOSTO 2019</v>
      </c>
      <c r="F2476" s="57" t="str">
        <f t="shared" si="1255"/>
        <v>8 AGOSTO 2019</v>
      </c>
      <c r="G2476" s="60">
        <v>20.18</v>
      </c>
      <c r="H2476" s="1338" t="s">
        <v>69</v>
      </c>
      <c r="I2476" s="960"/>
      <c r="J2476" s="59"/>
      <c r="K2476" s="59"/>
    </row>
    <row r="2477" spans="1:14" x14ac:dyDescent="0.25">
      <c r="A2477" s="57" t="s">
        <v>111</v>
      </c>
      <c r="B2477" s="57" t="s">
        <v>80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56"/>
        <v>AGOSTO 2019</v>
      </c>
      <c r="F2477" s="57" t="str">
        <f t="shared" si="1255"/>
        <v>8 AGOSTO 2019</v>
      </c>
      <c r="G2477" s="60">
        <v>172.88</v>
      </c>
      <c r="H2477" s="1338" t="s">
        <v>772</v>
      </c>
      <c r="I2477" s="960"/>
      <c r="J2477" s="59"/>
      <c r="K2477" s="59"/>
    </row>
    <row r="2478" spans="1:14" x14ac:dyDescent="0.25">
      <c r="A2478" s="57" t="s">
        <v>311</v>
      </c>
      <c r="B2478" s="57" t="s">
        <v>80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56"/>
        <v>AGOSTO 2019</v>
      </c>
      <c r="F2478" s="57" t="str">
        <f t="shared" si="1255"/>
        <v>8 AGOSTO 2019</v>
      </c>
      <c r="G2478" s="60">
        <v>21.15</v>
      </c>
      <c r="H2478" s="1338" t="s">
        <v>155</v>
      </c>
      <c r="I2478" s="960"/>
      <c r="J2478" s="59"/>
      <c r="K2478" s="59"/>
    </row>
    <row r="2479" spans="1:14" x14ac:dyDescent="0.25">
      <c r="A2479" s="57" t="s">
        <v>67</v>
      </c>
      <c r="B2479" s="57" t="s">
        <v>80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56"/>
        <v>AGOSTO 2019</v>
      </c>
      <c r="F2479" s="57" t="str">
        <f t="shared" si="1255"/>
        <v>8 AGOSTO 2019</v>
      </c>
      <c r="G2479" s="60">
        <v>8</v>
      </c>
      <c r="H2479" s="1338" t="s">
        <v>776</v>
      </c>
      <c r="I2479" s="960"/>
      <c r="J2479" s="59"/>
      <c r="K2479" s="59"/>
    </row>
    <row r="2480" spans="1:14" x14ac:dyDescent="0.25">
      <c r="A2480" s="57" t="s">
        <v>111</v>
      </c>
      <c r="B2480" s="57" t="s">
        <v>80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56"/>
        <v>AGOSTO 2019</v>
      </c>
      <c r="F2480" s="57" t="str">
        <f t="shared" si="1255"/>
        <v>8 AGOSTO 2019</v>
      </c>
      <c r="G2480" s="60">
        <v>155</v>
      </c>
      <c r="H2480" s="1338" t="s">
        <v>772</v>
      </c>
      <c r="I2480" s="960"/>
      <c r="J2480" s="59"/>
      <c r="K2480" s="59"/>
    </row>
    <row r="2481" spans="1:11" x14ac:dyDescent="0.25">
      <c r="A2481" s="57" t="s">
        <v>361</v>
      </c>
      <c r="B2481" s="57" t="s">
        <v>80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56"/>
        <v>AGOSTO 2019</v>
      </c>
      <c r="F2481" s="57" t="str">
        <f t="shared" si="1255"/>
        <v>8 AGOSTO 2019</v>
      </c>
      <c r="G2481" s="60">
        <v>6.09</v>
      </c>
      <c r="H2481" s="1338" t="s">
        <v>70</v>
      </c>
      <c r="I2481" s="960"/>
      <c r="J2481" s="59"/>
      <c r="K2481" s="59"/>
    </row>
    <row r="2482" spans="1:11" x14ac:dyDescent="0.25">
      <c r="A2482" s="57" t="s">
        <v>361</v>
      </c>
      <c r="B2482" s="57" t="s">
        <v>80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56"/>
        <v>AGOSTO 2019</v>
      </c>
      <c r="F2482" s="57" t="str">
        <f t="shared" si="1255"/>
        <v>8 AGOSTO 2019</v>
      </c>
      <c r="G2482" s="60">
        <v>72.92</v>
      </c>
      <c r="H2482" s="1338" t="s">
        <v>70</v>
      </c>
      <c r="I2482" s="960"/>
      <c r="J2482" s="59"/>
      <c r="K2482" s="59"/>
    </row>
    <row r="2483" spans="1:11" x14ac:dyDescent="0.25">
      <c r="A2483" s="57" t="s">
        <v>361</v>
      </c>
      <c r="B2483" s="57" t="s">
        <v>80</v>
      </c>
      <c r="C2483" s="57">
        <v>2019</v>
      </c>
      <c r="D2483" s="58">
        <f>MATCH(B2483,{"GENNAIO","FEBBRAIO","MARZO","APRILE","MAGGIO","GIUGNO","LUGLIO","AGOSTO","SETTEMBRE","OTTOBRE","NOVEMBRE","DICEMBRE"},0)</f>
        <v>8</v>
      </c>
      <c r="E2483" s="57" t="str">
        <f t="shared" si="1256"/>
        <v>AGOSTO 2019</v>
      </c>
      <c r="F2483" s="57" t="str">
        <f t="shared" si="1255"/>
        <v>8 AGOSTO 2019</v>
      </c>
      <c r="G2483" s="60">
        <v>11.51</v>
      </c>
      <c r="H2483" s="1338" t="s">
        <v>70</v>
      </c>
      <c r="I2483" s="960"/>
      <c r="J2483" s="59"/>
      <c r="K2483" s="59"/>
    </row>
    <row r="2484" spans="1:11" x14ac:dyDescent="0.25">
      <c r="A2484" s="57" t="s">
        <v>360</v>
      </c>
      <c r="B2484" s="57" t="s">
        <v>80</v>
      </c>
      <c r="C2484" s="57">
        <v>2019</v>
      </c>
      <c r="D2484" s="58">
        <f>MATCH(B2484,{"GENNAIO","FEBBRAIO","MARZO","APRILE","MAGGIO","GIUGNO","LUGLIO","AGOSTO","SETTEMBRE","OTTOBRE","NOVEMBRE","DICEMBRE"},0)</f>
        <v>8</v>
      </c>
      <c r="E2484" s="57" t="str">
        <f t="shared" si="1256"/>
        <v>AGOSTO 2019</v>
      </c>
      <c r="F2484" s="57" t="str">
        <f t="shared" si="1255"/>
        <v>8 AGOSTO 2019</v>
      </c>
      <c r="G2484" s="60">
        <v>18.68</v>
      </c>
      <c r="H2484" s="1338" t="s">
        <v>69</v>
      </c>
      <c r="I2484" s="960"/>
      <c r="J2484" s="59"/>
      <c r="K2484" s="59"/>
    </row>
    <row r="2485" spans="1:11" x14ac:dyDescent="0.25">
      <c r="A2485" s="57" t="s">
        <v>234</v>
      </c>
      <c r="B2485" s="57" t="s">
        <v>80</v>
      </c>
      <c r="C2485" s="57">
        <v>2019</v>
      </c>
      <c r="D2485" s="58">
        <f>MATCH(B2485,{"GENNAIO","FEBBRAIO","MARZO","APRILE","MAGGIO","GIUGNO","LUGLIO","AGOSTO","SETTEMBRE","OTTOBRE","NOVEMBRE","DICEMBRE"},0)</f>
        <v>8</v>
      </c>
      <c r="E2485" s="57" t="str">
        <f t="shared" si="1256"/>
        <v>AGOSTO 2019</v>
      </c>
      <c r="F2485" s="57" t="str">
        <f t="shared" si="1255"/>
        <v>8 AGOSTO 2019</v>
      </c>
      <c r="G2485" s="60">
        <v>40.24</v>
      </c>
      <c r="H2485" s="1338" t="s">
        <v>137</v>
      </c>
      <c r="I2485" s="960"/>
      <c r="J2485" s="59"/>
      <c r="K2485" s="59"/>
    </row>
    <row r="2486" spans="1:11" x14ac:dyDescent="0.25">
      <c r="A2486" s="57" t="s">
        <v>361</v>
      </c>
      <c r="B2486" s="57" t="s">
        <v>80</v>
      </c>
      <c r="C2486" s="57">
        <v>2019</v>
      </c>
      <c r="D2486" s="58">
        <f>MATCH(B2486,{"GENNAIO","FEBBRAIO","MARZO","APRILE","MAGGIO","GIUGNO","LUGLIO","AGOSTO","SETTEMBRE","OTTOBRE","NOVEMBRE","DICEMBRE"},0)</f>
        <v>8</v>
      </c>
      <c r="E2486" s="57" t="str">
        <f t="shared" si="1256"/>
        <v>AGOSTO 2019</v>
      </c>
      <c r="F2486" s="57" t="str">
        <f t="shared" si="1255"/>
        <v>8 AGOSTO 2019</v>
      </c>
      <c r="G2486" s="60">
        <v>8.16</v>
      </c>
      <c r="H2486" s="1338" t="s">
        <v>70</v>
      </c>
      <c r="I2486" s="960"/>
      <c r="J2486" s="59"/>
      <c r="K2486" s="59"/>
    </row>
    <row r="2487" spans="1:11" x14ac:dyDescent="0.25">
      <c r="A2487" s="57" t="s">
        <v>361</v>
      </c>
      <c r="B2487" s="57" t="s">
        <v>80</v>
      </c>
      <c r="C2487" s="57">
        <v>2019</v>
      </c>
      <c r="D2487" s="58">
        <f>MATCH(B2487,{"GENNAIO","FEBBRAIO","MARZO","APRILE","MAGGIO","GIUGNO","LUGLIO","AGOSTO","SETTEMBRE","OTTOBRE","NOVEMBRE","DICEMBRE"},0)</f>
        <v>8</v>
      </c>
      <c r="E2487" s="57" t="str">
        <f t="shared" si="1256"/>
        <v>AGOSTO 2019</v>
      </c>
      <c r="F2487" s="57" t="str">
        <f t="shared" si="1255"/>
        <v>8 AGOSTO 2019</v>
      </c>
      <c r="G2487" s="60">
        <v>47.32</v>
      </c>
      <c r="H2487" s="1338" t="s">
        <v>70</v>
      </c>
      <c r="I2487" s="960"/>
      <c r="J2487" s="59"/>
      <c r="K2487" s="59"/>
    </row>
    <row r="2488" spans="1:11" x14ac:dyDescent="0.25">
      <c r="A2488" s="57" t="s">
        <v>361</v>
      </c>
      <c r="B2488" s="57" t="s">
        <v>80</v>
      </c>
      <c r="C2488" s="57">
        <v>2019</v>
      </c>
      <c r="D2488" s="58">
        <f>MATCH(B2488,{"GENNAIO","FEBBRAIO","MARZO","APRILE","MAGGIO","GIUGNO","LUGLIO","AGOSTO","SETTEMBRE","OTTOBRE","NOVEMBRE","DICEMBRE"},0)</f>
        <v>8</v>
      </c>
      <c r="E2488" s="57" t="str">
        <f t="shared" si="1256"/>
        <v>AGOSTO 2019</v>
      </c>
      <c r="F2488" s="57" t="str">
        <f t="shared" si="1255"/>
        <v>8 AGOSTO 2019</v>
      </c>
      <c r="G2488" s="60">
        <v>44.17</v>
      </c>
      <c r="H2488" s="1338" t="s">
        <v>70</v>
      </c>
      <c r="I2488" s="960"/>
      <c r="J2488" s="59"/>
      <c r="K2488" s="59"/>
    </row>
    <row r="2489" spans="1:11" x14ac:dyDescent="0.25">
      <c r="A2489" s="57" t="s">
        <v>111</v>
      </c>
      <c r="B2489" s="57" t="s">
        <v>80</v>
      </c>
      <c r="C2489" s="57">
        <v>2019</v>
      </c>
      <c r="D2489" s="58">
        <f>MATCH(B2489,{"GENNAIO","FEBBRAIO","MARZO","APRILE","MAGGIO","GIUGNO","LUGLIO","AGOSTO","SETTEMBRE","OTTOBRE","NOVEMBRE","DICEMBRE"},0)</f>
        <v>8</v>
      </c>
      <c r="E2489" s="57" t="str">
        <f t="shared" si="1256"/>
        <v>AGOSTO 2019</v>
      </c>
      <c r="F2489" s="57" t="str">
        <f t="shared" si="1255"/>
        <v>8 AGOSTO 2019</v>
      </c>
      <c r="G2489" s="60">
        <v>98</v>
      </c>
      <c r="H2489" s="1338" t="s">
        <v>772</v>
      </c>
      <c r="I2489" s="960"/>
      <c r="J2489" s="59"/>
      <c r="K2489" s="59"/>
    </row>
    <row r="2490" spans="1:11" x14ac:dyDescent="0.25">
      <c r="A2490" s="57" t="s">
        <v>111</v>
      </c>
      <c r="B2490" s="57" t="s">
        <v>80</v>
      </c>
      <c r="C2490" s="57">
        <v>2019</v>
      </c>
      <c r="D2490" s="58">
        <f>MATCH(B2490,{"GENNAIO","FEBBRAIO","MARZO","APRILE","MAGGIO","GIUGNO","LUGLIO","AGOSTO","SETTEMBRE","OTTOBRE","NOVEMBRE","DICEMBRE"},0)</f>
        <v>8</v>
      </c>
      <c r="E2490" s="57" t="str">
        <f t="shared" si="1256"/>
        <v>AGOSTO 2019</v>
      </c>
      <c r="F2490" s="57" t="str">
        <f t="shared" si="1255"/>
        <v>8 AGOSTO 2019</v>
      </c>
      <c r="G2490" s="60">
        <v>108</v>
      </c>
      <c r="H2490" s="1338" t="s">
        <v>772</v>
      </c>
      <c r="I2490" s="960"/>
      <c r="J2490" s="59"/>
      <c r="K2490" s="59"/>
    </row>
    <row r="2491" spans="1:11" x14ac:dyDescent="0.25">
      <c r="A2491" s="57" t="s">
        <v>111</v>
      </c>
      <c r="B2491" s="57" t="s">
        <v>80</v>
      </c>
      <c r="C2491" s="57">
        <v>2019</v>
      </c>
      <c r="D2491" s="58">
        <f>MATCH(B2491,{"GENNAIO","FEBBRAIO","MARZO","APRILE","MAGGIO","GIUGNO","LUGLIO","AGOSTO","SETTEMBRE","OTTOBRE","NOVEMBRE","DICEMBRE"},0)</f>
        <v>8</v>
      </c>
      <c r="E2491" s="57" t="str">
        <f t="shared" si="1256"/>
        <v>AGOSTO 2019</v>
      </c>
      <c r="F2491" s="57" t="str">
        <f t="shared" si="1255"/>
        <v>8 AGOSTO 2019</v>
      </c>
      <c r="G2491" s="60">
        <v>122.9</v>
      </c>
      <c r="H2491" s="1338" t="s">
        <v>772</v>
      </c>
      <c r="I2491" s="960"/>
      <c r="J2491" s="59"/>
      <c r="K2491" s="59"/>
    </row>
    <row r="2492" spans="1:11" x14ac:dyDescent="0.25">
      <c r="A2492" s="57" t="s">
        <v>129</v>
      </c>
      <c r="B2492" s="57" t="s">
        <v>80</v>
      </c>
      <c r="C2492" s="57">
        <v>2019</v>
      </c>
      <c r="D2492" s="58">
        <f>MATCH(B2492,{"GENNAIO","FEBBRAIO","MARZO","APRILE","MAGGIO","GIUGNO","LUGLIO","AGOSTO","SETTEMBRE","OTTOBRE","NOVEMBRE","DICEMBRE"},0)</f>
        <v>8</v>
      </c>
      <c r="E2492" s="57" t="str">
        <f t="shared" si="1256"/>
        <v>AGOSTO 2019</v>
      </c>
      <c r="F2492" s="57" t="str">
        <f t="shared" si="1255"/>
        <v>8 AGOSTO 2019</v>
      </c>
      <c r="G2492" s="60">
        <v>20.149999999999999</v>
      </c>
      <c r="H2492" s="1338" t="s">
        <v>91</v>
      </c>
      <c r="I2492" s="960"/>
      <c r="J2492" s="59"/>
      <c r="K2492" s="59"/>
    </row>
    <row r="2493" spans="1:11" x14ac:dyDescent="0.25">
      <c r="A2493" s="57" t="s">
        <v>115</v>
      </c>
      <c r="B2493" s="57" t="s">
        <v>80</v>
      </c>
      <c r="C2493" s="57">
        <v>2019</v>
      </c>
      <c r="D2493" s="58">
        <f>MATCH(B2493,{"GENNAIO","FEBBRAIO","MARZO","APRILE","MAGGIO","GIUGNO","LUGLIO","AGOSTO","SETTEMBRE","OTTOBRE","NOVEMBRE","DICEMBRE"},0)</f>
        <v>8</v>
      </c>
      <c r="E2493" s="57" t="str">
        <f t="shared" si="1256"/>
        <v>AGOSTO 2019</v>
      </c>
      <c r="F2493" s="57" t="str">
        <f t="shared" si="1255"/>
        <v>8 AGOSTO 2019</v>
      </c>
      <c r="G2493" s="60">
        <v>13</v>
      </c>
      <c r="H2493" s="1338" t="s">
        <v>69</v>
      </c>
      <c r="I2493" s="960"/>
      <c r="J2493" s="59"/>
      <c r="K2493" s="59"/>
    </row>
    <row r="2494" spans="1:11" x14ac:dyDescent="0.25">
      <c r="A2494" s="61" t="s">
        <v>362</v>
      </c>
      <c r="B2494" s="61" t="s">
        <v>119</v>
      </c>
      <c r="C2494" s="61">
        <v>2019</v>
      </c>
      <c r="D2494" s="58">
        <f>MATCH(B2494,{"GENNAIO","FEBBRAIO","MARZO","APRILE","MAGGIO","GIUGNO","LUGLIO","AGOSTO","SETTEMBRE","OTTOBRE","NOVEMBRE","DICEMBRE"},0)</f>
        <v>7</v>
      </c>
      <c r="E2494" s="57" t="str">
        <f t="shared" si="1256"/>
        <v>LUGLIO 2019</v>
      </c>
      <c r="F2494" s="57" t="str">
        <f t="shared" si="1255"/>
        <v>7 LUGLIO 2019</v>
      </c>
      <c r="G2494" s="62">
        <v>181.8</v>
      </c>
      <c r="H2494" s="1338" t="s">
        <v>70</v>
      </c>
      <c r="I2494" s="960"/>
      <c r="J2494" s="59"/>
      <c r="K2494" s="59"/>
    </row>
    <row r="2495" spans="1:11" x14ac:dyDescent="0.25">
      <c r="A2495" s="57" t="s">
        <v>250</v>
      </c>
      <c r="B2495" s="57" t="s">
        <v>119</v>
      </c>
      <c r="C2495" s="57">
        <v>2019</v>
      </c>
      <c r="D2495" s="58">
        <f>MATCH(B2495,{"GENNAIO","FEBBRAIO","MARZO","APRILE","MAGGIO","GIUGNO","LUGLIO","AGOSTO","SETTEMBRE","OTTOBRE","NOVEMBRE","DICEMBRE"},0)</f>
        <v>7</v>
      </c>
      <c r="E2495" s="57" t="str">
        <f t="shared" si="1256"/>
        <v>LUGLIO 2019</v>
      </c>
      <c r="F2495" s="57" t="str">
        <f t="shared" si="1255"/>
        <v>7 LUGLIO 2019</v>
      </c>
      <c r="G2495" s="60">
        <v>30</v>
      </c>
      <c r="H2495" s="1338" t="s">
        <v>91</v>
      </c>
      <c r="I2495" s="960"/>
      <c r="J2495" s="59"/>
      <c r="K2495" s="59"/>
    </row>
    <row r="2496" spans="1:11" x14ac:dyDescent="0.25">
      <c r="A2496" s="57" t="s">
        <v>300</v>
      </c>
      <c r="B2496" s="57" t="s">
        <v>119</v>
      </c>
      <c r="C2496" s="57">
        <v>2019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256"/>
        <v>LUGLIO 2019</v>
      </c>
      <c r="F2496" s="57" t="str">
        <f t="shared" si="1255"/>
        <v>7 LUGLIO 2019</v>
      </c>
      <c r="G2496" s="60">
        <v>102.3</v>
      </c>
      <c r="H2496" s="1338" t="s">
        <v>69</v>
      </c>
      <c r="I2496" s="960"/>
      <c r="J2496" s="59"/>
      <c r="K2496" s="59"/>
    </row>
    <row r="2497" spans="1:11" x14ac:dyDescent="0.25">
      <c r="A2497" s="57" t="s">
        <v>110</v>
      </c>
      <c r="B2497" s="57" t="s">
        <v>119</v>
      </c>
      <c r="C2497" s="57">
        <v>2019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256"/>
        <v>LUGLIO 2019</v>
      </c>
      <c r="F2497" s="57" t="str">
        <f t="shared" si="1255"/>
        <v>7 LUGLIO 2019</v>
      </c>
      <c r="G2497" s="60">
        <v>334.04</v>
      </c>
      <c r="H2497" s="1338" t="s">
        <v>772</v>
      </c>
      <c r="I2497" s="960"/>
      <c r="J2497" s="59"/>
      <c r="K2497" s="59" t="s">
        <v>775</v>
      </c>
    </row>
    <row r="2498" spans="1:11" x14ac:dyDescent="0.25">
      <c r="A2498" s="57" t="s">
        <v>164</v>
      </c>
      <c r="B2498" s="57" t="s">
        <v>119</v>
      </c>
      <c r="C2498" s="57">
        <v>2019</v>
      </c>
      <c r="D2498" s="58">
        <f>MATCH(B2498,{"GENNAIO","FEBBRAIO","MARZO","APRILE","MAGGIO","GIUGNO","LUGLIO","AGOSTO","SETTEMBRE","OTTOBRE","NOVEMBRE","DICEMBRE"},0)</f>
        <v>7</v>
      </c>
      <c r="E2498" s="57" t="str">
        <f t="shared" ref="E2498:E2508" si="1257">CONCATENATE(,B2498," ",C2498)</f>
        <v>LUGLIO 2019</v>
      </c>
      <c r="F2498" s="57" t="str">
        <f t="shared" si="1255"/>
        <v>7 LUGLIO 2019</v>
      </c>
      <c r="G2498" s="60">
        <v>20.399999999999999</v>
      </c>
      <c r="H2498" s="1338" t="s">
        <v>77</v>
      </c>
      <c r="I2498" s="960"/>
      <c r="J2498" s="59"/>
      <c r="K2498" s="59"/>
    </row>
    <row r="2499" spans="1:11" x14ac:dyDescent="0.25">
      <c r="A2499" s="57" t="s">
        <v>363</v>
      </c>
      <c r="B2499" s="57" t="s">
        <v>119</v>
      </c>
      <c r="C2499" s="57">
        <v>2019</v>
      </c>
      <c r="D2499" s="58">
        <f>MATCH(B2499,{"GENNAIO","FEBBRAIO","MARZO","APRILE","MAGGIO","GIUGNO","LUGLIO","AGOSTO","SETTEMBRE","OTTOBRE","NOVEMBRE","DICEMBRE"},0)</f>
        <v>7</v>
      </c>
      <c r="E2499" s="57" t="str">
        <f t="shared" si="1257"/>
        <v>LUGLIO 2019</v>
      </c>
      <c r="F2499" s="57" t="str">
        <f t="shared" si="1255"/>
        <v>7 LUGLIO 2019</v>
      </c>
      <c r="G2499" s="60">
        <v>75.84</v>
      </c>
      <c r="H2499" s="1338" t="s">
        <v>70</v>
      </c>
      <c r="I2499" s="960"/>
      <c r="J2499" s="59"/>
      <c r="K2499" s="59"/>
    </row>
    <row r="2500" spans="1:11" x14ac:dyDescent="0.25">
      <c r="A2500" s="57" t="s">
        <v>363</v>
      </c>
      <c r="B2500" s="57" t="s">
        <v>119</v>
      </c>
      <c r="C2500" s="57">
        <v>2019</v>
      </c>
      <c r="D2500" s="58">
        <f>MATCH(B2500,{"GENNAIO","FEBBRAIO","MARZO","APRILE","MAGGIO","GIUGNO","LUGLIO","AGOSTO","SETTEMBRE","OTTOBRE","NOVEMBRE","DICEMBRE"},0)</f>
        <v>7</v>
      </c>
      <c r="E2500" s="57" t="str">
        <f t="shared" si="1257"/>
        <v>LUGLIO 2019</v>
      </c>
      <c r="F2500" s="57" t="str">
        <f t="shared" si="1255"/>
        <v>7 LUGLIO 2019</v>
      </c>
      <c r="G2500" s="60">
        <v>3.32</v>
      </c>
      <c r="H2500" s="1338" t="s">
        <v>70</v>
      </c>
      <c r="I2500" s="960"/>
      <c r="J2500" s="59"/>
      <c r="K2500" s="59"/>
    </row>
    <row r="2501" spans="1:11" x14ac:dyDescent="0.25">
      <c r="A2501" s="57" t="s">
        <v>363</v>
      </c>
      <c r="B2501" s="57" t="s">
        <v>119</v>
      </c>
      <c r="C2501" s="57">
        <v>2019</v>
      </c>
      <c r="D2501" s="58">
        <f>MATCH(B2501,{"GENNAIO","FEBBRAIO","MARZO","APRILE","MAGGIO","GIUGNO","LUGLIO","AGOSTO","SETTEMBRE","OTTOBRE","NOVEMBRE","DICEMBRE"},0)</f>
        <v>7</v>
      </c>
      <c r="E2501" s="57" t="str">
        <f t="shared" si="1257"/>
        <v>LUGLIO 2019</v>
      </c>
      <c r="F2501" s="57" t="str">
        <f t="shared" si="1255"/>
        <v>7 LUGLIO 2019</v>
      </c>
      <c r="G2501" s="60">
        <v>21.61</v>
      </c>
      <c r="H2501" s="1338" t="s">
        <v>70</v>
      </c>
      <c r="I2501" s="960"/>
      <c r="J2501" s="59"/>
      <c r="K2501" s="59"/>
    </row>
    <row r="2502" spans="1:11" x14ac:dyDescent="0.25">
      <c r="A2502" s="57" t="s">
        <v>363</v>
      </c>
      <c r="B2502" s="57" t="s">
        <v>119</v>
      </c>
      <c r="C2502" s="57">
        <v>2019</v>
      </c>
      <c r="D2502" s="58">
        <f>MATCH(B2502,{"GENNAIO","FEBBRAIO","MARZO","APRILE","MAGGIO","GIUGNO","LUGLIO","AGOSTO","SETTEMBRE","OTTOBRE","NOVEMBRE","DICEMBRE"},0)</f>
        <v>7</v>
      </c>
      <c r="E2502" s="57" t="str">
        <f t="shared" si="1257"/>
        <v>LUGLIO 2019</v>
      </c>
      <c r="F2502" s="57" t="str">
        <f t="shared" si="1255"/>
        <v>7 LUGLIO 2019</v>
      </c>
      <c r="G2502" s="60">
        <v>13.81</v>
      </c>
      <c r="H2502" s="1338" t="s">
        <v>70</v>
      </c>
      <c r="I2502" s="960"/>
      <c r="J2502" s="59"/>
      <c r="K2502" s="59"/>
    </row>
    <row r="2503" spans="1:11" x14ac:dyDescent="0.25">
      <c r="A2503" s="57" t="s">
        <v>363</v>
      </c>
      <c r="B2503" s="57" t="s">
        <v>119</v>
      </c>
      <c r="C2503" s="57">
        <v>2019</v>
      </c>
      <c r="D2503" s="58">
        <f>MATCH(B2503,{"GENNAIO","FEBBRAIO","MARZO","APRILE","MAGGIO","GIUGNO","LUGLIO","AGOSTO","SETTEMBRE","OTTOBRE","NOVEMBRE","DICEMBRE"},0)</f>
        <v>7</v>
      </c>
      <c r="E2503" s="57" t="str">
        <f t="shared" si="1257"/>
        <v>LUGLIO 2019</v>
      </c>
      <c r="F2503" s="57" t="str">
        <f t="shared" si="1255"/>
        <v>7 LUGLIO 2019</v>
      </c>
      <c r="G2503" s="60">
        <v>27.57</v>
      </c>
      <c r="H2503" s="1338" t="s">
        <v>70</v>
      </c>
      <c r="I2503" s="960"/>
      <c r="J2503" s="59"/>
      <c r="K2503" s="59"/>
    </row>
    <row r="2504" spans="1:11" x14ac:dyDescent="0.25">
      <c r="A2504" s="57" t="s">
        <v>363</v>
      </c>
      <c r="B2504" s="57" t="s">
        <v>119</v>
      </c>
      <c r="C2504" s="57">
        <v>2019</v>
      </c>
      <c r="D2504" s="58">
        <f>MATCH(B2504,{"GENNAIO","FEBBRAIO","MARZO","APRILE","MAGGIO","GIUGNO","LUGLIO","AGOSTO","SETTEMBRE","OTTOBRE","NOVEMBRE","DICEMBRE"},0)</f>
        <v>7</v>
      </c>
      <c r="E2504" s="57" t="str">
        <f t="shared" si="1257"/>
        <v>LUGLIO 2019</v>
      </c>
      <c r="F2504" s="57" t="str">
        <f t="shared" si="1255"/>
        <v>7 LUGLIO 2019</v>
      </c>
      <c r="G2504" s="60">
        <v>6.76</v>
      </c>
      <c r="H2504" s="1338" t="s">
        <v>70</v>
      </c>
      <c r="I2504" s="960"/>
      <c r="J2504" s="59"/>
      <c r="K2504" s="59"/>
    </row>
    <row r="2505" spans="1:11" x14ac:dyDescent="0.25">
      <c r="A2505" s="57" t="s">
        <v>364</v>
      </c>
      <c r="B2505" s="57" t="s">
        <v>119</v>
      </c>
      <c r="C2505" s="57">
        <v>2019</v>
      </c>
      <c r="D2505" s="58">
        <f>MATCH(B2505,{"GENNAIO","FEBBRAIO","MARZO","APRILE","MAGGIO","GIUGNO","LUGLIO","AGOSTO","SETTEMBRE","OTTOBRE","NOVEMBRE","DICEMBRE"},0)</f>
        <v>7</v>
      </c>
      <c r="E2505" s="57" t="str">
        <f t="shared" si="1257"/>
        <v>LUGLIO 2019</v>
      </c>
      <c r="F2505" s="57" t="str">
        <f t="shared" si="1255"/>
        <v>7 LUGLIO 2019</v>
      </c>
      <c r="G2505" s="60">
        <v>1.3</v>
      </c>
      <c r="H2505" s="1338" t="s">
        <v>91</v>
      </c>
      <c r="I2505" s="960"/>
      <c r="J2505" s="59"/>
      <c r="K2505" s="59"/>
    </row>
    <row r="2506" spans="1:11" x14ac:dyDescent="0.25">
      <c r="A2506" s="57" t="s">
        <v>364</v>
      </c>
      <c r="B2506" s="57" t="s">
        <v>119</v>
      </c>
      <c r="C2506" s="57">
        <v>2019</v>
      </c>
      <c r="D2506" s="58">
        <f>MATCH(B2506,{"GENNAIO","FEBBRAIO","MARZO","APRILE","MAGGIO","GIUGNO","LUGLIO","AGOSTO","SETTEMBRE","OTTOBRE","NOVEMBRE","DICEMBRE"},0)</f>
        <v>7</v>
      </c>
      <c r="E2506" s="57" t="str">
        <f t="shared" si="1257"/>
        <v>LUGLIO 2019</v>
      </c>
      <c r="F2506" s="57" t="str">
        <f t="shared" si="1255"/>
        <v>7 LUGLIO 2019</v>
      </c>
      <c r="G2506" s="60">
        <v>1.3</v>
      </c>
      <c r="H2506" s="1338" t="s">
        <v>91</v>
      </c>
      <c r="I2506" s="960"/>
      <c r="J2506" s="59"/>
      <c r="K2506" s="59"/>
    </row>
    <row r="2507" spans="1:11" x14ac:dyDescent="0.25">
      <c r="A2507" s="57" t="s">
        <v>364</v>
      </c>
      <c r="B2507" s="57" t="s">
        <v>119</v>
      </c>
      <c r="C2507" s="57">
        <v>2019</v>
      </c>
      <c r="D2507" s="58">
        <f>MATCH(B2507,{"GENNAIO","FEBBRAIO","MARZO","APRILE","MAGGIO","GIUGNO","LUGLIO","AGOSTO","SETTEMBRE","OTTOBRE","NOVEMBRE","DICEMBRE"},0)</f>
        <v>7</v>
      </c>
      <c r="E2507" s="57" t="str">
        <f t="shared" si="1257"/>
        <v>LUGLIO 2019</v>
      </c>
      <c r="F2507" s="57" t="str">
        <f t="shared" si="1255"/>
        <v>7 LUGLIO 2019</v>
      </c>
      <c r="G2507" s="60">
        <v>2.6</v>
      </c>
      <c r="H2507" s="1338" t="s">
        <v>91</v>
      </c>
      <c r="I2507" s="960"/>
      <c r="J2507" s="59"/>
      <c r="K2507" s="59"/>
    </row>
    <row r="2508" spans="1:11" x14ac:dyDescent="0.25">
      <c r="A2508" s="57" t="s">
        <v>108</v>
      </c>
      <c r="B2508" s="57" t="s">
        <v>119</v>
      </c>
      <c r="C2508" s="57">
        <v>2019</v>
      </c>
      <c r="D2508" s="58">
        <f>MATCH(B2508,{"GENNAIO","FEBBRAIO","MARZO","APRILE","MAGGIO","GIUGNO","LUGLIO","AGOSTO","SETTEMBRE","OTTOBRE","NOVEMBRE","DICEMBRE"},0)</f>
        <v>7</v>
      </c>
      <c r="E2508" s="57" t="str">
        <f t="shared" si="1257"/>
        <v>LUGLIO 2019</v>
      </c>
      <c r="F2508" s="57" t="str">
        <f t="shared" si="1255"/>
        <v>7 LUGLIO 2019</v>
      </c>
      <c r="G2508" s="60">
        <v>36.99</v>
      </c>
      <c r="H2508" s="1338" t="s">
        <v>75</v>
      </c>
      <c r="I2508" s="960"/>
      <c r="J2508" s="57" t="s">
        <v>108</v>
      </c>
      <c r="K2508" s="59"/>
    </row>
    <row r="2509" spans="1:11" x14ac:dyDescent="0.25">
      <c r="G2509" s="37"/>
      <c r="I2509" s="961"/>
    </row>
    <row r="2510" spans="1:11" x14ac:dyDescent="0.25">
      <c r="G2510" s="37"/>
    </row>
  </sheetData>
  <autoFilter ref="A1:K2508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29"/>
  <sheetViews>
    <sheetView showGridLines="0" zoomScale="85" zoomScaleNormal="85" workbookViewId="0">
      <pane ySplit="1" topLeftCell="A123" activePane="bottomLeft" state="frozen"/>
      <selection pane="bottomLeft" activeCell="H153" sqref="H153"/>
    </sheetView>
  </sheetViews>
  <sheetFormatPr defaultColWidth="9.140625" defaultRowHeight="15" x14ac:dyDescent="0.2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61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 x14ac:dyDescent="0.25">
      <c r="A1" s="53" t="s">
        <v>61</v>
      </c>
      <c r="B1" s="53" t="s">
        <v>62</v>
      </c>
      <c r="C1" s="53" t="s">
        <v>63</v>
      </c>
      <c r="D1" s="53" t="s">
        <v>62</v>
      </c>
      <c r="E1" s="53" t="s">
        <v>64</v>
      </c>
      <c r="F1" s="53" t="s">
        <v>64</v>
      </c>
      <c r="G1" s="54" t="s">
        <v>65</v>
      </c>
      <c r="H1" s="55" t="s">
        <v>61</v>
      </c>
      <c r="I1" s="962" t="s">
        <v>428</v>
      </c>
      <c r="J1" s="966" t="s">
        <v>985</v>
      </c>
      <c r="K1" s="55" t="s">
        <v>66</v>
      </c>
    </row>
    <row r="2" spans="1:11" x14ac:dyDescent="0.25">
      <c r="A2" s="57" t="s">
        <v>1063</v>
      </c>
      <c r="B2" s="57" t="s">
        <v>168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166</v>
      </c>
      <c r="I2" s="59"/>
      <c r="J2" s="59"/>
      <c r="K2" s="59" t="s">
        <v>1238</v>
      </c>
    </row>
    <row r="3" spans="1:11" x14ac:dyDescent="0.25">
      <c r="A3" s="57" t="s">
        <v>1170</v>
      </c>
      <c r="B3" s="57" t="s">
        <v>183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69</v>
      </c>
      <c r="I3" s="59"/>
      <c r="J3" s="59"/>
      <c r="K3" s="59"/>
    </row>
    <row r="4" spans="1:11" ht="16.5" customHeight="1" x14ac:dyDescent="0.25">
      <c r="A4" s="57" t="s">
        <v>368</v>
      </c>
      <c r="B4" s="57" t="s">
        <v>183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166</v>
      </c>
      <c r="I4" s="59"/>
      <c r="J4" s="59"/>
      <c r="K4" s="59"/>
    </row>
    <row r="5" spans="1:11" x14ac:dyDescent="0.25">
      <c r="A5" s="57" t="s">
        <v>372</v>
      </c>
      <c r="B5" s="57" t="s">
        <v>183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166</v>
      </c>
      <c r="I5" s="59"/>
      <c r="J5" s="59"/>
      <c r="K5" s="59"/>
    </row>
    <row r="6" spans="1:11" x14ac:dyDescent="0.25">
      <c r="A6" s="57" t="s">
        <v>371</v>
      </c>
      <c r="B6" s="57" t="s">
        <v>183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166</v>
      </c>
      <c r="I6" s="59"/>
      <c r="J6" s="59"/>
      <c r="K6" s="59"/>
    </row>
    <row r="7" spans="1:11" x14ac:dyDescent="0.25">
      <c r="A7" s="57" t="s">
        <v>380</v>
      </c>
      <c r="B7" s="57" t="s">
        <v>183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166</v>
      </c>
      <c r="I7" s="59"/>
      <c r="J7" s="59"/>
      <c r="K7" s="59"/>
    </row>
    <row r="8" spans="1:11" x14ac:dyDescent="0.25">
      <c r="A8" s="57" t="s">
        <v>138</v>
      </c>
      <c r="B8" s="57" t="s">
        <v>188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69</v>
      </c>
      <c r="I8" s="59"/>
      <c r="J8" s="59"/>
      <c r="K8" s="59"/>
    </row>
    <row r="9" spans="1:11" x14ac:dyDescent="0.25">
      <c r="A9" s="57" t="s">
        <v>138</v>
      </c>
      <c r="B9" s="57" t="s">
        <v>188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69</v>
      </c>
      <c r="I9" s="59"/>
      <c r="J9" s="59"/>
      <c r="K9" s="59"/>
    </row>
    <row r="10" spans="1:11" x14ac:dyDescent="0.25">
      <c r="A10" s="57" t="s">
        <v>1158</v>
      </c>
      <c r="B10" s="57" t="s">
        <v>188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93</v>
      </c>
      <c r="I10" s="59"/>
      <c r="J10" s="59"/>
      <c r="K10" s="59" t="s">
        <v>1134</v>
      </c>
    </row>
    <row r="11" spans="1:11" x14ac:dyDescent="0.25">
      <c r="A11" s="57" t="s">
        <v>1157</v>
      </c>
      <c r="B11" s="57" t="s">
        <v>188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93</v>
      </c>
      <c r="I11" s="59"/>
      <c r="J11" s="59"/>
      <c r="K11" s="59" t="s">
        <v>1134</v>
      </c>
    </row>
    <row r="12" spans="1:11" x14ac:dyDescent="0.25">
      <c r="A12" s="57" t="s">
        <v>1154</v>
      </c>
      <c r="B12" s="57" t="s">
        <v>188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69</v>
      </c>
      <c r="I12" s="59"/>
      <c r="J12" s="59"/>
      <c r="K12" s="59" t="s">
        <v>1134</v>
      </c>
    </row>
    <row r="13" spans="1:11" x14ac:dyDescent="0.25">
      <c r="A13" s="57" t="s">
        <v>113</v>
      </c>
      <c r="B13" s="57" t="s">
        <v>188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114</v>
      </c>
      <c r="I13" s="962"/>
      <c r="J13" s="966"/>
      <c r="K13" s="55"/>
    </row>
    <row r="14" spans="1:11" x14ac:dyDescent="0.25">
      <c r="A14" s="57" t="s">
        <v>122</v>
      </c>
      <c r="B14" s="57" t="s">
        <v>188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77</v>
      </c>
      <c r="I14" s="59"/>
      <c r="J14" s="59"/>
      <c r="K14" s="59"/>
    </row>
    <row r="15" spans="1:11" x14ac:dyDescent="0.25">
      <c r="A15" s="57" t="s">
        <v>831</v>
      </c>
      <c r="B15" s="57" t="s">
        <v>188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81</v>
      </c>
      <c r="I15" s="59"/>
      <c r="J15" s="59"/>
      <c r="K15" s="59"/>
    </row>
    <row r="16" spans="1:11" x14ac:dyDescent="0.25">
      <c r="A16" s="57" t="s">
        <v>83</v>
      </c>
      <c r="B16" s="57" t="s">
        <v>188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77</v>
      </c>
      <c r="I16" s="59"/>
      <c r="J16" s="59"/>
      <c r="K16" s="59"/>
    </row>
    <row r="17" spans="1:11" x14ac:dyDescent="0.25">
      <c r="A17" s="57" t="s">
        <v>171</v>
      </c>
      <c r="B17" s="57" t="s">
        <v>188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81</v>
      </c>
      <c r="I17" s="59"/>
      <c r="J17" s="59"/>
      <c r="K17" s="59"/>
    </row>
    <row r="18" spans="1:11" x14ac:dyDescent="0.25">
      <c r="A18" s="57" t="s">
        <v>190</v>
      </c>
      <c r="B18" s="57" t="s">
        <v>188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93</v>
      </c>
      <c r="I18" s="59"/>
      <c r="J18" s="59"/>
      <c r="K18" s="59" t="s">
        <v>1134</v>
      </c>
    </row>
    <row r="19" spans="1:11" x14ac:dyDescent="0.25">
      <c r="A19" s="57" t="s">
        <v>189</v>
      </c>
      <c r="B19" s="57" t="s">
        <v>188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93</v>
      </c>
      <c r="I19" s="59"/>
      <c r="J19" s="59"/>
      <c r="K19" s="59" t="s">
        <v>1134</v>
      </c>
    </row>
    <row r="20" spans="1:11" x14ac:dyDescent="0.25">
      <c r="A20" s="57" t="s">
        <v>138</v>
      </c>
      <c r="B20" s="57" t="s">
        <v>188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69</v>
      </c>
      <c r="I20" s="59"/>
      <c r="J20" s="59"/>
      <c r="K20" s="59"/>
    </row>
    <row r="21" spans="1:11" x14ac:dyDescent="0.25">
      <c r="A21" s="57" t="s">
        <v>138</v>
      </c>
      <c r="B21" s="57" t="s">
        <v>188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69</v>
      </c>
      <c r="I21" s="59"/>
      <c r="J21" s="59"/>
      <c r="K21" s="59"/>
    </row>
    <row r="22" spans="1:11" x14ac:dyDescent="0.25">
      <c r="A22" s="57" t="s">
        <v>750</v>
      </c>
      <c r="B22" s="57" t="s">
        <v>207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166</v>
      </c>
      <c r="I22" s="59"/>
      <c r="J22" s="59"/>
      <c r="K22" s="59"/>
    </row>
    <row r="23" spans="1:11" x14ac:dyDescent="0.25">
      <c r="A23" s="57" t="s">
        <v>349</v>
      </c>
      <c r="B23" s="57" t="s">
        <v>207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174</v>
      </c>
      <c r="I23" s="960"/>
      <c r="J23" s="142" t="s">
        <v>768</v>
      </c>
      <c r="K23" s="59"/>
    </row>
    <row r="24" spans="1:11" x14ac:dyDescent="0.25">
      <c r="A24" s="57" t="s">
        <v>750</v>
      </c>
      <c r="B24" s="57" t="s">
        <v>207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166</v>
      </c>
      <c r="I24" s="59"/>
      <c r="J24" s="59"/>
      <c r="K24" s="59"/>
    </row>
    <row r="25" spans="1:11" x14ac:dyDescent="0.25">
      <c r="A25" s="57" t="s">
        <v>1025</v>
      </c>
      <c r="B25" s="57" t="s">
        <v>207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174</v>
      </c>
      <c r="I25" s="960"/>
      <c r="J25" s="142" t="s">
        <v>768</v>
      </c>
      <c r="K25" s="59"/>
    </row>
    <row r="26" spans="1:11" x14ac:dyDescent="0.25">
      <c r="A26" s="57" t="s">
        <v>861</v>
      </c>
      <c r="B26" s="57" t="s">
        <v>215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69</v>
      </c>
      <c r="I26" s="59"/>
      <c r="J26" s="59"/>
      <c r="K26" s="59"/>
    </row>
    <row r="27" spans="1:11" x14ac:dyDescent="0.25">
      <c r="A27" s="57" t="s">
        <v>1063</v>
      </c>
      <c r="B27" s="57" t="s">
        <v>68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166</v>
      </c>
      <c r="I27" s="59"/>
      <c r="J27" s="59"/>
      <c r="K27" s="59" t="s">
        <v>1062</v>
      </c>
    </row>
    <row r="28" spans="1:11" x14ac:dyDescent="0.25">
      <c r="A28" s="57" t="s">
        <v>1063</v>
      </c>
      <c r="B28" s="57" t="s">
        <v>68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166</v>
      </c>
      <c r="I28" s="59"/>
      <c r="J28" s="59"/>
      <c r="K28" s="59" t="s">
        <v>1062</v>
      </c>
    </row>
    <row r="29" spans="1:11" x14ac:dyDescent="0.25">
      <c r="A29" s="57" t="s">
        <v>915</v>
      </c>
      <c r="B29" s="57" t="s">
        <v>80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69</v>
      </c>
      <c r="I29" s="59"/>
      <c r="J29" s="59"/>
      <c r="K29" s="59"/>
    </row>
    <row r="30" spans="1:11" x14ac:dyDescent="0.25">
      <c r="A30" s="57" t="s">
        <v>995</v>
      </c>
      <c r="B30" s="57" t="s">
        <v>80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91</v>
      </c>
      <c r="I30" s="960"/>
      <c r="J30" s="142" t="s">
        <v>768</v>
      </c>
      <c r="K30" s="59"/>
    </row>
    <row r="31" spans="1:11" x14ac:dyDescent="0.25">
      <c r="A31" s="57" t="s">
        <v>86</v>
      </c>
      <c r="B31" s="57" t="s">
        <v>80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69</v>
      </c>
      <c r="I31" s="59"/>
      <c r="J31" s="59"/>
      <c r="K31" s="59"/>
    </row>
    <row r="32" spans="1:11" x14ac:dyDescent="0.25">
      <c r="A32" s="57" t="s">
        <v>877</v>
      </c>
      <c r="B32" s="57" t="s">
        <v>131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91</v>
      </c>
      <c r="I32" s="960"/>
      <c r="J32" s="142" t="s">
        <v>768</v>
      </c>
      <c r="K32" s="59" t="s">
        <v>813</v>
      </c>
    </row>
    <row r="33" spans="1:11" x14ac:dyDescent="0.25">
      <c r="A33" s="57" t="s">
        <v>877</v>
      </c>
      <c r="B33" s="57" t="s">
        <v>131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91</v>
      </c>
      <c r="I33" s="963"/>
      <c r="J33" s="142" t="s">
        <v>768</v>
      </c>
      <c r="K33" s="59" t="s">
        <v>830</v>
      </c>
    </row>
    <row r="34" spans="1:11" x14ac:dyDescent="0.25">
      <c r="A34" s="57" t="s">
        <v>999</v>
      </c>
      <c r="B34" s="57" t="s">
        <v>143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137</v>
      </c>
      <c r="I34" s="960"/>
      <c r="J34" s="142" t="s">
        <v>768</v>
      </c>
      <c r="K34" s="59" t="s">
        <v>855</v>
      </c>
    </row>
    <row r="35" spans="1:11" x14ac:dyDescent="0.25">
      <c r="A35" s="57" t="s">
        <v>999</v>
      </c>
      <c r="B35" s="57" t="s">
        <v>143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137</v>
      </c>
      <c r="I35" s="960"/>
      <c r="J35" s="142" t="s">
        <v>768</v>
      </c>
      <c r="K35" s="59" t="s">
        <v>852</v>
      </c>
    </row>
    <row r="36" spans="1:11" x14ac:dyDescent="0.25">
      <c r="A36" s="57" t="s">
        <v>108</v>
      </c>
      <c r="B36" s="57" t="s">
        <v>159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93</v>
      </c>
      <c r="I36" s="59"/>
      <c r="J36" s="59"/>
      <c r="K36" s="59" t="s">
        <v>838</v>
      </c>
    </row>
    <row r="37" spans="1:11" x14ac:dyDescent="0.25">
      <c r="A37" s="57" t="s">
        <v>998</v>
      </c>
      <c r="B37" s="57" t="s">
        <v>159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70</v>
      </c>
      <c r="I37" s="960" t="s">
        <v>988</v>
      </c>
      <c r="J37" s="142" t="s">
        <v>768</v>
      </c>
      <c r="K37" s="59" t="s">
        <v>829</v>
      </c>
    </row>
    <row r="38" spans="1:11" x14ac:dyDescent="0.25">
      <c r="A38" s="57" t="s">
        <v>171</v>
      </c>
      <c r="B38" s="57" t="s">
        <v>168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81</v>
      </c>
      <c r="I38" s="59"/>
      <c r="J38" s="59"/>
      <c r="K38" s="59"/>
    </row>
    <row r="39" spans="1:11" x14ac:dyDescent="0.25">
      <c r="A39" s="57" t="s">
        <v>833</v>
      </c>
      <c r="B39" s="57" t="s">
        <v>168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69</v>
      </c>
      <c r="I39" s="59"/>
      <c r="J39" s="59"/>
      <c r="K39" s="59"/>
    </row>
    <row r="40" spans="1:11" x14ac:dyDescent="0.25">
      <c r="A40" s="57" t="s">
        <v>831</v>
      </c>
      <c r="B40" s="57" t="s">
        <v>168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81</v>
      </c>
      <c r="I40" s="59"/>
      <c r="J40" s="59"/>
      <c r="K40" s="59"/>
    </row>
    <row r="41" spans="1:11" ht="16.5" customHeight="1" x14ac:dyDescent="0.25">
      <c r="A41" s="57" t="s">
        <v>78</v>
      </c>
      <c r="B41" s="57" t="s">
        <v>168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77</v>
      </c>
      <c r="I41" s="59"/>
      <c r="J41" s="59"/>
      <c r="K41" s="59"/>
    </row>
    <row r="42" spans="1:11" x14ac:dyDescent="0.25">
      <c r="A42" s="57" t="s">
        <v>998</v>
      </c>
      <c r="B42" s="57" t="s">
        <v>168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70</v>
      </c>
      <c r="I42" s="960" t="s">
        <v>993</v>
      </c>
      <c r="J42" s="142" t="s">
        <v>768</v>
      </c>
      <c r="K42" s="59" t="s">
        <v>829</v>
      </c>
    </row>
    <row r="43" spans="1:11" x14ac:dyDescent="0.25">
      <c r="A43" s="57" t="s">
        <v>825</v>
      </c>
      <c r="B43" s="57" t="s">
        <v>168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91</v>
      </c>
      <c r="I43" s="59"/>
      <c r="J43" s="59"/>
      <c r="K43" s="59"/>
    </row>
    <row r="44" spans="1:11" x14ac:dyDescent="0.25">
      <c r="A44" s="57" t="s">
        <v>67</v>
      </c>
      <c r="B44" s="57" t="s">
        <v>168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69</v>
      </c>
      <c r="I44" s="59"/>
      <c r="J44" s="59"/>
      <c r="K44" s="59"/>
    </row>
    <row r="45" spans="1:11" x14ac:dyDescent="0.25">
      <c r="A45" s="57" t="s">
        <v>822</v>
      </c>
      <c r="B45" s="57" t="s">
        <v>176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375</v>
      </c>
      <c r="I45" s="59"/>
      <c r="J45" s="59"/>
      <c r="K45" s="59"/>
    </row>
    <row r="46" spans="1:11" ht="18.600000000000001" customHeight="1" x14ac:dyDescent="0.25">
      <c r="A46" s="57" t="s">
        <v>1063</v>
      </c>
      <c r="B46" s="57" t="s">
        <v>183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166</v>
      </c>
      <c r="I46" s="59"/>
      <c r="J46" s="59"/>
      <c r="K46" s="59" t="s">
        <v>1064</v>
      </c>
    </row>
    <row r="47" spans="1:11" ht="16.5" customHeight="1" x14ac:dyDescent="0.25">
      <c r="A47" s="57" t="s">
        <v>122</v>
      </c>
      <c r="B47" s="57" t="s">
        <v>183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77</v>
      </c>
      <c r="I47" s="59"/>
      <c r="J47" s="59"/>
      <c r="K47" s="59"/>
    </row>
    <row r="48" spans="1:11" ht="16.5" customHeight="1" x14ac:dyDescent="0.25">
      <c r="A48" s="57" t="s">
        <v>76</v>
      </c>
      <c r="B48" s="57" t="s">
        <v>183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77</v>
      </c>
      <c r="I48" s="59"/>
      <c r="J48" s="59"/>
      <c r="K48" s="59"/>
    </row>
    <row r="49" spans="1:11" ht="16.5" customHeight="1" x14ac:dyDescent="0.25">
      <c r="A49" s="57" t="s">
        <v>811</v>
      </c>
      <c r="B49" s="57" t="s">
        <v>183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69</v>
      </c>
      <c r="I49" s="59"/>
      <c r="J49" s="59"/>
      <c r="K49" s="59"/>
    </row>
    <row r="50" spans="1:11" ht="16.5" customHeight="1" x14ac:dyDescent="0.25">
      <c r="A50" s="57" t="s">
        <v>794</v>
      </c>
      <c r="B50" s="57" t="s">
        <v>183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69</v>
      </c>
      <c r="I50" s="59"/>
      <c r="J50" s="59"/>
      <c r="K50" s="59"/>
    </row>
    <row r="51" spans="1:11" ht="16.5" customHeight="1" x14ac:dyDescent="0.25">
      <c r="A51" s="57" t="s">
        <v>76</v>
      </c>
      <c r="B51" s="57" t="s">
        <v>183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77</v>
      </c>
      <c r="I51" s="59"/>
      <c r="J51" s="59"/>
      <c r="K51" s="59"/>
    </row>
    <row r="52" spans="1:11" ht="18.600000000000001" customHeight="1" x14ac:dyDescent="0.25">
      <c r="A52" s="57" t="s">
        <v>79</v>
      </c>
      <c r="B52" s="57" t="s">
        <v>183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81</v>
      </c>
      <c r="I52" s="59"/>
      <c r="J52" s="59"/>
      <c r="K52" s="59"/>
    </row>
    <row r="53" spans="1:11" ht="16.5" customHeight="1" x14ac:dyDescent="0.25">
      <c r="A53" s="57" t="s">
        <v>78</v>
      </c>
      <c r="B53" s="57" t="s">
        <v>183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77</v>
      </c>
      <c r="I53" s="59"/>
      <c r="J53" s="59"/>
      <c r="K53" s="59"/>
    </row>
    <row r="54" spans="1:11" ht="16.5" customHeight="1" x14ac:dyDescent="0.25">
      <c r="A54" s="57" t="s">
        <v>83</v>
      </c>
      <c r="B54" s="57" t="s">
        <v>183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77</v>
      </c>
      <c r="I54" s="59"/>
      <c r="J54" s="59"/>
      <c r="K54" s="59"/>
    </row>
    <row r="55" spans="1:11" ht="16.5" customHeight="1" x14ac:dyDescent="0.25">
      <c r="A55" s="57" t="s">
        <v>171</v>
      </c>
      <c r="B55" s="57" t="s">
        <v>183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81</v>
      </c>
      <c r="I55" s="59"/>
      <c r="J55" s="59"/>
      <c r="K55" s="59"/>
    </row>
    <row r="56" spans="1:11" ht="16.5" customHeight="1" x14ac:dyDescent="0.25">
      <c r="A56" s="57" t="s">
        <v>750</v>
      </c>
      <c r="B56" s="57" t="s">
        <v>183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166</v>
      </c>
      <c r="I56" s="59"/>
      <c r="J56" s="59"/>
      <c r="K56" s="59"/>
    </row>
    <row r="57" spans="1:11" ht="18" customHeight="1" x14ac:dyDescent="0.25">
      <c r="A57" s="57" t="s">
        <v>1025</v>
      </c>
      <c r="B57" s="57" t="s">
        <v>183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174</v>
      </c>
      <c r="I57" s="960"/>
      <c r="J57" s="142" t="s">
        <v>768</v>
      </c>
      <c r="K57" s="59"/>
    </row>
    <row r="58" spans="1:11" ht="16.5" customHeight="1" x14ac:dyDescent="0.25">
      <c r="A58" s="57" t="s">
        <v>368</v>
      </c>
      <c r="B58" s="57" t="s">
        <v>183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166</v>
      </c>
      <c r="I58" s="59"/>
      <c r="J58" s="59"/>
      <c r="K58" s="59"/>
    </row>
    <row r="59" spans="1:11" x14ac:dyDescent="0.25">
      <c r="A59" s="57" t="s">
        <v>372</v>
      </c>
      <c r="B59" s="57" t="s">
        <v>183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166</v>
      </c>
      <c r="I59" s="59"/>
      <c r="J59" s="59"/>
      <c r="K59" s="59"/>
    </row>
    <row r="60" spans="1:11" x14ac:dyDescent="0.25">
      <c r="A60" s="57" t="s">
        <v>371</v>
      </c>
      <c r="B60" s="57" t="s">
        <v>183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166</v>
      </c>
      <c r="I60" s="59"/>
      <c r="J60" s="59"/>
      <c r="K60" s="59"/>
    </row>
    <row r="61" spans="1:11" x14ac:dyDescent="0.25">
      <c r="A61" s="57" t="s">
        <v>380</v>
      </c>
      <c r="B61" s="57" t="s">
        <v>183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166</v>
      </c>
      <c r="I61" s="59"/>
      <c r="J61" s="59"/>
      <c r="K61" s="59"/>
    </row>
    <row r="62" spans="1:11" ht="16.5" customHeight="1" x14ac:dyDescent="0.25">
      <c r="A62" s="57" t="s">
        <v>790</v>
      </c>
      <c r="B62" s="57" t="s">
        <v>188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69</v>
      </c>
      <c r="I62" s="59"/>
      <c r="J62" s="59"/>
      <c r="K62" s="59"/>
    </row>
    <row r="63" spans="1:11" x14ac:dyDescent="0.25">
      <c r="A63" s="57" t="s">
        <v>171</v>
      </c>
      <c r="B63" s="57" t="s">
        <v>188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81</v>
      </c>
      <c r="I63" s="59"/>
      <c r="J63" s="59"/>
      <c r="K63" s="59"/>
    </row>
    <row r="64" spans="1:11" x14ac:dyDescent="0.25">
      <c r="A64" s="57" t="s">
        <v>359</v>
      </c>
      <c r="B64" s="57" t="s">
        <v>188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93</v>
      </c>
      <c r="I64" s="59"/>
      <c r="J64" s="59"/>
      <c r="K64" s="59" t="s">
        <v>373</v>
      </c>
    </row>
    <row r="65" spans="1:11" ht="16.5" customHeight="1" x14ac:dyDescent="0.25">
      <c r="A65" s="57" t="s">
        <v>750</v>
      </c>
      <c r="B65" s="57" t="s">
        <v>188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166</v>
      </c>
      <c r="I65" s="59"/>
      <c r="J65" s="59"/>
      <c r="K65" s="59"/>
    </row>
    <row r="66" spans="1:11" x14ac:dyDescent="0.25">
      <c r="A66" s="57" t="s">
        <v>999</v>
      </c>
      <c r="B66" s="57" t="s">
        <v>188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93</v>
      </c>
      <c r="I66" s="960"/>
      <c r="J66" s="142" t="s">
        <v>768</v>
      </c>
      <c r="K66" s="59" t="s">
        <v>373</v>
      </c>
    </row>
    <row r="67" spans="1:11" x14ac:dyDescent="0.25">
      <c r="A67" s="57" t="s">
        <v>999</v>
      </c>
      <c r="B67" s="57" t="s">
        <v>188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137</v>
      </c>
      <c r="I67" s="960"/>
      <c r="J67" s="142" t="s">
        <v>768</v>
      </c>
      <c r="K67" s="59" t="s">
        <v>755</v>
      </c>
    </row>
    <row r="68" spans="1:11" ht="16.5" customHeight="1" x14ac:dyDescent="0.25">
      <c r="A68" s="57" t="s">
        <v>750</v>
      </c>
      <c r="B68" s="57" t="s">
        <v>188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166</v>
      </c>
      <c r="I68" s="59"/>
      <c r="J68" s="59"/>
      <c r="K68" s="59"/>
    </row>
    <row r="69" spans="1:11" x14ac:dyDescent="0.25">
      <c r="A69" s="57" t="s">
        <v>1025</v>
      </c>
      <c r="B69" s="57" t="s">
        <v>188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174</v>
      </c>
      <c r="I69" s="960"/>
      <c r="J69" s="142" t="s">
        <v>768</v>
      </c>
      <c r="K69" s="59"/>
    </row>
    <row r="70" spans="1:11" ht="18.600000000000001" customHeight="1" x14ac:dyDescent="0.25">
      <c r="A70" s="57" t="s">
        <v>1063</v>
      </c>
      <c r="B70" s="57" t="s">
        <v>188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166</v>
      </c>
      <c r="I70" s="59"/>
      <c r="J70" s="59"/>
      <c r="K70" s="59" t="s">
        <v>1064</v>
      </c>
    </row>
    <row r="71" spans="1:11" ht="18.600000000000001" customHeight="1" x14ac:dyDescent="0.25">
      <c r="A71" s="57" t="s">
        <v>1063</v>
      </c>
      <c r="B71" s="57" t="s">
        <v>188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166</v>
      </c>
      <c r="I71" s="59"/>
      <c r="J71" s="59"/>
      <c r="K71" s="59" t="s">
        <v>1064</v>
      </c>
    </row>
    <row r="72" spans="1:11" x14ac:dyDescent="0.25">
      <c r="A72" s="57" t="s">
        <v>343</v>
      </c>
      <c r="B72" s="57" t="s">
        <v>207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137</v>
      </c>
      <c r="I72" s="59"/>
      <c r="J72" s="59"/>
      <c r="K72" s="59"/>
    </row>
    <row r="73" spans="1:11" ht="16.5" customHeight="1" x14ac:dyDescent="0.25">
      <c r="A73" s="57" t="s">
        <v>110</v>
      </c>
      <c r="B73" s="57" t="s">
        <v>207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111</v>
      </c>
      <c r="I73" s="59"/>
      <c r="J73" s="59"/>
      <c r="K73" s="59" t="s">
        <v>758</v>
      </c>
    </row>
    <row r="74" spans="1:11" ht="16.5" customHeight="1" x14ac:dyDescent="0.25">
      <c r="A74" s="57" t="s">
        <v>368</v>
      </c>
      <c r="B74" s="57" t="s">
        <v>207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166</v>
      </c>
      <c r="I74" s="59"/>
      <c r="J74" s="59"/>
      <c r="K74" s="59" t="s">
        <v>758</v>
      </c>
    </row>
    <row r="75" spans="1:11" ht="16.5" customHeight="1" x14ac:dyDescent="0.25">
      <c r="A75" s="57" t="s">
        <v>750</v>
      </c>
      <c r="B75" s="57" t="s">
        <v>207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166</v>
      </c>
      <c r="I75" s="59"/>
      <c r="J75" s="59"/>
      <c r="K75" s="59"/>
    </row>
    <row r="76" spans="1:11" x14ac:dyDescent="0.25">
      <c r="A76" s="57" t="s">
        <v>999</v>
      </c>
      <c r="B76" s="57" t="s">
        <v>207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137</v>
      </c>
      <c r="I76" s="960"/>
      <c r="J76" s="142" t="s">
        <v>768</v>
      </c>
      <c r="K76" s="59" t="s">
        <v>755</v>
      </c>
    </row>
    <row r="77" spans="1:11" ht="15.75" customHeight="1" x14ac:dyDescent="0.25">
      <c r="A77" s="57" t="s">
        <v>750</v>
      </c>
      <c r="B77" s="57" t="s">
        <v>207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166</v>
      </c>
      <c r="I77" s="59"/>
      <c r="J77" s="59"/>
      <c r="K77" s="59"/>
    </row>
    <row r="78" spans="1:11" x14ac:dyDescent="0.25">
      <c r="A78" s="57" t="s">
        <v>768</v>
      </c>
      <c r="B78" s="57" t="s">
        <v>207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137</v>
      </c>
      <c r="I78" s="960"/>
      <c r="J78" s="142" t="s">
        <v>768</v>
      </c>
      <c r="K78" s="59"/>
    </row>
    <row r="79" spans="1:11" x14ac:dyDescent="0.25">
      <c r="A79" s="57" t="s">
        <v>999</v>
      </c>
      <c r="B79" s="57" t="s">
        <v>215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137</v>
      </c>
      <c r="I79" s="960"/>
      <c r="J79" s="142" t="s">
        <v>768</v>
      </c>
      <c r="K79" s="59" t="s">
        <v>854</v>
      </c>
    </row>
    <row r="80" spans="1:11" x14ac:dyDescent="0.25">
      <c r="A80" s="57" t="s">
        <v>999</v>
      </c>
      <c r="B80" s="57" t="s">
        <v>215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137</v>
      </c>
      <c r="I80" s="960"/>
      <c r="J80" s="142" t="s">
        <v>768</v>
      </c>
      <c r="K80" s="59" t="s">
        <v>854</v>
      </c>
    </row>
    <row r="81" spans="1:11" x14ac:dyDescent="0.25">
      <c r="A81" s="57" t="s">
        <v>999</v>
      </c>
      <c r="B81" s="57" t="s">
        <v>215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137</v>
      </c>
      <c r="I81" s="960"/>
      <c r="J81" s="142" t="s">
        <v>768</v>
      </c>
      <c r="K81" s="59" t="s">
        <v>854</v>
      </c>
    </row>
    <row r="82" spans="1:11" ht="16.5" customHeight="1" x14ac:dyDescent="0.25">
      <c r="A82" s="57" t="s">
        <v>368</v>
      </c>
      <c r="B82" s="57" t="s">
        <v>215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166</v>
      </c>
      <c r="I82" s="59"/>
      <c r="J82" s="59"/>
      <c r="K82" s="59"/>
    </row>
    <row r="83" spans="1:11" x14ac:dyDescent="0.25">
      <c r="A83" s="57" t="s">
        <v>173</v>
      </c>
      <c r="B83" s="57" t="s">
        <v>215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741</v>
      </c>
      <c r="I83" s="59"/>
      <c r="J83" s="59" t="s">
        <v>173</v>
      </c>
      <c r="K83" s="59" t="s">
        <v>1026</v>
      </c>
    </row>
    <row r="84" spans="1:11" x14ac:dyDescent="0.25">
      <c r="A84" s="57" t="s">
        <v>768</v>
      </c>
      <c r="B84" s="57" t="s">
        <v>215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741</v>
      </c>
      <c r="I84" s="960"/>
      <c r="J84" s="142" t="s">
        <v>768</v>
      </c>
      <c r="K84" s="59" t="s">
        <v>814</v>
      </c>
    </row>
    <row r="85" spans="1:11" ht="16.5" customHeight="1" x14ac:dyDescent="0.25">
      <c r="A85" s="57" t="s">
        <v>302</v>
      </c>
      <c r="B85" s="57" t="s">
        <v>215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93</v>
      </c>
      <c r="I85" s="59"/>
      <c r="J85" s="59"/>
      <c r="K85" s="59" t="s">
        <v>751</v>
      </c>
    </row>
    <row r="86" spans="1:11" ht="16.5" customHeight="1" x14ac:dyDescent="0.25">
      <c r="A86" s="57" t="s">
        <v>750</v>
      </c>
      <c r="B86" s="57" t="s">
        <v>215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166</v>
      </c>
      <c r="I86" s="59"/>
      <c r="J86" s="59"/>
      <c r="K86" s="59"/>
    </row>
    <row r="87" spans="1:11" x14ac:dyDescent="0.25">
      <c r="A87" s="57" t="s">
        <v>365</v>
      </c>
      <c r="B87" s="57" t="s">
        <v>80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166</v>
      </c>
      <c r="I87" s="59"/>
      <c r="J87" s="59"/>
      <c r="K87" s="59" t="s">
        <v>89</v>
      </c>
    </row>
    <row r="88" spans="1:11" x14ac:dyDescent="0.25">
      <c r="A88" s="57" t="s">
        <v>783</v>
      </c>
      <c r="B88" s="57" t="s">
        <v>80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74</v>
      </c>
      <c r="I88" s="59"/>
      <c r="J88" s="59"/>
      <c r="K88" s="59"/>
    </row>
    <row r="89" spans="1:11" x14ac:dyDescent="0.25">
      <c r="A89" s="57" t="s">
        <v>79</v>
      </c>
      <c r="B89" s="57" t="s">
        <v>119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81</v>
      </c>
      <c r="I89" s="59"/>
      <c r="J89" s="59"/>
      <c r="K89" s="59"/>
    </row>
    <row r="90" spans="1:11" ht="16.5" customHeight="1" x14ac:dyDescent="0.25">
      <c r="A90" s="57" t="s">
        <v>78</v>
      </c>
      <c r="B90" s="57" t="s">
        <v>131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77</v>
      </c>
      <c r="I90" s="59"/>
      <c r="J90" s="59"/>
      <c r="K90" s="59"/>
    </row>
    <row r="91" spans="1:11" x14ac:dyDescent="0.25">
      <c r="A91" s="57" t="s">
        <v>366</v>
      </c>
      <c r="B91" s="57" t="s">
        <v>143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166</v>
      </c>
      <c r="I91" s="59"/>
      <c r="J91" s="59"/>
      <c r="K91" s="59"/>
    </row>
    <row r="92" spans="1:11" ht="16.5" customHeight="1" x14ac:dyDescent="0.25">
      <c r="A92" s="57" t="s">
        <v>78</v>
      </c>
      <c r="B92" s="57" t="s">
        <v>143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77</v>
      </c>
      <c r="I92" s="59"/>
      <c r="J92" s="59"/>
      <c r="K92" s="59"/>
    </row>
    <row r="93" spans="1:11" x14ac:dyDescent="0.25">
      <c r="A93" s="57" t="s">
        <v>812</v>
      </c>
      <c r="B93" s="57" t="s">
        <v>159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91</v>
      </c>
      <c r="I93" s="59"/>
      <c r="J93" s="59"/>
      <c r="K93" s="59"/>
    </row>
    <row r="94" spans="1:11" ht="16.5" customHeight="1" x14ac:dyDescent="0.25">
      <c r="A94" s="57" t="s">
        <v>368</v>
      </c>
      <c r="B94" s="57" t="s">
        <v>168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166</v>
      </c>
      <c r="I94" s="59"/>
      <c r="J94" s="59"/>
      <c r="K94" s="59"/>
    </row>
    <row r="95" spans="1:11" x14ac:dyDescent="0.25">
      <c r="A95" s="57" t="s">
        <v>812</v>
      </c>
      <c r="B95" s="57" t="s">
        <v>168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91</v>
      </c>
      <c r="I95" s="59"/>
      <c r="J95" s="59"/>
      <c r="K95" s="59"/>
    </row>
    <row r="96" spans="1:11" x14ac:dyDescent="0.25">
      <c r="A96" s="57" t="s">
        <v>367</v>
      </c>
      <c r="B96" s="57" t="s">
        <v>168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70</v>
      </c>
      <c r="I96" s="59"/>
      <c r="J96" s="59"/>
      <c r="K96" s="59"/>
    </row>
    <row r="97" spans="1:11" x14ac:dyDescent="0.25">
      <c r="A97" s="57" t="s">
        <v>812</v>
      </c>
      <c r="B97" s="57" t="s">
        <v>168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91</v>
      </c>
      <c r="I97" s="59"/>
      <c r="J97" s="59"/>
      <c r="K97" s="59" t="s">
        <v>813</v>
      </c>
    </row>
    <row r="98" spans="1:11" ht="16.5" customHeight="1" x14ac:dyDescent="0.25">
      <c r="A98" s="57" t="s">
        <v>368</v>
      </c>
      <c r="B98" s="57" t="s">
        <v>168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166</v>
      </c>
      <c r="I98" s="59"/>
      <c r="J98" s="59"/>
      <c r="K98" s="59"/>
    </row>
    <row r="99" spans="1:11" x14ac:dyDescent="0.25">
      <c r="A99" s="57" t="s">
        <v>812</v>
      </c>
      <c r="B99" s="57" t="s">
        <v>168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91</v>
      </c>
      <c r="I99" s="59"/>
      <c r="J99" s="59"/>
      <c r="K99" s="59"/>
    </row>
    <row r="100" spans="1:11" x14ac:dyDescent="0.25">
      <c r="A100" s="57" t="s">
        <v>369</v>
      </c>
      <c r="B100" s="57" t="s">
        <v>168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91</v>
      </c>
      <c r="I100" s="59"/>
      <c r="J100" s="59"/>
      <c r="K100" s="59"/>
    </row>
    <row r="101" spans="1:11" ht="16.5" customHeight="1" x14ac:dyDescent="0.25">
      <c r="A101" s="57" t="s">
        <v>370</v>
      </c>
      <c r="B101" s="57" t="s">
        <v>176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166</v>
      </c>
      <c r="I101" s="59"/>
      <c r="J101" s="59"/>
      <c r="K101" s="59"/>
    </row>
    <row r="102" spans="1:11" ht="18.600000000000001" customHeight="1" x14ac:dyDescent="0.25">
      <c r="A102" s="57" t="s">
        <v>1063</v>
      </c>
      <c r="B102" s="57" t="s">
        <v>183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166</v>
      </c>
      <c r="I102" s="59"/>
      <c r="J102" s="59"/>
      <c r="K102" s="59" t="s">
        <v>1065</v>
      </c>
    </row>
    <row r="103" spans="1:11" ht="18.600000000000001" customHeight="1" x14ac:dyDescent="0.25">
      <c r="A103" s="57" t="s">
        <v>371</v>
      </c>
      <c r="B103" s="57" t="s">
        <v>183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166</v>
      </c>
      <c r="I103" s="59"/>
      <c r="J103" s="59"/>
      <c r="K103" s="59"/>
    </row>
    <row r="104" spans="1:11" ht="18" customHeight="1" x14ac:dyDescent="0.25">
      <c r="A104" s="57" t="s">
        <v>347</v>
      </c>
      <c r="B104" s="57" t="s">
        <v>183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74</v>
      </c>
      <c r="I104" s="59"/>
      <c r="J104" s="59"/>
      <c r="K104" s="59"/>
    </row>
    <row r="105" spans="1:11" x14ac:dyDescent="0.25">
      <c r="A105" s="57" t="s">
        <v>372</v>
      </c>
      <c r="B105" s="57" t="s">
        <v>188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166</v>
      </c>
      <c r="I105" s="59"/>
      <c r="J105" s="59"/>
      <c r="K105" s="59"/>
    </row>
    <row r="106" spans="1:11" x14ac:dyDescent="0.25">
      <c r="A106" s="57" t="s">
        <v>221</v>
      </c>
      <c r="B106" s="57" t="s">
        <v>188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137</v>
      </c>
      <c r="I106" s="59"/>
      <c r="J106" s="59"/>
      <c r="K106" s="59" t="s">
        <v>373</v>
      </c>
    </row>
    <row r="107" spans="1:11" ht="18.600000000000001" customHeight="1" x14ac:dyDescent="0.25">
      <c r="A107" s="57" t="s">
        <v>374</v>
      </c>
      <c r="B107" s="57" t="s">
        <v>188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375</v>
      </c>
      <c r="I107" s="59"/>
      <c r="J107" s="59"/>
      <c r="K107" s="59"/>
    </row>
    <row r="108" spans="1:11" x14ac:dyDescent="0.25">
      <c r="A108" s="57" t="s">
        <v>1063</v>
      </c>
      <c r="B108" s="57" t="s">
        <v>207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166</v>
      </c>
      <c r="I108" s="59"/>
      <c r="J108" s="59"/>
      <c r="K108" s="59" t="s">
        <v>1065</v>
      </c>
    </row>
    <row r="109" spans="1:11" x14ac:dyDescent="0.25">
      <c r="A109" s="57" t="s">
        <v>1063</v>
      </c>
      <c r="B109" s="57" t="s">
        <v>207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166</v>
      </c>
      <c r="I109" s="59"/>
      <c r="J109" s="59"/>
      <c r="K109" s="59" t="s">
        <v>1065</v>
      </c>
    </row>
    <row r="110" spans="1:11" x14ac:dyDescent="0.25">
      <c r="A110" s="57" t="s">
        <v>376</v>
      </c>
      <c r="B110" s="57" t="s">
        <v>215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166</v>
      </c>
      <c r="I110" s="59"/>
      <c r="J110" s="59"/>
      <c r="K110" s="59"/>
    </row>
    <row r="111" spans="1:11" x14ac:dyDescent="0.25">
      <c r="A111" s="57" t="s">
        <v>71</v>
      </c>
      <c r="B111" s="57" t="s">
        <v>80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74</v>
      </c>
      <c r="I111" s="59"/>
      <c r="J111" s="59"/>
      <c r="K111" s="59"/>
    </row>
    <row r="112" spans="1:11" ht="16.5" customHeight="1" x14ac:dyDescent="0.25">
      <c r="A112" s="57" t="s">
        <v>370</v>
      </c>
      <c r="B112" s="57" t="s">
        <v>80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166</v>
      </c>
      <c r="I112" s="59"/>
      <c r="J112" s="59"/>
      <c r="K112" s="59"/>
    </row>
    <row r="113" spans="1:11" x14ac:dyDescent="0.25">
      <c r="A113" s="57" t="s">
        <v>377</v>
      </c>
      <c r="B113" s="57" t="s">
        <v>143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74</v>
      </c>
      <c r="I113" s="59"/>
      <c r="J113" s="59"/>
      <c r="K113" s="59" t="s">
        <v>378</v>
      </c>
    </row>
    <row r="114" spans="1:11" ht="18" customHeight="1" x14ac:dyDescent="0.25">
      <c r="A114" s="57" t="s">
        <v>372</v>
      </c>
      <c r="B114" s="57" t="s">
        <v>159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166</v>
      </c>
      <c r="I114" s="59"/>
      <c r="J114" s="59"/>
      <c r="K114" s="59"/>
    </row>
    <row r="115" spans="1:11" ht="16.5" customHeight="1" x14ac:dyDescent="0.25">
      <c r="A115" s="57" t="s">
        <v>370</v>
      </c>
      <c r="B115" s="57" t="s">
        <v>168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166</v>
      </c>
      <c r="I115" s="59"/>
      <c r="J115" s="59"/>
      <c r="K115" s="59"/>
    </row>
    <row r="116" spans="1:11" ht="18" customHeight="1" x14ac:dyDescent="0.25">
      <c r="A116" s="57" t="s">
        <v>379</v>
      </c>
      <c r="B116" s="57" t="s">
        <v>183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74</v>
      </c>
      <c r="I116" s="59"/>
      <c r="J116" s="59"/>
      <c r="K116" s="59"/>
    </row>
    <row r="117" spans="1:11" ht="18" customHeight="1" x14ac:dyDescent="0.25">
      <c r="A117" s="57" t="s">
        <v>76</v>
      </c>
      <c r="B117" s="57" t="s">
        <v>183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77</v>
      </c>
      <c r="I117" s="59"/>
      <c r="J117" s="59"/>
      <c r="K117" s="59"/>
    </row>
    <row r="118" spans="1:11" ht="18.600000000000001" customHeight="1" x14ac:dyDescent="0.25">
      <c r="A118" s="57" t="s">
        <v>374</v>
      </c>
      <c r="B118" s="57" t="s">
        <v>183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375</v>
      </c>
      <c r="I118" s="59"/>
      <c r="J118" s="59"/>
      <c r="K118" s="59"/>
    </row>
    <row r="119" spans="1:11" ht="18.600000000000001" customHeight="1" x14ac:dyDescent="0.25">
      <c r="A119" s="57" t="s">
        <v>371</v>
      </c>
      <c r="B119" s="57" t="s">
        <v>183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166</v>
      </c>
      <c r="I119" s="59"/>
      <c r="J119" s="59"/>
      <c r="K119" s="59"/>
    </row>
    <row r="120" spans="1:11" ht="18.600000000000001" customHeight="1" x14ac:dyDescent="0.25">
      <c r="A120" s="57" t="s">
        <v>1063</v>
      </c>
      <c r="B120" s="57" t="s">
        <v>183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166</v>
      </c>
      <c r="I120" s="59"/>
      <c r="J120" s="59"/>
      <c r="K120" s="59" t="s">
        <v>1066</v>
      </c>
    </row>
    <row r="121" spans="1:11" x14ac:dyDescent="0.25">
      <c r="A121" s="57" t="s">
        <v>1063</v>
      </c>
      <c r="B121" s="57" t="s">
        <v>183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166</v>
      </c>
      <c r="I121" s="59"/>
      <c r="J121" s="59"/>
      <c r="K121" s="59" t="s">
        <v>1066</v>
      </c>
    </row>
    <row r="122" spans="1:11" ht="18" customHeight="1" x14ac:dyDescent="0.25">
      <c r="A122" s="57" t="s">
        <v>380</v>
      </c>
      <c r="B122" s="57" t="s">
        <v>183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166</v>
      </c>
      <c r="I122" s="59"/>
      <c r="J122" s="59"/>
      <c r="K122" s="59"/>
    </row>
    <row r="123" spans="1:11" ht="18" customHeight="1" x14ac:dyDescent="0.25">
      <c r="A123" s="57" t="s">
        <v>372</v>
      </c>
      <c r="B123" s="57" t="s">
        <v>188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166</v>
      </c>
      <c r="I123" s="59"/>
      <c r="J123" s="59"/>
      <c r="K123" s="59"/>
    </row>
    <row r="124" spans="1:11" x14ac:dyDescent="0.25">
      <c r="A124" s="57" t="s">
        <v>79</v>
      </c>
      <c r="B124" s="57" t="s">
        <v>188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81</v>
      </c>
      <c r="I124" s="59"/>
      <c r="J124" s="59"/>
      <c r="K124" s="59"/>
    </row>
    <row r="125" spans="1:11" ht="16.5" customHeight="1" x14ac:dyDescent="0.25">
      <c r="A125" s="57" t="s">
        <v>381</v>
      </c>
      <c r="B125" s="57" t="s">
        <v>188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81</v>
      </c>
      <c r="I125" s="59"/>
      <c r="J125" s="59"/>
      <c r="K125" s="59"/>
    </row>
    <row r="126" spans="1:11" ht="16.5" customHeight="1" x14ac:dyDescent="0.25">
      <c r="A126" s="57" t="s">
        <v>382</v>
      </c>
      <c r="B126" s="57" t="s">
        <v>188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74</v>
      </c>
      <c r="I126" s="59"/>
      <c r="J126" s="59"/>
      <c r="K126" s="59"/>
    </row>
    <row r="127" spans="1:11" ht="16.5" customHeight="1" x14ac:dyDescent="0.25">
      <c r="A127" s="57" t="s">
        <v>83</v>
      </c>
      <c r="B127" s="57" t="s">
        <v>188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77</v>
      </c>
      <c r="I127" s="59"/>
      <c r="J127" s="59"/>
      <c r="K127" s="59"/>
    </row>
    <row r="128" spans="1:11" ht="16.5" customHeight="1" x14ac:dyDescent="0.25">
      <c r="A128" s="57" t="s">
        <v>383</v>
      </c>
      <c r="B128" s="57" t="s">
        <v>207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77</v>
      </c>
      <c r="I128" s="59"/>
      <c r="J128" s="59"/>
      <c r="K128" s="59"/>
    </row>
    <row r="129" spans="1:46" ht="16.5" customHeight="1" x14ac:dyDescent="0.25">
      <c r="A129" s="57" t="s">
        <v>1063</v>
      </c>
      <c r="B129" s="57" t="s">
        <v>207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166</v>
      </c>
      <c r="I129" s="59"/>
      <c r="J129" s="59"/>
      <c r="K129" s="59" t="s">
        <v>1066</v>
      </c>
    </row>
    <row r="130" spans="1:46" ht="16.5" customHeight="1" x14ac:dyDescent="0.25">
      <c r="A130" s="57"/>
      <c r="B130" s="57" t="s">
        <v>68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0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 x14ac:dyDescent="0.25">
      <c r="A131" s="57"/>
      <c r="B131" s="57" t="s">
        <v>68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1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 x14ac:dyDescent="0.25">
      <c r="A132" s="57"/>
      <c r="B132" s="57" t="s">
        <v>68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3</v>
      </c>
      <c r="H132" s="59"/>
      <c r="I132" s="59"/>
      <c r="J132" s="59"/>
      <c r="K132" s="59"/>
    </row>
    <row r="133" spans="1:46" x14ac:dyDescent="0.25">
      <c r="A133" s="57" t="s">
        <v>370</v>
      </c>
      <c r="B133" s="57" t="s">
        <v>80</v>
      </c>
      <c r="C133" s="57">
        <v>2022</v>
      </c>
      <c r="D133" s="58">
        <f>MATCH(B133,{"GENNAIO","FEBBRAIO","MARZO","APRILE","MAGGIO","GIUGNO","LUGLIO","AGOSTO","SETTEMBRE","OTTOBRE","NOVEMBRE","DICEMBRE"},0)</f>
        <v>8</v>
      </c>
      <c r="E133" s="57" t="str">
        <f t="shared" si="21"/>
        <v>AGOSTO 2022</v>
      </c>
      <c r="F133" s="57" t="str">
        <f t="shared" si="22"/>
        <v>8 AGOSTO 2022</v>
      </c>
      <c r="G133" s="59">
        <v>150</v>
      </c>
      <c r="H133" s="59" t="s">
        <v>166</v>
      </c>
      <c r="I133" s="59"/>
      <c r="J133" s="59"/>
      <c r="K133" s="1348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</row>
    <row r="134" spans="1:46" x14ac:dyDescent="0.25">
      <c r="A134" s="57" t="s">
        <v>370</v>
      </c>
      <c r="B134" s="57" t="s">
        <v>80</v>
      </c>
      <c r="C134" s="57">
        <v>2022</v>
      </c>
      <c r="D134" s="58">
        <f>MATCH(B134,{"GENNAIO","FEBBRAIO","MARZO","APRILE","MAGGIO","GIUGNO","LUGLIO","AGOSTO","SETTEMBRE","OTTOBRE","NOVEMBRE","DICEMBRE"},0)</f>
        <v>8</v>
      </c>
      <c r="E134" s="57" t="str">
        <f t="shared" si="21"/>
        <v>AGOSTO 2022</v>
      </c>
      <c r="F134" s="57" t="str">
        <f t="shared" si="22"/>
        <v>8 AGOSTO 2022</v>
      </c>
      <c r="G134" s="59">
        <v>148.4</v>
      </c>
      <c r="H134" s="59" t="s">
        <v>166</v>
      </c>
      <c r="I134" s="59"/>
      <c r="J134" s="59"/>
      <c r="K134" s="134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</row>
    <row r="135" spans="1:46" x14ac:dyDescent="0.25">
      <c r="A135" s="57"/>
      <c r="B135" s="57" t="s">
        <v>80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65</v>
      </c>
      <c r="H135" s="59"/>
      <c r="I135" s="59"/>
      <c r="J135" s="59"/>
      <c r="K135" s="134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 x14ac:dyDescent="0.25">
      <c r="A136" s="57" t="s">
        <v>1205</v>
      </c>
      <c r="B136" s="57" t="s">
        <v>119</v>
      </c>
      <c r="C136" s="57">
        <v>2022</v>
      </c>
      <c r="D136" s="58">
        <f>MATCH(B136,{"GENNAIO","FEBBRAIO","MARZO","APRILE","MAGGIO","GIUGNO","LUGLIO","AGOSTO","SETTEMBRE","OTTOBRE","NOVEMBRE","DICEMBRE"},0)</f>
        <v>7</v>
      </c>
      <c r="E136" s="57" t="str">
        <f t="shared" si="21"/>
        <v>LUGLIO 2022</v>
      </c>
      <c r="F136" s="57" t="str">
        <f t="shared" si="22"/>
        <v>7 LUGLIO 2022</v>
      </c>
      <c r="G136" s="59">
        <v>120.5</v>
      </c>
      <c r="H136" s="59"/>
      <c r="I136" s="59"/>
      <c r="J136" s="59"/>
      <c r="K136" s="134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 x14ac:dyDescent="0.25">
      <c r="A137" s="57"/>
      <c r="B137" s="57" t="s">
        <v>131</v>
      </c>
      <c r="C137" s="57">
        <v>2022</v>
      </c>
      <c r="D137" s="58">
        <f>MATCH(B137,{"GENNAIO","FEBBRAIO","MARZO","APRILE","MAGGIO","GIUGNO","LUGLIO","AGOSTO","SETTEMBRE","OTTOBRE","NOVEMBRE","DICEMBRE"},0)</f>
        <v>6</v>
      </c>
      <c r="E137" s="57" t="str">
        <f t="shared" si="21"/>
        <v>GIUGNO 2022</v>
      </c>
      <c r="F137" s="57" t="str">
        <f t="shared" si="22"/>
        <v>6 GIUGNO 2022</v>
      </c>
      <c r="G137" s="59">
        <v>2</v>
      </c>
      <c r="H137" s="59"/>
      <c r="I137" s="59"/>
      <c r="J137" s="59"/>
      <c r="K137" s="134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 x14ac:dyDescent="0.25">
      <c r="A138" s="57"/>
      <c r="B138" s="57" t="s">
        <v>143</v>
      </c>
      <c r="C138" s="57">
        <v>2022</v>
      </c>
      <c r="D138" s="58">
        <f>MATCH(B138,{"GENNAIO","FEBBRAIO","MARZO","APRILE","MAGGIO","GIUGNO","LUGLIO","AGOSTO","SETTEMBRE","OTTOBRE","NOVEMBRE","DICEMBRE"},0)</f>
        <v>5</v>
      </c>
      <c r="E138" s="57" t="str">
        <f t="shared" si="21"/>
        <v>MAGGIO 2022</v>
      </c>
      <c r="F138" s="57" t="str">
        <f t="shared" si="22"/>
        <v>5 MAGGIO 2022</v>
      </c>
      <c r="G138" s="59">
        <v>80.5</v>
      </c>
      <c r="H138" s="59"/>
      <c r="I138" s="59"/>
      <c r="J138" s="59"/>
      <c r="K138" s="134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 x14ac:dyDescent="0.25">
      <c r="A139" s="57" t="s">
        <v>1207</v>
      </c>
      <c r="B139" s="57" t="s">
        <v>143</v>
      </c>
      <c r="C139" s="57">
        <v>2022</v>
      </c>
      <c r="D139" s="58">
        <f>MATCH(B139,{"GENNAIO","FEBBRAIO","MARZO","APRILE","MAGGIO","GIUGNO","LUGLIO","AGOSTO","SETTEMBRE","OTTOBRE","NOVEMBRE","DICEMBRE"},0)</f>
        <v>5</v>
      </c>
      <c r="E139" s="57" t="str">
        <f t="shared" si="21"/>
        <v>MAGGIO 2022</v>
      </c>
      <c r="F139" s="57" t="str">
        <f t="shared" si="22"/>
        <v>5 MAGGIO 2022</v>
      </c>
      <c r="G139" s="59">
        <v>24.33</v>
      </c>
      <c r="H139" s="59" t="s">
        <v>77</v>
      </c>
      <c r="I139" s="59"/>
      <c r="J139" s="59"/>
      <c r="K139" s="134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 x14ac:dyDescent="0.25">
      <c r="A140" s="57" t="s">
        <v>1204</v>
      </c>
      <c r="B140" s="57" t="s">
        <v>159</v>
      </c>
      <c r="C140" s="57">
        <v>2022</v>
      </c>
      <c r="D140" s="58">
        <f>MATCH(B140,{"GENNAIO","FEBBRAIO","MARZO","APRILE","MAGGIO","GIUGNO","LUGLIO","AGOSTO","SETTEMBRE","OTTOBRE","NOVEMBRE","DICEMBRE"},0)</f>
        <v>4</v>
      </c>
      <c r="E140" s="57" t="str">
        <f t="shared" si="21"/>
        <v>APRILE 2022</v>
      </c>
      <c r="F140" s="57" t="str">
        <f t="shared" si="22"/>
        <v>4 APRILE 2022</v>
      </c>
      <c r="G140" s="59">
        <v>430</v>
      </c>
      <c r="H140" s="59" t="s">
        <v>74</v>
      </c>
      <c r="I140" s="59"/>
      <c r="J140" s="59"/>
      <c r="K140" s="134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 x14ac:dyDescent="0.25">
      <c r="A141" s="57"/>
      <c r="B141" s="57" t="s">
        <v>159</v>
      </c>
      <c r="C141" s="57">
        <v>2022</v>
      </c>
      <c r="D141" s="58">
        <f>MATCH(B141,{"GENNAIO","FEBBRAIO","MARZO","APRILE","MAGGIO","GIUGNO","LUGLIO","AGOSTO","SETTEMBRE","OTTOBRE","NOVEMBRE","DICEMBRE"},0)</f>
        <v>4</v>
      </c>
      <c r="E141" s="57" t="str">
        <f t="shared" si="21"/>
        <v>APRILE 2022</v>
      </c>
      <c r="F141" s="57" t="str">
        <f t="shared" si="22"/>
        <v>4 APRILE 2022</v>
      </c>
      <c r="G141" s="59">
        <v>70</v>
      </c>
      <c r="H141" s="59"/>
      <c r="I141" s="59"/>
      <c r="J141" s="59"/>
      <c r="K141" s="134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 x14ac:dyDescent="0.25">
      <c r="A142" s="57"/>
      <c r="B142" s="57" t="s">
        <v>159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60">
        <v>44.75</v>
      </c>
      <c r="H142" s="59"/>
      <c r="I142" s="59"/>
      <c r="J142" s="59"/>
      <c r="K142" s="134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 x14ac:dyDescent="0.25">
      <c r="A143" s="57"/>
      <c r="B143" s="57" t="s">
        <v>159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22.59</v>
      </c>
      <c r="H143" s="59"/>
      <c r="I143" s="59"/>
      <c r="J143" s="59"/>
      <c r="K143" s="134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 x14ac:dyDescent="0.25">
      <c r="A144" s="57"/>
      <c r="B144" s="57" t="s">
        <v>176</v>
      </c>
      <c r="C144" s="57">
        <v>2022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1"/>
        <v>FEBBRAIO 2022</v>
      </c>
      <c r="F144" s="57" t="str">
        <f t="shared" si="22"/>
        <v>2 FEBBRAIO 2022</v>
      </c>
      <c r="G144" s="59">
        <v>83.41</v>
      </c>
      <c r="H144" s="59"/>
      <c r="I144" s="59"/>
      <c r="J144" s="59"/>
      <c r="K144" s="134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 x14ac:dyDescent="0.25">
      <c r="A145" s="57" t="s">
        <v>1208</v>
      </c>
      <c r="B145" s="57" t="s">
        <v>176</v>
      </c>
      <c r="C145" s="57">
        <v>2022</v>
      </c>
      <c r="D145" s="58">
        <f>MATCH(B145,{"GENNAIO","FEBBRAIO","MARZO","APRILE","MAGGIO","GIUGNO","LUGLIO","AGOSTO","SETTEMBRE","OTTOBRE","NOVEMBRE","DICEMBRE"},0)</f>
        <v>2</v>
      </c>
      <c r="E145" s="57" t="str">
        <f t="shared" si="21"/>
        <v>FEBBRAIO 2022</v>
      </c>
      <c r="F145" s="57" t="str">
        <f t="shared" si="22"/>
        <v>2 FEBBRAIO 2022</v>
      </c>
      <c r="G145" s="59">
        <v>2.5</v>
      </c>
      <c r="H145" s="59"/>
      <c r="I145" s="59"/>
      <c r="J145" s="59"/>
      <c r="K145" s="134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 x14ac:dyDescent="0.25">
      <c r="A146" s="57"/>
      <c r="B146" s="57" t="s">
        <v>176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4</v>
      </c>
      <c r="H146" s="59"/>
      <c r="I146" s="59"/>
      <c r="J146" s="59"/>
      <c r="K146" s="59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 x14ac:dyDescent="0.25">
      <c r="A147" s="57"/>
      <c r="B147" s="57" t="s">
        <v>176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0.5</v>
      </c>
      <c r="H147" s="59"/>
      <c r="I147" s="59"/>
      <c r="J147" s="59"/>
      <c r="K147" s="59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 x14ac:dyDescent="0.25">
      <c r="A148" s="57"/>
      <c r="B148" s="57" t="s">
        <v>183</v>
      </c>
      <c r="C148" s="57">
        <v>2022</v>
      </c>
      <c r="D148" s="58">
        <f>MATCH(B148,{"GENNAIO","FEBBRAIO","MARZO","APRILE","MAGGIO","GIUGNO","LUGLIO","AGOSTO","SETTEMBRE","OTTOBRE","NOVEMBRE","DICEMBRE"},0)</f>
        <v>1</v>
      </c>
      <c r="E148" s="57" t="str">
        <f t="shared" si="21"/>
        <v>GENNAIO 2022</v>
      </c>
      <c r="F148" s="57" t="str">
        <f t="shared" si="22"/>
        <v>1 GENNAIO 2022</v>
      </c>
      <c r="G148" s="59">
        <v>0.03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 x14ac:dyDescent="0.25">
      <c r="A149" s="57"/>
      <c r="B149" s="57" t="s">
        <v>183</v>
      </c>
      <c r="C149" s="57">
        <v>2022</v>
      </c>
      <c r="D149" s="58">
        <f>MATCH(B149,{"GENNAIO","FEBBRAIO","MARZO","APRILE","MAGGIO","GIUGNO","LUGLIO","AGOSTO","SETTEMBRE","OTTOBRE","NOVEMBRE","DICEMBRE"},0)</f>
        <v>1</v>
      </c>
      <c r="E149" s="57" t="str">
        <f t="shared" si="21"/>
        <v>GENNAIO 2022</v>
      </c>
      <c r="F149" s="57" t="str">
        <f t="shared" si="22"/>
        <v>1 GENNAIO 2022</v>
      </c>
      <c r="G149" s="59">
        <v>1003.03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 x14ac:dyDescent="0.25">
      <c r="A150" s="57"/>
      <c r="B150" s="57" t="s">
        <v>183</v>
      </c>
      <c r="C150" s="57">
        <v>2022</v>
      </c>
      <c r="D150" s="58">
        <f>MATCH(B150,{"GENNAIO","FEBBRAIO","MARZO","APRILE","MAGGIO","GIUGNO","LUGLIO","AGOSTO","SETTEMBRE","OTTOBRE","NOVEMBRE","DICEMBRE"},0)</f>
        <v>1</v>
      </c>
      <c r="E150" s="57" t="str">
        <f t="shared" si="21"/>
        <v>GENNAIO 2022</v>
      </c>
      <c r="F150" s="57" t="str">
        <f t="shared" si="22"/>
        <v>1 GENNAIO 2022</v>
      </c>
      <c r="G150" s="59">
        <v>68.5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 x14ac:dyDescent="0.25">
      <c r="A151" s="57"/>
      <c r="B151" s="57" t="s">
        <v>183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349.45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 x14ac:dyDescent="0.25">
      <c r="A152" s="57" t="s">
        <v>562</v>
      </c>
      <c r="B152" s="57" t="s">
        <v>188</v>
      </c>
      <c r="C152" s="57">
        <v>2021</v>
      </c>
      <c r="D152" s="58">
        <f>MATCH(B152,{"GENNAIO","FEBBRAIO","MARZO","APRILE","MAGGIO","GIUGNO","LUGLIO","AGOSTO","SETTEMBRE","OTTOBRE","NOVEMBRE","DICEMBRE"},0)</f>
        <v>12</v>
      </c>
      <c r="E152" s="57" t="str">
        <f t="shared" si="21"/>
        <v>DICEMBRE 2021</v>
      </c>
      <c r="F152" s="57" t="str">
        <f t="shared" si="22"/>
        <v>12 DICEMBRE 2021</v>
      </c>
      <c r="G152" s="59">
        <v>250</v>
      </c>
      <c r="H152" s="59" t="s">
        <v>375</v>
      </c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 x14ac:dyDescent="0.25">
      <c r="A153" s="57"/>
      <c r="B153" s="57" t="s">
        <v>188</v>
      </c>
      <c r="C153" s="57">
        <v>2021</v>
      </c>
      <c r="D153" s="58">
        <f>MATCH(B153,{"GENNAIO","FEBBRAIO","MARZO","APRILE","MAGGIO","GIUGNO","LUGLIO","AGOSTO","SETTEMBRE","OTTOBRE","NOVEMBRE","DICEMBRE"},0)</f>
        <v>12</v>
      </c>
      <c r="E153" s="57" t="str">
        <f t="shared" si="21"/>
        <v>DICEMBRE 2021</v>
      </c>
      <c r="F153" s="57" t="str">
        <f t="shared" si="22"/>
        <v>12 DICEMBRE 2021</v>
      </c>
      <c r="G153" s="59">
        <v>250.5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 x14ac:dyDescent="0.25">
      <c r="A154" s="57"/>
      <c r="B154" s="57" t="s">
        <v>188</v>
      </c>
      <c r="C154" s="57">
        <v>2021</v>
      </c>
      <c r="D154" s="58">
        <f>MATCH(B154,{"GENNAIO","FEBBRAIO","MARZO","APRILE","MAGGIO","GIUGNO","LUGLIO","AGOSTO","SETTEMBRE","OTTOBRE","NOVEMBRE","DICEMBRE"},0)</f>
        <v>12</v>
      </c>
      <c r="E154" s="57" t="str">
        <f t="shared" si="21"/>
        <v>DICEMBRE 2021</v>
      </c>
      <c r="F154" s="57" t="str">
        <f t="shared" si="22"/>
        <v>12 DICEMBRE 2021</v>
      </c>
      <c r="G154" s="59">
        <v>17.489999999999998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 x14ac:dyDescent="0.25">
      <c r="A155" s="57"/>
      <c r="B155" s="57" t="s">
        <v>188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34.99</v>
      </c>
      <c r="H155" s="59"/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 x14ac:dyDescent="0.25">
      <c r="A156" s="57"/>
      <c r="B156" s="57" t="s">
        <v>188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43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 x14ac:dyDescent="0.25">
      <c r="A157" s="57"/>
      <c r="B157" s="57" t="s">
        <v>188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231.35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 x14ac:dyDescent="0.25">
      <c r="A158" s="57"/>
      <c r="B158" s="57" t="s">
        <v>207</v>
      </c>
      <c r="C158" s="57">
        <v>2021</v>
      </c>
      <c r="D158" s="58">
        <f>MATCH(B158,{"GENNAIO","FEBBRAIO","MARZO","APRILE","MAGGIO","GIUGNO","LUGLIO","AGOSTO","SETTEMBRE","OTTOBRE","NOVEMBRE","DICEMBRE"},0)</f>
        <v>11</v>
      </c>
      <c r="E158" s="57" t="str">
        <f t="shared" si="21"/>
        <v>NOVEMBRE 2021</v>
      </c>
      <c r="F158" s="57" t="str">
        <f t="shared" si="22"/>
        <v>11 NOVEMBRE 2021</v>
      </c>
      <c r="G158" s="59">
        <v>159.1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 x14ac:dyDescent="0.25">
      <c r="A159" s="57" t="s">
        <v>1202</v>
      </c>
      <c r="B159" s="57" t="s">
        <v>207</v>
      </c>
      <c r="C159" s="57">
        <v>2021</v>
      </c>
      <c r="D159" s="58">
        <f>MATCH(B159,{"GENNAIO","FEBBRAIO","MARZO","APRILE","MAGGIO","GIUGNO","LUGLIO","AGOSTO","SETTEMBRE","OTTOBRE","NOVEMBRE","DICEMBRE"},0)</f>
        <v>11</v>
      </c>
      <c r="E159" s="57" t="str">
        <f t="shared" si="21"/>
        <v>NOVEMBRE 2021</v>
      </c>
      <c r="F159" s="57" t="str">
        <f t="shared" si="22"/>
        <v>11 NOVEMBRE 2021</v>
      </c>
      <c r="G159" s="59">
        <v>20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 x14ac:dyDescent="0.25">
      <c r="A160" s="57" t="s">
        <v>1063</v>
      </c>
      <c r="B160" s="57" t="s">
        <v>215</v>
      </c>
      <c r="C160" s="57">
        <v>2021</v>
      </c>
      <c r="D160" s="58">
        <f>MATCH(B160,{"GENNAIO","FEBBRAIO","MARZO","APRILE","MAGGIO","GIUGNO","LUGLIO","AGOSTO","SETTEMBRE","OTTOBRE","NOVEMBRE","DICEMBRE"},0)</f>
        <v>10</v>
      </c>
      <c r="E160" s="57" t="str">
        <f t="shared" si="21"/>
        <v>OTTOBRE 2021</v>
      </c>
      <c r="F160" s="57" t="str">
        <f t="shared" si="22"/>
        <v>10 OTTOBRE 2021</v>
      </c>
      <c r="G160" s="59">
        <v>60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11" x14ac:dyDescent="0.25">
      <c r="A161" s="57"/>
      <c r="B161" s="57" t="s">
        <v>215</v>
      </c>
      <c r="C161" s="57">
        <v>2021</v>
      </c>
      <c r="D161" s="58">
        <f>MATCH(B161,{"GENNAIO","FEBBRAIO","MARZO","APRILE","MAGGIO","GIUGNO","LUGLIO","AGOSTO","SETTEMBRE","OTTOBRE","NOVEMBRE","DICEMBRE"},0)</f>
        <v>10</v>
      </c>
      <c r="E161" s="57" t="str">
        <f t="shared" si="21"/>
        <v>OTTOBRE 2021</v>
      </c>
      <c r="F161" s="57" t="str">
        <f t="shared" si="22"/>
        <v>10 OTTOBRE 2021</v>
      </c>
      <c r="G161" s="59">
        <v>3</v>
      </c>
      <c r="H161" s="59"/>
      <c r="I161" s="59"/>
      <c r="J161" s="59"/>
      <c r="K161" s="59"/>
    </row>
    <row r="162" spans="1:11" x14ac:dyDescent="0.25">
      <c r="A162" s="57"/>
      <c r="B162" s="57" t="s">
        <v>215</v>
      </c>
      <c r="C162" s="57">
        <v>2021</v>
      </c>
      <c r="D162" s="58">
        <f>MATCH(B162,{"GENNAIO","FEBBRAIO","MARZO","APRILE","MAGGIO","GIUGNO","LUGLIO","AGOSTO","SETTEMBRE","OTTOBRE","NOVEMBRE","DICEMBRE"},0)</f>
        <v>10</v>
      </c>
      <c r="E162" s="57" t="str">
        <f t="shared" si="21"/>
        <v>OTTOBRE 2021</v>
      </c>
      <c r="F162" s="57" t="str">
        <f t="shared" si="22"/>
        <v>10 OTTOBRE 2021</v>
      </c>
      <c r="G162" s="59">
        <v>3</v>
      </c>
      <c r="H162" s="59"/>
      <c r="I162" s="59"/>
      <c r="J162" s="59"/>
      <c r="K162" s="59"/>
    </row>
    <row r="163" spans="1:11" x14ac:dyDescent="0.25">
      <c r="A163" s="57"/>
      <c r="B163" s="57" t="s">
        <v>215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3</v>
      </c>
      <c r="H163" s="59"/>
      <c r="I163" s="59"/>
      <c r="J163" s="59"/>
      <c r="K163" s="59"/>
    </row>
    <row r="164" spans="1:11" x14ac:dyDescent="0.25">
      <c r="A164" s="57"/>
      <c r="B164" s="57" t="s">
        <v>215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87</v>
      </c>
      <c r="H164" s="59"/>
      <c r="I164" s="59"/>
      <c r="J164" s="59"/>
      <c r="K164" s="59"/>
    </row>
    <row r="165" spans="1:11" x14ac:dyDescent="0.25">
      <c r="A165" s="57"/>
      <c r="B165" s="57" t="s">
        <v>215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76.900000000000006</v>
      </c>
      <c r="H165" s="59"/>
      <c r="I165" s="59"/>
      <c r="J165" s="59"/>
      <c r="K165" s="59"/>
    </row>
    <row r="166" spans="1:11" x14ac:dyDescent="0.25">
      <c r="A166" s="57" t="s">
        <v>113</v>
      </c>
      <c r="B166" s="57" t="s">
        <v>68</v>
      </c>
      <c r="C166" s="57">
        <v>2021</v>
      </c>
      <c r="D166" s="58">
        <f>MATCH(B166,{"GENNAIO","FEBBRAIO","MARZO","APRILE","MAGGIO","GIUGNO","LUGLIO","AGOSTO","SETTEMBRE","OTTOBRE","NOVEMBRE","DICEMBRE"},0)</f>
        <v>9</v>
      </c>
      <c r="E166" s="57" t="str">
        <f t="shared" si="21"/>
        <v>SETTEMBRE 2021</v>
      </c>
      <c r="F166" s="57" t="str">
        <f t="shared" si="22"/>
        <v>9 SETTEMBRE 2021</v>
      </c>
      <c r="G166" s="59">
        <v>105</v>
      </c>
      <c r="H166" s="59" t="s">
        <v>114</v>
      </c>
      <c r="I166" s="59"/>
      <c r="J166" s="59"/>
      <c r="K166" s="59"/>
    </row>
    <row r="167" spans="1:11" x14ac:dyDescent="0.25">
      <c r="A167" s="57"/>
      <c r="B167" s="57" t="s">
        <v>68</v>
      </c>
      <c r="C167" s="57">
        <v>2021</v>
      </c>
      <c r="D167" s="58">
        <f>MATCH(B167,{"GENNAIO","FEBBRAIO","MARZO","APRILE","MAGGIO","GIUGNO","LUGLIO","AGOSTO","SETTEMBRE","OTTOBRE","NOVEMBRE","DICEMBRE"},0)</f>
        <v>9</v>
      </c>
      <c r="E167" s="57" t="str">
        <f t="shared" si="21"/>
        <v>SETTEMBRE 2021</v>
      </c>
      <c r="F167" s="57" t="str">
        <f t="shared" si="22"/>
        <v>9 SETTEMBRE 2021</v>
      </c>
      <c r="G167" s="59">
        <v>25</v>
      </c>
      <c r="H167" s="59"/>
      <c r="I167" s="59"/>
      <c r="J167" s="59"/>
      <c r="K167" s="59"/>
    </row>
    <row r="168" spans="1:11" x14ac:dyDescent="0.25">
      <c r="A168" s="57"/>
      <c r="B168" s="57" t="s">
        <v>80</v>
      </c>
      <c r="C168" s="57">
        <v>2021</v>
      </c>
      <c r="D168" s="58">
        <f>MATCH(B168,{"GENNAIO","FEBBRAIO","MARZO","APRILE","MAGGIO","GIUGNO","LUGLIO","AGOSTO","SETTEMBRE","OTTOBRE","NOVEMBRE","DICEMBRE"},0)</f>
        <v>8</v>
      </c>
      <c r="E168" s="57" t="str">
        <f t="shared" si="21"/>
        <v>AGOSTO 2021</v>
      </c>
      <c r="F168" s="57" t="str">
        <f t="shared" si="22"/>
        <v>8 AGOSTO 2021</v>
      </c>
      <c r="G168" s="59">
        <v>42.9</v>
      </c>
      <c r="H168" s="59"/>
      <c r="I168" s="59"/>
      <c r="J168" s="59"/>
      <c r="K168" s="59"/>
    </row>
    <row r="169" spans="1:11" x14ac:dyDescent="0.25">
      <c r="A169" s="57"/>
      <c r="B169" s="57" t="s">
        <v>80</v>
      </c>
      <c r="C169" s="57">
        <v>2021</v>
      </c>
      <c r="D169" s="58">
        <f>MATCH(B169,{"GENNAIO","FEBBRAIO","MARZO","APRILE","MAGGIO","GIUGNO","LUGLIO","AGOSTO","SETTEMBRE","OTTOBRE","NOVEMBRE","DICEMBRE"},0)</f>
        <v>8</v>
      </c>
      <c r="E169" s="57" t="str">
        <f t="shared" si="21"/>
        <v>AGOSTO 2021</v>
      </c>
      <c r="F169" s="57" t="str">
        <f t="shared" si="22"/>
        <v>8 AGOSTO 2021</v>
      </c>
      <c r="G169" s="59">
        <v>17.7</v>
      </c>
      <c r="H169" s="59"/>
      <c r="I169" s="59"/>
      <c r="J169" s="59"/>
      <c r="K169" s="59"/>
    </row>
    <row r="170" spans="1:11" x14ac:dyDescent="0.25">
      <c r="A170" s="57" t="s">
        <v>1206</v>
      </c>
      <c r="B170" s="57" t="s">
        <v>80</v>
      </c>
      <c r="C170" s="57">
        <v>2021</v>
      </c>
      <c r="D170" s="58">
        <f>MATCH(B170,{"GENNAIO","FEBBRAIO","MARZO","APRILE","MAGGIO","GIUGNO","LUGLIO","AGOSTO","SETTEMBRE","OTTOBRE","NOVEMBRE","DICEMBRE"},0)</f>
        <v>8</v>
      </c>
      <c r="E170" s="57" t="str">
        <f t="shared" si="21"/>
        <v>AGOSTO 2021</v>
      </c>
      <c r="F170" s="57" t="str">
        <f t="shared" si="22"/>
        <v>8 AGOSTO 2021</v>
      </c>
      <c r="G170" s="59">
        <v>1188.5</v>
      </c>
      <c r="H170" s="59" t="s">
        <v>81</v>
      </c>
      <c r="I170" s="59"/>
      <c r="J170" s="59"/>
      <c r="K170" s="59"/>
    </row>
    <row r="171" spans="1:11" x14ac:dyDescent="0.25">
      <c r="A171" s="57"/>
      <c r="B171" s="57" t="s">
        <v>119</v>
      </c>
      <c r="C171" s="57">
        <v>2021</v>
      </c>
      <c r="D171" s="58">
        <f>MATCH(B171,{"GENNAIO","FEBBRAIO","MARZO","APRILE","MAGGIO","GIUGNO","LUGLIO","AGOSTO","SETTEMBRE","OTTOBRE","NOVEMBRE","DICEMBRE"},0)</f>
        <v>7</v>
      </c>
      <c r="E171" s="57" t="str">
        <f t="shared" si="21"/>
        <v>LUGLIO 2021</v>
      </c>
      <c r="F171" s="57" t="str">
        <f t="shared" si="22"/>
        <v>7 LUGLIO 2021</v>
      </c>
      <c r="G171" s="59">
        <v>105</v>
      </c>
      <c r="H171" s="59"/>
      <c r="I171" s="59"/>
      <c r="J171" s="59"/>
      <c r="K171" s="59"/>
    </row>
    <row r="172" spans="1:11" x14ac:dyDescent="0.25">
      <c r="A172" s="57"/>
      <c r="B172" s="57" t="s">
        <v>119</v>
      </c>
      <c r="C172" s="57">
        <v>2021</v>
      </c>
      <c r="D172" s="58">
        <f>MATCH(B172,{"GENNAIO","FEBBRAIO","MARZO","APRILE","MAGGIO","GIUGNO","LUGLIO","AGOSTO","SETTEMBRE","OTTOBRE","NOVEMBRE","DICEMBRE"},0)</f>
        <v>7</v>
      </c>
      <c r="E172" s="57" t="str">
        <f t="shared" si="21"/>
        <v>LUGLIO 2021</v>
      </c>
      <c r="F172" s="57" t="str">
        <f t="shared" si="22"/>
        <v>7 LUGLIO 2021</v>
      </c>
      <c r="G172" s="59">
        <v>150.5</v>
      </c>
      <c r="H172" s="59"/>
      <c r="I172" s="59"/>
      <c r="J172" s="59"/>
      <c r="K172" s="59"/>
    </row>
    <row r="173" spans="1:11" x14ac:dyDescent="0.25">
      <c r="A173" s="57"/>
      <c r="B173" s="57" t="s">
        <v>119</v>
      </c>
      <c r="C173" s="57">
        <v>2021</v>
      </c>
      <c r="D173" s="58">
        <f>MATCH(B173,{"GENNAIO","FEBBRAIO","MARZO","APRILE","MAGGIO","GIUGNO","LUGLIO","AGOSTO","SETTEMBRE","OTTOBRE","NOVEMBRE","DICEMBRE"},0)</f>
        <v>7</v>
      </c>
      <c r="E173" s="57" t="str">
        <f t="shared" si="21"/>
        <v>LUGLIO 2021</v>
      </c>
      <c r="F173" s="57" t="str">
        <f t="shared" si="22"/>
        <v>7 LUGLIO 2021</v>
      </c>
      <c r="G173" s="59">
        <v>61</v>
      </c>
      <c r="H173" s="59"/>
      <c r="I173" s="59"/>
      <c r="J173" s="59"/>
      <c r="K173" s="59"/>
    </row>
    <row r="174" spans="1:11" x14ac:dyDescent="0.25">
      <c r="A174" s="57"/>
      <c r="B174" s="57" t="s">
        <v>119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188</v>
      </c>
      <c r="H174" s="59"/>
      <c r="I174" s="59"/>
      <c r="J174" s="59"/>
      <c r="K174" s="59"/>
    </row>
    <row r="175" spans="1:11" x14ac:dyDescent="0.25">
      <c r="A175" s="57"/>
      <c r="B175" s="57" t="s">
        <v>119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26.94</v>
      </c>
      <c r="H175" s="59"/>
      <c r="I175" s="59"/>
      <c r="J175" s="59"/>
      <c r="K175" s="59"/>
    </row>
    <row r="176" spans="1:11" x14ac:dyDescent="0.25">
      <c r="A176" s="57"/>
      <c r="B176" s="57" t="s">
        <v>119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18.37</v>
      </c>
      <c r="H176" s="59"/>
      <c r="I176" s="59"/>
      <c r="J176" s="59"/>
      <c r="K176" s="59"/>
    </row>
    <row r="177" spans="1:11" x14ac:dyDescent="0.25">
      <c r="A177" s="57"/>
      <c r="B177" s="57" t="s">
        <v>143</v>
      </c>
      <c r="C177" s="57">
        <v>2021</v>
      </c>
      <c r="D177" s="58">
        <f>MATCH(B177,{"GENNAIO","FEBBRAIO","MARZO","APRILE","MAGGIO","GIUGNO","LUGLIO","AGOSTO","SETTEMBRE","OTTOBRE","NOVEMBRE","DICEMBRE"},0)</f>
        <v>5</v>
      </c>
      <c r="E177" s="57" t="str">
        <f t="shared" si="21"/>
        <v>MAGGIO 2021</v>
      </c>
      <c r="F177" s="57" t="str">
        <f t="shared" si="22"/>
        <v>5 MAGGIO 2021</v>
      </c>
      <c r="G177" s="59">
        <v>30.03</v>
      </c>
      <c r="H177" s="59"/>
      <c r="I177" s="59"/>
      <c r="J177" s="59"/>
      <c r="K177" s="59"/>
    </row>
    <row r="178" spans="1:11" x14ac:dyDescent="0.25">
      <c r="A178" s="57"/>
      <c r="B178" s="57" t="s">
        <v>143</v>
      </c>
      <c r="C178" s="57">
        <v>2021</v>
      </c>
      <c r="D178" s="58">
        <f>MATCH(B178,{"GENNAIO","FEBBRAIO","MARZO","APRILE","MAGGIO","GIUGNO","LUGLIO","AGOSTO","SETTEMBRE","OTTOBRE","NOVEMBRE","DICEMBRE"},0)</f>
        <v>5</v>
      </c>
      <c r="E178" s="57" t="str">
        <f t="shared" si="21"/>
        <v>MAGGIO 2021</v>
      </c>
      <c r="F178" s="57" t="str">
        <f t="shared" si="22"/>
        <v>5 MAGGIO 2021</v>
      </c>
      <c r="G178" s="59">
        <v>35.01</v>
      </c>
      <c r="H178" s="59"/>
      <c r="I178" s="59"/>
      <c r="J178" s="59"/>
      <c r="K178" s="59"/>
    </row>
    <row r="179" spans="1:11" x14ac:dyDescent="0.25">
      <c r="A179" s="57"/>
      <c r="B179" s="57" t="s">
        <v>159</v>
      </c>
      <c r="C179" s="57">
        <v>2021</v>
      </c>
      <c r="D179" s="58">
        <f>MATCH(B179,{"GENNAIO","FEBBRAIO","MARZO","APRILE","MAGGIO","GIUGNO","LUGLIO","AGOSTO","SETTEMBRE","OTTOBRE","NOVEMBRE","DICEMBRE"},0)</f>
        <v>4</v>
      </c>
      <c r="E179" s="57" t="str">
        <f t="shared" si="21"/>
        <v>APRILE 2021</v>
      </c>
      <c r="F179" s="57" t="str">
        <f t="shared" si="22"/>
        <v>4 APRILE 2021</v>
      </c>
      <c r="G179" s="59">
        <v>39</v>
      </c>
      <c r="H179" s="59"/>
      <c r="I179" s="59"/>
      <c r="J179" s="59"/>
      <c r="K179" s="59"/>
    </row>
    <row r="180" spans="1:11" x14ac:dyDescent="0.25">
      <c r="A180" s="57"/>
      <c r="B180" s="57" t="s">
        <v>159</v>
      </c>
      <c r="C180" s="57">
        <v>2021</v>
      </c>
      <c r="D180" s="58">
        <f>MATCH(B180,{"GENNAIO","FEBBRAIO","MARZO","APRILE","MAGGIO","GIUGNO","LUGLIO","AGOSTO","SETTEMBRE","OTTOBRE","NOVEMBRE","DICEMBRE"},0)</f>
        <v>4</v>
      </c>
      <c r="E180" s="57" t="str">
        <f t="shared" si="21"/>
        <v>APRILE 2021</v>
      </c>
      <c r="F180" s="57" t="str">
        <f t="shared" si="22"/>
        <v>4 APRILE 2021</v>
      </c>
      <c r="G180" s="59">
        <v>53.3</v>
      </c>
      <c r="H180" s="59"/>
      <c r="I180" s="59"/>
      <c r="J180" s="59"/>
      <c r="K180" s="59"/>
    </row>
    <row r="181" spans="1:11" x14ac:dyDescent="0.25">
      <c r="A181" s="57"/>
      <c r="B181" s="57" t="s">
        <v>168</v>
      </c>
      <c r="C181" s="57">
        <v>2021</v>
      </c>
      <c r="D181" s="58">
        <f>MATCH(B181,{"GENNAIO","FEBBRAIO","MARZO","APRILE","MAGGIO","GIUGNO","LUGLIO","AGOSTO","SETTEMBRE","OTTOBRE","NOVEMBRE","DICEMBRE"},0)</f>
        <v>3</v>
      </c>
      <c r="E181" s="57" t="str">
        <f t="shared" si="21"/>
        <v>MARZO 2021</v>
      </c>
      <c r="F181" s="57" t="str">
        <f t="shared" si="22"/>
        <v>3 MARZO 2021</v>
      </c>
      <c r="G181" s="59">
        <v>1265.5</v>
      </c>
      <c r="H181" s="59"/>
      <c r="I181" s="59"/>
      <c r="J181" s="59"/>
      <c r="K181" s="59"/>
    </row>
    <row r="182" spans="1:11" x14ac:dyDescent="0.25">
      <c r="A182" s="57"/>
      <c r="B182" s="57" t="s">
        <v>176</v>
      </c>
      <c r="C182" s="57">
        <v>2021</v>
      </c>
      <c r="D182" s="58">
        <f>MATCH(B182,{"GENNAIO","FEBBRAIO","MARZO","APRILE","MAGGIO","GIUGNO","LUGLIO","AGOSTO","SETTEMBRE","OTTOBRE","NOVEMBRE","DICEMBRE"},0)</f>
        <v>2</v>
      </c>
      <c r="E182" s="57" t="str">
        <f t="shared" si="21"/>
        <v>FEBBRAIO 2021</v>
      </c>
      <c r="F182" s="57" t="str">
        <f t="shared" si="22"/>
        <v>2 FEBBRAIO 2021</v>
      </c>
      <c r="G182" s="59">
        <v>30.15</v>
      </c>
      <c r="H182" s="59"/>
      <c r="I182" s="59"/>
      <c r="J182" s="59"/>
      <c r="K182" s="59"/>
    </row>
    <row r="183" spans="1:11" x14ac:dyDescent="0.25">
      <c r="A183" s="57"/>
      <c r="B183" s="57" t="s">
        <v>176</v>
      </c>
      <c r="C183" s="57">
        <v>2021</v>
      </c>
      <c r="D183" s="58">
        <f>MATCH(B183,{"GENNAIO","FEBBRAIO","MARZO","APRILE","MAGGIO","GIUGNO","LUGLIO","AGOSTO","SETTEMBRE","OTTOBRE","NOVEMBRE","DICEMBRE"},0)</f>
        <v>2</v>
      </c>
      <c r="E183" s="57" t="str">
        <f t="shared" si="21"/>
        <v>FEBBRAIO 2021</v>
      </c>
      <c r="F183" s="57" t="str">
        <f t="shared" si="22"/>
        <v>2 FEBBRAIO 2021</v>
      </c>
      <c r="G183" s="59">
        <v>35.75</v>
      </c>
      <c r="H183" s="59"/>
      <c r="I183" s="59"/>
      <c r="J183" s="59"/>
      <c r="K183" s="59"/>
    </row>
    <row r="184" spans="1:11" x14ac:dyDescent="0.25">
      <c r="A184" s="57"/>
      <c r="B184" s="57" t="s">
        <v>176</v>
      </c>
      <c r="C184" s="57">
        <v>2021</v>
      </c>
      <c r="D184" s="58">
        <f>MATCH(B184,{"GENNAIO","FEBBRAIO","MARZO","APRILE","MAGGIO","GIUGNO","LUGLIO","AGOSTO","SETTEMBRE","OTTOBRE","NOVEMBRE","DICEMBRE"},0)</f>
        <v>2</v>
      </c>
      <c r="E184" s="57" t="str">
        <f t="shared" si="21"/>
        <v>FEBBRAIO 2021</v>
      </c>
      <c r="F184" s="57" t="str">
        <f t="shared" si="22"/>
        <v>2 FEBBRAIO 2021</v>
      </c>
      <c r="G184" s="59">
        <v>127.5</v>
      </c>
      <c r="H184" s="59"/>
      <c r="I184" s="59"/>
      <c r="J184" s="59"/>
      <c r="K184" s="59"/>
    </row>
    <row r="185" spans="1:11" x14ac:dyDescent="0.25">
      <c r="A185" s="57"/>
      <c r="B185" s="57" t="s">
        <v>176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58.78</v>
      </c>
      <c r="H185" s="59"/>
      <c r="I185" s="59"/>
      <c r="J185" s="59"/>
      <c r="K185" s="59"/>
    </row>
    <row r="186" spans="1:11" x14ac:dyDescent="0.25">
      <c r="A186" s="57"/>
      <c r="B186" s="57" t="s">
        <v>176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2715.49</v>
      </c>
      <c r="H186" s="59"/>
      <c r="I186" s="59"/>
      <c r="J186" s="59"/>
      <c r="K186" s="59"/>
    </row>
    <row r="187" spans="1:11" x14ac:dyDescent="0.25">
      <c r="A187" s="57"/>
      <c r="B187" s="57" t="s">
        <v>176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18.82</v>
      </c>
      <c r="H187" s="59"/>
      <c r="I187" s="59"/>
      <c r="J187" s="59"/>
      <c r="K187" s="59"/>
    </row>
    <row r="188" spans="1:11" x14ac:dyDescent="0.25">
      <c r="A188" s="57"/>
      <c r="B188" s="57" t="s">
        <v>176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90.24</v>
      </c>
      <c r="H188" s="59"/>
      <c r="I188" s="59"/>
      <c r="J188" s="59"/>
      <c r="K188" s="59"/>
    </row>
    <row r="189" spans="1:11" x14ac:dyDescent="0.25">
      <c r="A189" s="57" t="s">
        <v>475</v>
      </c>
      <c r="B189" s="57" t="s">
        <v>183</v>
      </c>
      <c r="C189" s="57">
        <v>2021</v>
      </c>
      <c r="D189" s="58">
        <f>MATCH(B189,{"GENNAIO","FEBBRAIO","MARZO","APRILE","MAGGIO","GIUGNO","LUGLIO","AGOSTO","SETTEMBRE","OTTOBRE","NOVEMBRE","DICEMBRE"},0)</f>
        <v>1</v>
      </c>
      <c r="E189" s="57" t="str">
        <f t="shared" si="21"/>
        <v>GENNAIO 2021</v>
      </c>
      <c r="F189" s="57" t="str">
        <f t="shared" si="22"/>
        <v>1 GENNAIO 2021</v>
      </c>
      <c r="G189" s="59">
        <v>40</v>
      </c>
      <c r="H189" s="59" t="s">
        <v>93</v>
      </c>
      <c r="I189" s="59"/>
      <c r="J189" s="59"/>
      <c r="K189" s="59" t="s">
        <v>1209</v>
      </c>
    </row>
    <row r="190" spans="1:11" x14ac:dyDescent="0.25">
      <c r="A190" s="9" t="s">
        <v>475</v>
      </c>
      <c r="B190" s="57" t="s">
        <v>188</v>
      </c>
      <c r="C190" s="57">
        <v>2020</v>
      </c>
      <c r="D190" s="58">
        <f>MATCH(B190,{"GENNAIO","FEBBRAIO","MARZO","APRILE","MAGGIO","GIUGNO","LUGLIO","AGOSTO","SETTEMBRE","OTTOBRE","NOVEMBRE","DICEMBRE"},0)</f>
        <v>12</v>
      </c>
      <c r="E190" s="57" t="str">
        <f t="shared" si="21"/>
        <v>DICEMBRE 2020</v>
      </c>
      <c r="F190" s="57" t="str">
        <f t="shared" si="22"/>
        <v>12 DICEMBRE 2020</v>
      </c>
      <c r="G190" s="59">
        <v>40</v>
      </c>
      <c r="H190" s="59" t="s">
        <v>93</v>
      </c>
      <c r="I190" s="59"/>
      <c r="J190" s="59"/>
      <c r="K190" s="59" t="s">
        <v>1209</v>
      </c>
    </row>
    <row r="191" spans="1:11" x14ac:dyDescent="0.25">
      <c r="A191" s="57"/>
      <c r="B191" s="57" t="s">
        <v>188</v>
      </c>
      <c r="C191" s="57">
        <v>2020</v>
      </c>
      <c r="D191" s="58">
        <f>MATCH(B191,{"GENNAIO","FEBBRAIO","MARZO","APRILE","MAGGIO","GIUGNO","LUGLIO","AGOSTO","SETTEMBRE","OTTOBRE","NOVEMBRE","DICEMBRE"},0)</f>
        <v>12</v>
      </c>
      <c r="E191" s="57" t="str">
        <f t="shared" ref="E191:E246" si="23">CONCATENATE(,B191," ",C191)</f>
        <v>DICEMBRE 2020</v>
      </c>
      <c r="F191" s="57" t="str">
        <f t="shared" si="22"/>
        <v>12 DICEMBRE 2020</v>
      </c>
      <c r="G191" s="59">
        <v>285.98</v>
      </c>
      <c r="H191" s="59"/>
      <c r="I191" s="59"/>
      <c r="J191" s="59"/>
      <c r="K191" s="59"/>
    </row>
    <row r="192" spans="1:11" x14ac:dyDescent="0.25">
      <c r="A192" s="57"/>
      <c r="B192" s="57" t="s">
        <v>188</v>
      </c>
      <c r="C192" s="57">
        <v>2020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23"/>
        <v>DICEMBRE 2020</v>
      </c>
      <c r="F192" s="57" t="str">
        <f t="shared" ref="F192:F254" si="24">CONCATENATE(D192," ",E192)</f>
        <v>12 DICEMBRE 2020</v>
      </c>
      <c r="G192" s="59">
        <v>2399.1999999999998</v>
      </c>
      <c r="H192" s="59"/>
      <c r="I192" s="59"/>
      <c r="J192" s="59"/>
      <c r="K192" s="59"/>
    </row>
    <row r="193" spans="1:11" x14ac:dyDescent="0.25">
      <c r="A193" s="57"/>
      <c r="B193" s="57" t="s">
        <v>188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3"/>
        <v>DICEMBRE 2020</v>
      </c>
      <c r="F193" s="57" t="str">
        <f t="shared" si="24"/>
        <v>12 DICEMBRE 2020</v>
      </c>
      <c r="G193" s="59">
        <v>2500.5</v>
      </c>
      <c r="H193" s="59"/>
      <c r="I193" s="59"/>
      <c r="J193" s="59"/>
      <c r="K193" s="59"/>
    </row>
    <row r="194" spans="1:11" x14ac:dyDescent="0.25">
      <c r="A194" s="57"/>
      <c r="B194" s="57" t="s">
        <v>188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23"/>
        <v>DICEMBRE 2020</v>
      </c>
      <c r="F194" s="57" t="str">
        <f t="shared" si="24"/>
        <v>12 DICEMBRE 2020</v>
      </c>
      <c r="G194" s="59">
        <v>0.3</v>
      </c>
      <c r="H194" s="59"/>
      <c r="I194" s="59"/>
      <c r="J194" s="59"/>
      <c r="K194" s="59"/>
    </row>
    <row r="195" spans="1:11" x14ac:dyDescent="0.25">
      <c r="A195" s="57"/>
      <c r="B195" s="57" t="s">
        <v>188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si="24"/>
        <v>12 DICEMBRE 2020</v>
      </c>
      <c r="G195" s="59">
        <v>102</v>
      </c>
      <c r="H195" s="59"/>
      <c r="I195" s="59"/>
      <c r="J195" s="59"/>
      <c r="K195" s="59"/>
    </row>
    <row r="196" spans="1:11" x14ac:dyDescent="0.25">
      <c r="A196" s="57"/>
      <c r="B196" s="57" t="s">
        <v>188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</v>
      </c>
      <c r="H196" s="59"/>
      <c r="I196" s="59"/>
      <c r="J196" s="59"/>
      <c r="K196" s="59"/>
    </row>
    <row r="197" spans="1:11" x14ac:dyDescent="0.25">
      <c r="A197" s="57"/>
      <c r="B197" s="57" t="s">
        <v>188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72</v>
      </c>
      <c r="H197" s="59"/>
      <c r="I197" s="59"/>
      <c r="J197" s="59"/>
      <c r="K197" s="59"/>
    </row>
    <row r="198" spans="1:11" x14ac:dyDescent="0.25">
      <c r="A198" s="9" t="s">
        <v>475</v>
      </c>
      <c r="B198" s="57" t="s">
        <v>207</v>
      </c>
      <c r="C198" s="57">
        <v>2020</v>
      </c>
      <c r="D198" s="58">
        <f>MATCH(B198,{"GENNAIO","FEBBRAIO","MARZO","APRILE","MAGGIO","GIUGNO","LUGLIO","AGOSTO","SETTEMBRE","OTTOBRE","NOVEMBRE","DICEMBRE"},0)</f>
        <v>11</v>
      </c>
      <c r="E198" s="57" t="str">
        <f t="shared" si="23"/>
        <v>NOVEMBRE 2020</v>
      </c>
      <c r="F198" s="57" t="str">
        <f t="shared" si="24"/>
        <v>11 NOVEMBRE 2020</v>
      </c>
      <c r="G198" s="59">
        <v>40</v>
      </c>
      <c r="H198" s="59" t="s">
        <v>93</v>
      </c>
      <c r="I198" s="59"/>
      <c r="J198" s="59"/>
      <c r="K198" s="59"/>
    </row>
    <row r="199" spans="1:11" x14ac:dyDescent="0.25">
      <c r="A199" s="57"/>
      <c r="B199" s="57" t="s">
        <v>207</v>
      </c>
      <c r="C199" s="57">
        <v>2020</v>
      </c>
      <c r="D199" s="58">
        <f>MATCH(B199,{"GENNAIO","FEBBRAIO","MARZO","APRILE","MAGGIO","GIUGNO","LUGLIO","AGOSTO","SETTEMBRE","OTTOBRE","NOVEMBRE","DICEMBRE"},0)</f>
        <v>11</v>
      </c>
      <c r="E199" s="57" t="str">
        <f t="shared" si="23"/>
        <v>NOVEMBRE 2020</v>
      </c>
      <c r="F199" s="57" t="str">
        <f t="shared" si="24"/>
        <v>11 NOVEMBRE 2020</v>
      </c>
      <c r="G199" s="59">
        <v>285.98</v>
      </c>
      <c r="H199" s="59"/>
      <c r="I199" s="59"/>
      <c r="J199" s="59"/>
      <c r="K199" s="59"/>
    </row>
    <row r="200" spans="1:11" x14ac:dyDescent="0.25">
      <c r="A200" s="57"/>
      <c r="B200" s="57" t="s">
        <v>207</v>
      </c>
      <c r="C200" s="57">
        <v>2020</v>
      </c>
      <c r="D200" s="58">
        <f>MATCH(B200,{"GENNAIO","FEBBRAIO","MARZO","APRILE","MAGGIO","GIUGNO","LUGLIO","AGOSTO","SETTEMBRE","OTTOBRE","NOVEMBRE","DICEMBRE"},0)</f>
        <v>11</v>
      </c>
      <c r="E200" s="57" t="str">
        <f t="shared" si="23"/>
        <v>NOVEMBRE 2020</v>
      </c>
      <c r="F200" s="57" t="str">
        <f t="shared" si="24"/>
        <v>11 NOVEMBRE 2020</v>
      </c>
      <c r="G200" s="59">
        <v>3.6</v>
      </c>
      <c r="H200" s="59"/>
      <c r="I200" s="59"/>
      <c r="J200" s="59"/>
      <c r="K200" s="59"/>
    </row>
    <row r="201" spans="1:11" x14ac:dyDescent="0.25">
      <c r="A201" s="57"/>
      <c r="B201" s="57" t="s">
        <v>207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343.08</v>
      </c>
      <c r="H201" s="59"/>
      <c r="I201" s="59"/>
      <c r="J201" s="59"/>
      <c r="K201" s="59"/>
    </row>
    <row r="202" spans="1:11" x14ac:dyDescent="0.25">
      <c r="A202" s="57"/>
      <c r="B202" s="57" t="s">
        <v>215</v>
      </c>
      <c r="C202" s="57">
        <v>2020</v>
      </c>
      <c r="D202" s="58">
        <f>MATCH(B202,{"GENNAIO","FEBBRAIO","MARZO","APRILE","MAGGIO","GIUGNO","LUGLIO","AGOSTO","SETTEMBRE","OTTOBRE","NOVEMBRE","DICEMBRE"},0)</f>
        <v>10</v>
      </c>
      <c r="E202" s="57" t="str">
        <f t="shared" si="23"/>
        <v>OTTOBRE 2020</v>
      </c>
      <c r="F202" s="57" t="str">
        <f t="shared" si="24"/>
        <v>10 OTTOBRE 2020</v>
      </c>
      <c r="G202" s="59">
        <v>50</v>
      </c>
      <c r="H202" s="59"/>
      <c r="I202" s="59"/>
      <c r="J202" s="59"/>
      <c r="K202" s="59"/>
    </row>
    <row r="203" spans="1:11" x14ac:dyDescent="0.25">
      <c r="A203" s="9" t="s">
        <v>475</v>
      </c>
      <c r="B203" s="57" t="s">
        <v>215</v>
      </c>
      <c r="C203" s="57">
        <v>2020</v>
      </c>
      <c r="D203" s="58">
        <f>MATCH(B203,{"GENNAIO","FEBBRAIO","MARZO","APRILE","MAGGIO","GIUGNO","LUGLIO","AGOSTO","SETTEMBRE","OTTOBRE","NOVEMBRE","DICEMBRE"},0)</f>
        <v>10</v>
      </c>
      <c r="E203" s="57" t="str">
        <f t="shared" si="23"/>
        <v>OTTOBRE 2020</v>
      </c>
      <c r="F203" s="57" t="str">
        <f t="shared" si="24"/>
        <v>10 OTTOBRE 2020</v>
      </c>
      <c r="G203" s="59">
        <v>40</v>
      </c>
      <c r="H203" s="59" t="s">
        <v>93</v>
      </c>
      <c r="I203" s="59"/>
      <c r="J203" s="59"/>
      <c r="K203" s="59" t="s">
        <v>1209</v>
      </c>
    </row>
    <row r="204" spans="1:11" x14ac:dyDescent="0.25">
      <c r="A204" s="57"/>
      <c r="B204" s="57" t="s">
        <v>215</v>
      </c>
      <c r="C204" s="57">
        <v>2020</v>
      </c>
      <c r="D204" s="58">
        <f>MATCH(B204,{"GENNAIO","FEBBRAIO","MARZO","APRILE","MAGGIO","GIUGNO","LUGLIO","AGOSTO","SETTEMBRE","OTTOBRE","NOVEMBRE","DICEMBRE"},0)</f>
        <v>10</v>
      </c>
      <c r="E204" s="57" t="str">
        <f t="shared" si="23"/>
        <v>OTTOBRE 2020</v>
      </c>
      <c r="F204" s="57" t="str">
        <f t="shared" si="24"/>
        <v>10 OTTOBRE 2020</v>
      </c>
      <c r="G204" s="59">
        <v>217.5</v>
      </c>
      <c r="H204" s="59"/>
      <c r="I204" s="59"/>
      <c r="J204" s="59"/>
      <c r="K204" s="59"/>
    </row>
    <row r="205" spans="1:11" x14ac:dyDescent="0.25">
      <c r="A205" s="57"/>
      <c r="B205" s="57" t="s">
        <v>215</v>
      </c>
      <c r="C205" s="57">
        <v>2020</v>
      </c>
      <c r="D205" s="58">
        <f>MATCH(B205,{"GENNAIO","FEBBRAIO","MARZO","APRILE","MAGGIO","GIUGNO","LUGLIO","AGOSTO","SETTEMBRE","OTTOBRE","NOVEMBRE","DICEMBRE"},0)</f>
        <v>10</v>
      </c>
      <c r="E205" s="57" t="str">
        <f t="shared" si="23"/>
        <v>OTTOBRE 2020</v>
      </c>
      <c r="F205" s="57" t="str">
        <f t="shared" si="24"/>
        <v>10 OTTOBRE 2020</v>
      </c>
      <c r="G205" s="59">
        <v>285.98</v>
      </c>
      <c r="H205" s="59"/>
      <c r="I205" s="59"/>
      <c r="J205" s="59"/>
      <c r="K205" s="59"/>
    </row>
    <row r="206" spans="1:11" x14ac:dyDescent="0.25">
      <c r="A206" s="57"/>
      <c r="B206" s="57" t="s">
        <v>215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90</v>
      </c>
      <c r="H206" s="59"/>
      <c r="I206" s="59"/>
      <c r="J206" s="59"/>
      <c r="K206" s="59"/>
    </row>
    <row r="207" spans="1:11" x14ac:dyDescent="0.25">
      <c r="A207" s="57"/>
      <c r="B207" s="57" t="s">
        <v>215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15.1</v>
      </c>
      <c r="H207" s="59"/>
      <c r="I207" s="59"/>
      <c r="J207" s="59"/>
      <c r="K207" s="59"/>
    </row>
    <row r="208" spans="1:11" x14ac:dyDescent="0.25">
      <c r="A208" s="57"/>
      <c r="B208" s="57" t="s">
        <v>68</v>
      </c>
      <c r="C208" s="57">
        <v>2020</v>
      </c>
      <c r="D208" s="58">
        <f>MATCH(B208,{"GENNAIO","FEBBRAIO","MARZO","APRILE","MAGGIO","GIUGNO","LUGLIO","AGOSTO","SETTEMBRE","OTTOBRE","NOVEMBRE","DICEMBRE"},0)</f>
        <v>9</v>
      </c>
      <c r="E208" s="57" t="str">
        <f t="shared" si="23"/>
        <v>SETTEMBRE 2020</v>
      </c>
      <c r="F208" s="57" t="str">
        <f t="shared" si="24"/>
        <v>9 SETTEMBRE 2020</v>
      </c>
      <c r="G208" s="59">
        <v>40</v>
      </c>
      <c r="H208" s="59"/>
      <c r="I208" s="59"/>
      <c r="J208" s="59"/>
      <c r="K208" s="59"/>
    </row>
    <row r="209" spans="1:11" x14ac:dyDescent="0.25">
      <c r="A209" s="57"/>
      <c r="B209" s="57" t="s">
        <v>68</v>
      </c>
      <c r="C209" s="57">
        <v>2020</v>
      </c>
      <c r="D209" s="58">
        <f>MATCH(B209,{"GENNAIO","FEBBRAIO","MARZO","APRILE","MAGGIO","GIUGNO","LUGLIO","AGOSTO","SETTEMBRE","OTTOBRE","NOVEMBRE","DICEMBRE"},0)</f>
        <v>9</v>
      </c>
      <c r="E209" s="57" t="str">
        <f t="shared" si="23"/>
        <v>SETTEMBRE 2020</v>
      </c>
      <c r="F209" s="57" t="str">
        <f t="shared" si="24"/>
        <v>9 SETTEMBRE 2020</v>
      </c>
      <c r="G209" s="59">
        <v>70</v>
      </c>
      <c r="H209" s="59"/>
      <c r="I209" s="59"/>
      <c r="J209" s="59"/>
      <c r="K209" s="59"/>
    </row>
    <row r="210" spans="1:11" x14ac:dyDescent="0.25">
      <c r="A210" s="57"/>
      <c r="B210" s="57" t="s">
        <v>68</v>
      </c>
      <c r="C210" s="57">
        <v>2020</v>
      </c>
      <c r="D210" s="58">
        <f>MATCH(B210,{"GENNAIO","FEBBRAIO","MARZO","APRILE","MAGGIO","GIUGNO","LUGLIO","AGOSTO","SETTEMBRE","OTTOBRE","NOVEMBRE","DICEMBRE"},0)</f>
        <v>9</v>
      </c>
      <c r="E210" s="57" t="str">
        <f t="shared" si="23"/>
        <v>SETTEMBRE 2020</v>
      </c>
      <c r="F210" s="57" t="str">
        <f t="shared" si="24"/>
        <v>9 SETTEMBRE 2020</v>
      </c>
      <c r="G210" s="59">
        <v>100</v>
      </c>
      <c r="H210" s="59"/>
      <c r="I210" s="59"/>
      <c r="J210" s="59"/>
      <c r="K210" s="59"/>
    </row>
    <row r="211" spans="1:11" x14ac:dyDescent="0.25">
      <c r="A211" s="9" t="s">
        <v>475</v>
      </c>
      <c r="B211" s="57" t="s">
        <v>80</v>
      </c>
      <c r="C211" s="57">
        <v>2020</v>
      </c>
      <c r="D211" s="58">
        <f>MATCH(B211,{"GENNAIO","FEBBRAIO","MARZO","APRILE","MAGGIO","GIUGNO","LUGLIO","AGOSTO","SETTEMBRE","OTTOBRE","NOVEMBRE","DICEMBRE"},0)</f>
        <v>8</v>
      </c>
      <c r="E211" s="57" t="str">
        <f t="shared" si="23"/>
        <v>AGOSTO 2020</v>
      </c>
      <c r="F211" s="57" t="str">
        <f t="shared" si="24"/>
        <v>8 AGOSTO 2020</v>
      </c>
      <c r="G211" s="59">
        <v>40</v>
      </c>
      <c r="H211" s="59" t="s">
        <v>93</v>
      </c>
      <c r="I211" s="59"/>
      <c r="J211" s="59"/>
      <c r="K211" s="59" t="s">
        <v>1209</v>
      </c>
    </row>
    <row r="212" spans="1:11" x14ac:dyDescent="0.25">
      <c r="A212" s="57"/>
      <c r="B212" s="57" t="s">
        <v>80</v>
      </c>
      <c r="C212" s="57">
        <v>2020</v>
      </c>
      <c r="D212" s="58">
        <f>MATCH(B212,{"GENNAIO","FEBBRAIO","MARZO","APRILE","MAGGIO","GIUGNO","LUGLIO","AGOSTO","SETTEMBRE","OTTOBRE","NOVEMBRE","DICEMBRE"},0)</f>
        <v>8</v>
      </c>
      <c r="E212" s="57" t="str">
        <f t="shared" si="23"/>
        <v>AGOSTO 2020</v>
      </c>
      <c r="F212" s="57" t="str">
        <f t="shared" si="24"/>
        <v>8 AGOSTO 2020</v>
      </c>
      <c r="G212" s="59">
        <v>100</v>
      </c>
      <c r="H212" s="59"/>
      <c r="I212" s="59"/>
      <c r="J212" s="59"/>
      <c r="K212" s="59"/>
    </row>
    <row r="213" spans="1:11" x14ac:dyDescent="0.25">
      <c r="A213" s="57"/>
      <c r="B213" s="57" t="s">
        <v>80</v>
      </c>
      <c r="C213" s="57">
        <v>2020</v>
      </c>
      <c r="D213" s="58">
        <f>MATCH(B213,{"GENNAIO","FEBBRAIO","MARZO","APRILE","MAGGIO","GIUGNO","LUGLIO","AGOSTO","SETTEMBRE","OTTOBRE","NOVEMBRE","DICEMBRE"},0)</f>
        <v>8</v>
      </c>
      <c r="E213" s="57" t="str">
        <f t="shared" si="23"/>
        <v>AGOSTO 2020</v>
      </c>
      <c r="F213" s="57" t="str">
        <f t="shared" si="24"/>
        <v>8 AGOSTO 2020</v>
      </c>
      <c r="G213" s="59">
        <v>150</v>
      </c>
      <c r="H213" s="59"/>
      <c r="I213" s="59"/>
      <c r="J213" s="59"/>
      <c r="K213" s="59"/>
    </row>
    <row r="214" spans="1:11" x14ac:dyDescent="0.25">
      <c r="A214" s="57"/>
      <c r="B214" s="57" t="s">
        <v>80</v>
      </c>
      <c r="C214" s="57">
        <v>2020</v>
      </c>
      <c r="D214" s="58">
        <f>MATCH(B214,{"GENNAIO","FEBBRAIO","MARZO","APRILE","MAGGIO","GIUGNO","LUGLIO","AGOSTO","SETTEMBRE","OTTOBRE","NOVEMBRE","DICEMBRE"},0)</f>
        <v>8</v>
      </c>
      <c r="E214" s="57" t="str">
        <f t="shared" si="23"/>
        <v>AGOSTO 2020</v>
      </c>
      <c r="F214" s="57" t="str">
        <f t="shared" si="24"/>
        <v>8 AGOSTO 2020</v>
      </c>
      <c r="G214" s="59">
        <v>30.4</v>
      </c>
      <c r="H214" s="59"/>
      <c r="I214" s="59"/>
      <c r="J214" s="59"/>
      <c r="K214" s="59"/>
    </row>
    <row r="215" spans="1:11" x14ac:dyDescent="0.25">
      <c r="A215" s="57"/>
      <c r="B215" s="57" t="s">
        <v>80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152</v>
      </c>
      <c r="H215" s="59"/>
      <c r="I215" s="59"/>
      <c r="J215" s="59"/>
      <c r="K215" s="59"/>
    </row>
    <row r="216" spans="1:11" x14ac:dyDescent="0.25">
      <c r="A216" s="57"/>
      <c r="B216" s="57" t="s">
        <v>80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56</v>
      </c>
      <c r="H216" s="59"/>
      <c r="I216" s="59"/>
      <c r="J216" s="59"/>
      <c r="K216" s="59"/>
    </row>
    <row r="217" spans="1:11" x14ac:dyDescent="0.25">
      <c r="A217" s="9" t="s">
        <v>475</v>
      </c>
      <c r="B217" s="57" t="s">
        <v>119</v>
      </c>
      <c r="C217" s="57">
        <v>2020</v>
      </c>
      <c r="D217" s="58">
        <f>MATCH(B217,{"GENNAIO","FEBBRAIO","MARZO","APRILE","MAGGIO","GIUGNO","LUGLIO","AGOSTO","SETTEMBRE","OTTOBRE","NOVEMBRE","DICEMBRE"},0)</f>
        <v>7</v>
      </c>
      <c r="E217" s="57" t="str">
        <f t="shared" si="23"/>
        <v>LUGLIO 2020</v>
      </c>
      <c r="F217" s="57" t="str">
        <f t="shared" si="24"/>
        <v>7 LUGLIO 2020</v>
      </c>
      <c r="G217" s="59">
        <v>40</v>
      </c>
      <c r="H217" s="59"/>
      <c r="I217" s="59"/>
      <c r="J217" s="59"/>
      <c r="K217" s="59"/>
    </row>
    <row r="218" spans="1:11" x14ac:dyDescent="0.25">
      <c r="A218" s="57"/>
      <c r="B218" s="57" t="s">
        <v>119</v>
      </c>
      <c r="C218" s="57">
        <v>2020</v>
      </c>
      <c r="D218" s="58">
        <f>MATCH(B218,{"GENNAIO","FEBBRAIO","MARZO","APRILE","MAGGIO","GIUGNO","LUGLIO","AGOSTO","SETTEMBRE","OTTOBRE","NOVEMBRE","DICEMBRE"},0)</f>
        <v>7</v>
      </c>
      <c r="E218" s="57" t="str">
        <f t="shared" si="23"/>
        <v>LUGLIO 2020</v>
      </c>
      <c r="F218" s="57" t="str">
        <f t="shared" si="24"/>
        <v>7 LUGLIO 2020</v>
      </c>
      <c r="G218" s="59">
        <v>150</v>
      </c>
      <c r="H218" s="59"/>
      <c r="I218" s="59"/>
      <c r="J218" s="59"/>
      <c r="K218" s="59"/>
    </row>
    <row r="219" spans="1:11" x14ac:dyDescent="0.25">
      <c r="A219" s="57"/>
      <c r="B219" s="57" t="s">
        <v>131</v>
      </c>
      <c r="C219" s="57">
        <v>2020</v>
      </c>
      <c r="D219" s="58">
        <f>MATCH(B219,{"GENNAIO","FEBBRAIO","MARZO","APRILE","MAGGIO","GIUGNO","LUGLIO","AGOSTO","SETTEMBRE","OTTOBRE","NOVEMBRE","DICEMBRE"},0)</f>
        <v>6</v>
      </c>
      <c r="E219" s="57" t="str">
        <f t="shared" si="23"/>
        <v>GIUGNO 2020</v>
      </c>
      <c r="F219" s="57" t="str">
        <f t="shared" si="24"/>
        <v>6 GIUGNO 2020</v>
      </c>
      <c r="G219" s="59">
        <v>40</v>
      </c>
      <c r="H219" s="59"/>
      <c r="I219" s="59"/>
      <c r="J219" s="59"/>
      <c r="K219" s="59"/>
    </row>
    <row r="220" spans="1:11" x14ac:dyDescent="0.25">
      <c r="A220" s="57"/>
      <c r="B220" s="57" t="s">
        <v>131</v>
      </c>
      <c r="C220" s="57">
        <v>2020</v>
      </c>
      <c r="D220" s="58">
        <f>MATCH(B220,{"GENNAIO","FEBBRAIO","MARZO","APRILE","MAGGIO","GIUGNO","LUGLIO","AGOSTO","SETTEMBRE","OTTOBRE","NOVEMBRE","DICEMBRE"},0)</f>
        <v>6</v>
      </c>
      <c r="E220" s="57" t="str">
        <f t="shared" si="23"/>
        <v>GIUGNO 2020</v>
      </c>
      <c r="F220" s="57" t="str">
        <f t="shared" si="24"/>
        <v>6 GIUGNO 2020</v>
      </c>
      <c r="G220" s="59">
        <v>42</v>
      </c>
      <c r="H220" s="59"/>
      <c r="I220" s="59"/>
      <c r="J220" s="59"/>
      <c r="K220" s="59"/>
    </row>
    <row r="221" spans="1:11" x14ac:dyDescent="0.25">
      <c r="A221" s="57"/>
      <c r="B221" s="57" t="s">
        <v>131</v>
      </c>
      <c r="C221" s="57">
        <v>2020</v>
      </c>
      <c r="D221" s="58">
        <f>MATCH(B221,{"GENNAIO","FEBBRAIO","MARZO","APRILE","MAGGIO","GIUGNO","LUGLIO","AGOSTO","SETTEMBRE","OTTOBRE","NOVEMBRE","DICEMBRE"},0)</f>
        <v>6</v>
      </c>
      <c r="E221" s="57" t="str">
        <f t="shared" si="23"/>
        <v>GIUGNO 2020</v>
      </c>
      <c r="F221" s="57" t="str">
        <f t="shared" si="24"/>
        <v>6 GIUGNO 2020</v>
      </c>
      <c r="G221" s="59">
        <v>100</v>
      </c>
      <c r="H221" s="59"/>
      <c r="I221" s="59"/>
      <c r="J221" s="59"/>
      <c r="K221" s="59"/>
    </row>
    <row r="222" spans="1:11" x14ac:dyDescent="0.25">
      <c r="A222" s="57"/>
      <c r="B222" s="57" t="s">
        <v>131</v>
      </c>
      <c r="C222" s="57">
        <v>2020</v>
      </c>
      <c r="D222" s="58">
        <f>MATCH(B222,{"GENNAIO","FEBBRAIO","MARZO","APRILE","MAGGIO","GIUGNO","LUGLIO","AGOSTO","SETTEMBRE","OTTOBRE","NOVEMBRE","DICEMBRE"},0)</f>
        <v>6</v>
      </c>
      <c r="E222" s="57" t="str">
        <f t="shared" si="23"/>
        <v>GIUGNO 2020</v>
      </c>
      <c r="F222" s="57" t="str">
        <f t="shared" si="24"/>
        <v>6 GIUGNO 2020</v>
      </c>
      <c r="G222" s="59">
        <v>122</v>
      </c>
      <c r="H222" s="59"/>
      <c r="I222" s="59"/>
      <c r="J222" s="59"/>
      <c r="K222" s="59"/>
    </row>
    <row r="223" spans="1:11" x14ac:dyDescent="0.25">
      <c r="A223" s="57" t="s">
        <v>1203</v>
      </c>
      <c r="B223" s="57" t="s">
        <v>131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48.5</v>
      </c>
      <c r="H223" s="59" t="s">
        <v>375</v>
      </c>
      <c r="I223" s="59"/>
      <c r="J223" s="59"/>
      <c r="K223" s="59"/>
    </row>
    <row r="224" spans="1:11" x14ac:dyDescent="0.25">
      <c r="A224" s="9" t="s">
        <v>475</v>
      </c>
      <c r="B224" s="57" t="s">
        <v>143</v>
      </c>
      <c r="C224" s="57">
        <v>2020</v>
      </c>
      <c r="D224" s="58">
        <f>MATCH(B224,{"GENNAIO","FEBBRAIO","MARZO","APRILE","MAGGIO","GIUGNO","LUGLIO","AGOSTO","SETTEMBRE","OTTOBRE","NOVEMBRE","DICEMBRE"},0)</f>
        <v>5</v>
      </c>
      <c r="E224" s="57" t="str">
        <f t="shared" si="23"/>
        <v>MAGGIO 2020</v>
      </c>
      <c r="F224" s="57" t="str">
        <f t="shared" si="24"/>
        <v>5 MAGGIO 2020</v>
      </c>
      <c r="G224" s="59">
        <v>40</v>
      </c>
      <c r="H224" s="59" t="s">
        <v>93</v>
      </c>
      <c r="I224" s="59"/>
      <c r="J224" s="59"/>
      <c r="K224" s="59" t="s">
        <v>1209</v>
      </c>
    </row>
    <row r="225" spans="1:11" x14ac:dyDescent="0.25">
      <c r="A225" s="57"/>
      <c r="B225" s="57" t="s">
        <v>143</v>
      </c>
      <c r="C225" s="57">
        <v>2020</v>
      </c>
      <c r="D225" s="58">
        <f>MATCH(B225,{"GENNAIO","FEBBRAIO","MARZO","APRILE","MAGGIO","GIUGNO","LUGLIO","AGOSTO","SETTEMBRE","OTTOBRE","NOVEMBRE","DICEMBRE"},0)</f>
        <v>5</v>
      </c>
      <c r="E225" s="57" t="str">
        <f t="shared" si="23"/>
        <v>MAGGIO 2020</v>
      </c>
      <c r="F225" s="57" t="str">
        <f t="shared" si="24"/>
        <v>5 MAGGIO 2020</v>
      </c>
      <c r="G225" s="59">
        <v>102</v>
      </c>
      <c r="H225" s="59"/>
      <c r="I225" s="59"/>
      <c r="J225" s="59"/>
      <c r="K225" s="59"/>
    </row>
    <row r="226" spans="1:11" x14ac:dyDescent="0.25">
      <c r="A226" s="9" t="s">
        <v>475</v>
      </c>
      <c r="B226" s="57" t="s">
        <v>159</v>
      </c>
      <c r="C226" s="57">
        <v>2020</v>
      </c>
      <c r="D226" s="58">
        <f>MATCH(B226,{"GENNAIO","FEBBRAIO","MARZO","APRILE","MAGGIO","GIUGNO","LUGLIO","AGOSTO","SETTEMBRE","OTTOBRE","NOVEMBRE","DICEMBRE"},0)</f>
        <v>4</v>
      </c>
      <c r="E226" s="57" t="str">
        <f t="shared" si="23"/>
        <v>APRILE 2020</v>
      </c>
      <c r="F226" s="57" t="str">
        <f t="shared" si="24"/>
        <v>4 APRILE 2020</v>
      </c>
      <c r="G226" s="59">
        <v>40</v>
      </c>
      <c r="H226" s="59" t="s">
        <v>93</v>
      </c>
      <c r="I226" s="59"/>
      <c r="J226" s="59"/>
      <c r="K226" s="59" t="s">
        <v>1209</v>
      </c>
    </row>
    <row r="227" spans="1:11" x14ac:dyDescent="0.25">
      <c r="A227" s="57"/>
      <c r="B227" s="57" t="s">
        <v>168</v>
      </c>
      <c r="C227" s="57">
        <v>2020</v>
      </c>
      <c r="D227" s="58">
        <f>MATCH(B227,{"GENNAIO","FEBBRAIO","MARZO","APRILE","MAGGIO","GIUGNO","LUGLIO","AGOSTO","SETTEMBRE","OTTOBRE","NOVEMBRE","DICEMBRE"},0)</f>
        <v>3</v>
      </c>
      <c r="E227" s="57" t="str">
        <f t="shared" si="23"/>
        <v>MARZO 2020</v>
      </c>
      <c r="F227" s="57" t="str">
        <f t="shared" si="24"/>
        <v>3 MARZO 2020</v>
      </c>
      <c r="G227" s="59">
        <v>120.5</v>
      </c>
      <c r="H227" s="59"/>
      <c r="I227" s="59"/>
      <c r="J227" s="59"/>
      <c r="K227" s="59"/>
    </row>
    <row r="228" spans="1:11" x14ac:dyDescent="0.25">
      <c r="A228" s="57"/>
      <c r="B228" s="57" t="s">
        <v>168</v>
      </c>
      <c r="C228" s="57">
        <v>2020</v>
      </c>
      <c r="D228" s="58">
        <f>MATCH(B228,{"GENNAIO","FEBBRAIO","MARZO","APRILE","MAGGIO","GIUGNO","LUGLIO","AGOSTO","SETTEMBRE","OTTOBRE","NOVEMBRE","DICEMBRE"},0)</f>
        <v>3</v>
      </c>
      <c r="E228" s="57" t="str">
        <f t="shared" si="23"/>
        <v>MARZO 2020</v>
      </c>
      <c r="F228" s="57" t="str">
        <f t="shared" si="24"/>
        <v>3 MARZO 2020</v>
      </c>
      <c r="G228" s="59">
        <v>28.3</v>
      </c>
      <c r="H228" s="59"/>
      <c r="I228" s="59"/>
      <c r="J228" s="59"/>
      <c r="K228" s="59"/>
    </row>
    <row r="229" spans="1:11" x14ac:dyDescent="0.25">
      <c r="A229" s="57"/>
      <c r="B229" s="57" t="s">
        <v>176</v>
      </c>
      <c r="C229" s="57">
        <v>2020</v>
      </c>
      <c r="D229" s="58">
        <f>MATCH(B229,{"GENNAIO","FEBBRAIO","MARZO","APRILE","MAGGIO","GIUGNO","LUGLIO","AGOSTO","SETTEMBRE","OTTOBRE","NOVEMBRE","DICEMBRE"},0)</f>
        <v>2</v>
      </c>
      <c r="E229" s="57" t="str">
        <f t="shared" si="23"/>
        <v>FEBBRAIO 2020</v>
      </c>
      <c r="F229" s="57" t="str">
        <f t="shared" si="24"/>
        <v>2 FEBBRAIO 2020</v>
      </c>
      <c r="G229" s="59">
        <v>70</v>
      </c>
      <c r="H229" s="59"/>
      <c r="I229" s="59"/>
      <c r="J229" s="59"/>
      <c r="K229" s="59"/>
    </row>
    <row r="230" spans="1:11" x14ac:dyDescent="0.25">
      <c r="A230" s="57"/>
      <c r="B230" s="57" t="s">
        <v>176</v>
      </c>
      <c r="C230" s="57">
        <v>2020</v>
      </c>
      <c r="D230" s="58">
        <f>MATCH(B230,{"GENNAIO","FEBBRAIO","MARZO","APRILE","MAGGIO","GIUGNO","LUGLIO","AGOSTO","SETTEMBRE","OTTOBRE","NOVEMBRE","DICEMBRE"},0)</f>
        <v>2</v>
      </c>
      <c r="E230" s="57" t="str">
        <f t="shared" si="23"/>
        <v>FEBBRAIO 2020</v>
      </c>
      <c r="F230" s="57" t="str">
        <f t="shared" si="24"/>
        <v>2 FEBBRAIO 2020</v>
      </c>
      <c r="G230" s="59">
        <v>132</v>
      </c>
      <c r="H230" s="59"/>
      <c r="I230" s="59"/>
      <c r="J230" s="59"/>
      <c r="K230" s="59"/>
    </row>
    <row r="231" spans="1:11" x14ac:dyDescent="0.25">
      <c r="A231" s="57"/>
      <c r="B231" s="57" t="s">
        <v>176</v>
      </c>
      <c r="C231" s="57">
        <v>2020</v>
      </c>
      <c r="D231" s="58">
        <f>MATCH(B231,{"GENNAIO","FEBBRAIO","MARZO","APRILE","MAGGIO","GIUGNO","LUGLIO","AGOSTO","SETTEMBRE","OTTOBRE","NOVEMBRE","DICEMBRE"},0)</f>
        <v>2</v>
      </c>
      <c r="E231" s="57" t="str">
        <f t="shared" si="23"/>
        <v>FEBBRAIO 2020</v>
      </c>
      <c r="F231" s="57" t="str">
        <f t="shared" si="24"/>
        <v>2 FEBBRAIO 2020</v>
      </c>
      <c r="G231" s="59">
        <v>310</v>
      </c>
      <c r="H231" s="59"/>
      <c r="I231" s="59"/>
      <c r="J231" s="59"/>
      <c r="K231" s="59"/>
    </row>
    <row r="232" spans="1:11" x14ac:dyDescent="0.25">
      <c r="A232" s="57"/>
      <c r="B232" s="57" t="s">
        <v>183</v>
      </c>
      <c r="C232" s="57">
        <v>2020</v>
      </c>
      <c r="D232" s="58">
        <f>MATCH(B232,{"GENNAIO","FEBBRAIO","MARZO","APRILE","MAGGIO","GIUGNO","LUGLIO","AGOSTO","SETTEMBRE","OTTOBRE","NOVEMBRE","DICEMBRE"},0)</f>
        <v>1</v>
      </c>
      <c r="E232" s="57" t="str">
        <f t="shared" si="23"/>
        <v>GENNAIO 2020</v>
      </c>
      <c r="F232" s="57" t="str">
        <f t="shared" si="24"/>
        <v>1 GENNAIO 2020</v>
      </c>
      <c r="G232" s="59">
        <v>34.200000000000003</v>
      </c>
      <c r="H232" s="59"/>
      <c r="I232" s="59"/>
      <c r="J232" s="59"/>
      <c r="K232" s="59"/>
    </row>
    <row r="233" spans="1:11" x14ac:dyDescent="0.25">
      <c r="A233" s="57"/>
      <c r="B233" s="57" t="s">
        <v>183</v>
      </c>
      <c r="C233" s="57">
        <v>2020</v>
      </c>
      <c r="D233" s="58">
        <f>MATCH(B233,{"GENNAIO","FEBBRAIO","MARZO","APRILE","MAGGIO","GIUGNO","LUGLIO","AGOSTO","SETTEMBRE","OTTOBRE","NOVEMBRE","DICEMBRE"},0)</f>
        <v>1</v>
      </c>
      <c r="E233" s="57" t="str">
        <f t="shared" si="23"/>
        <v>GENNAIO 2020</v>
      </c>
      <c r="F233" s="57" t="str">
        <f t="shared" si="24"/>
        <v>1 GENNAIO 2020</v>
      </c>
      <c r="G233" s="59">
        <v>97.89</v>
      </c>
      <c r="H233" s="59"/>
      <c r="I233" s="59"/>
      <c r="J233" s="59"/>
      <c r="K233" s="59"/>
    </row>
    <row r="234" spans="1:11" x14ac:dyDescent="0.25">
      <c r="A234" s="57"/>
      <c r="B234" s="57" t="s">
        <v>183</v>
      </c>
      <c r="C234" s="57">
        <v>2020</v>
      </c>
      <c r="D234" s="58">
        <f>MATCH(B234,{"GENNAIO","FEBBRAIO","MARZO","APRILE","MAGGIO","GIUGNO","LUGLIO","AGOSTO","SETTEMBRE","OTTOBRE","NOVEMBRE","DICEMBRE"},0)</f>
        <v>1</v>
      </c>
      <c r="E234" s="57" t="str">
        <f t="shared" si="23"/>
        <v>GENNAIO 2020</v>
      </c>
      <c r="F234" s="57" t="str">
        <f t="shared" si="24"/>
        <v>1 GENNAIO 2020</v>
      </c>
      <c r="G234" s="59">
        <v>30.5</v>
      </c>
      <c r="H234" s="59"/>
      <c r="I234" s="59"/>
      <c r="J234" s="59"/>
      <c r="K234" s="59"/>
    </row>
    <row r="235" spans="1:11" x14ac:dyDescent="0.25">
      <c r="A235" s="57"/>
      <c r="B235" s="57" t="s">
        <v>183</v>
      </c>
      <c r="C235" s="57">
        <v>2020</v>
      </c>
      <c r="D235" s="58">
        <f>MATCH(B235,{"GENNAIO","FEBBRAIO","MARZO","APRILE","MAGGIO","GIUGNO","LUGLIO","AGOSTO","SETTEMBRE","OTTOBRE","NOVEMBRE","DICEMBRE"},0)</f>
        <v>1</v>
      </c>
      <c r="E235" s="57" t="str">
        <f t="shared" si="23"/>
        <v>GENNAIO 2020</v>
      </c>
      <c r="F235" s="57" t="str">
        <f t="shared" si="24"/>
        <v>1 GENNAIO 2020</v>
      </c>
      <c r="G235" s="59">
        <v>55.1</v>
      </c>
      <c r="H235" s="59"/>
      <c r="I235" s="59"/>
      <c r="J235" s="59"/>
      <c r="K235" s="59"/>
    </row>
    <row r="236" spans="1:11" x14ac:dyDescent="0.25">
      <c r="A236" s="57"/>
      <c r="B236" s="57" t="s">
        <v>183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44.2</v>
      </c>
      <c r="H236" s="59"/>
      <c r="I236" s="59"/>
      <c r="J236" s="59"/>
      <c r="K236" s="59"/>
    </row>
    <row r="237" spans="1:11" x14ac:dyDescent="0.25">
      <c r="A237" s="57"/>
      <c r="B237" s="57" t="s">
        <v>188</v>
      </c>
      <c r="C237" s="57">
        <v>2019</v>
      </c>
      <c r="D237" s="58">
        <f>MATCH(B237,{"GENNAIO","FEBBRAIO","MARZO","APRILE","MAGGIO","GIUGNO","LUGLIO","AGOSTO","SETTEMBRE","OTTOBRE","NOVEMBRE","DICEMBRE"},0)</f>
        <v>12</v>
      </c>
      <c r="E237" s="57" t="str">
        <f t="shared" si="23"/>
        <v>DICEMBRE 2019</v>
      </c>
      <c r="F237" s="57" t="str">
        <f t="shared" si="24"/>
        <v>12 DICEMBRE 2019</v>
      </c>
      <c r="G237" s="59">
        <v>100</v>
      </c>
      <c r="H237" s="59"/>
      <c r="I237" s="59"/>
      <c r="J237" s="59"/>
      <c r="K237" s="59"/>
    </row>
    <row r="238" spans="1:11" x14ac:dyDescent="0.25">
      <c r="A238" s="57"/>
      <c r="B238" s="57" t="s">
        <v>188</v>
      </c>
      <c r="C238" s="57">
        <v>2019</v>
      </c>
      <c r="D238" s="58">
        <f>MATCH(B238,{"GENNAIO","FEBBRAIO","MARZO","APRILE","MAGGIO","GIUGNO","LUGLIO","AGOSTO","SETTEMBRE","OTTOBRE","NOVEMBRE","DICEMBRE"},0)</f>
        <v>12</v>
      </c>
      <c r="E238" s="57" t="str">
        <f t="shared" si="23"/>
        <v>DICEMBRE 2019</v>
      </c>
      <c r="F238" s="57" t="str">
        <f t="shared" si="24"/>
        <v>12 DICEMBRE 2019</v>
      </c>
      <c r="G238" s="59">
        <v>100</v>
      </c>
      <c r="H238" s="59"/>
      <c r="I238" s="59"/>
      <c r="J238" s="59"/>
      <c r="K238" s="59"/>
    </row>
    <row r="239" spans="1:11" x14ac:dyDescent="0.25">
      <c r="A239" s="57"/>
      <c r="B239" s="57" t="s">
        <v>188</v>
      </c>
      <c r="C239" s="57">
        <v>2019</v>
      </c>
      <c r="D239" s="58">
        <f>MATCH(B239,{"GENNAIO","FEBBRAIO","MARZO","APRILE","MAGGIO","GIUGNO","LUGLIO","AGOSTO","SETTEMBRE","OTTOBRE","NOVEMBRE","DICEMBRE"},0)</f>
        <v>12</v>
      </c>
      <c r="E239" s="57" t="str">
        <f t="shared" si="23"/>
        <v>DICEMBRE 2019</v>
      </c>
      <c r="F239" s="57" t="str">
        <f t="shared" si="24"/>
        <v>12 DICEMBRE 2019</v>
      </c>
      <c r="G239" s="59">
        <v>150</v>
      </c>
      <c r="H239" s="59"/>
      <c r="I239" s="59"/>
      <c r="J239" s="59"/>
      <c r="K239" s="59"/>
    </row>
    <row r="240" spans="1:11" x14ac:dyDescent="0.25">
      <c r="A240" s="57"/>
      <c r="B240" s="57" t="s">
        <v>188</v>
      </c>
      <c r="C240" s="57">
        <v>2019</v>
      </c>
      <c r="D240" s="58">
        <f>MATCH(B240,{"GENNAIO","FEBBRAIO","MARZO","APRILE","MAGGIO","GIUGNO","LUGLIO","AGOSTO","SETTEMBRE","OTTOBRE","NOVEMBRE","DICEMBRE"},0)</f>
        <v>12</v>
      </c>
      <c r="E240" s="57" t="str">
        <f t="shared" si="23"/>
        <v>DICEMBRE 2019</v>
      </c>
      <c r="F240" s="57" t="str">
        <f t="shared" si="24"/>
        <v>12 DICEMBRE 2019</v>
      </c>
      <c r="G240" s="59">
        <v>160</v>
      </c>
      <c r="H240" s="59"/>
      <c r="I240" s="59"/>
      <c r="J240" s="59"/>
      <c r="K240" s="59"/>
    </row>
    <row r="241" spans="1:11" x14ac:dyDescent="0.25">
      <c r="A241" s="57"/>
      <c r="B241" s="57" t="s">
        <v>188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4</v>
      </c>
      <c r="H241" s="59"/>
      <c r="I241" s="59"/>
      <c r="J241" s="59"/>
      <c r="K241" s="59"/>
    </row>
    <row r="242" spans="1:11" x14ac:dyDescent="0.25">
      <c r="A242" s="57"/>
      <c r="B242" s="57" t="s">
        <v>188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21</v>
      </c>
      <c r="H242" s="59"/>
      <c r="I242" s="59"/>
      <c r="J242" s="59"/>
      <c r="K242" s="59"/>
    </row>
    <row r="243" spans="1:11" x14ac:dyDescent="0.25">
      <c r="A243" s="57"/>
      <c r="B243" s="57" t="s">
        <v>188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80.52</v>
      </c>
      <c r="H243" s="59"/>
      <c r="I243" s="59"/>
      <c r="J243" s="59"/>
      <c r="K243" s="59"/>
    </row>
    <row r="244" spans="1:11" x14ac:dyDescent="0.25">
      <c r="A244" s="57"/>
      <c r="B244" s="57" t="s">
        <v>188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72</v>
      </c>
      <c r="H244" s="59"/>
      <c r="I244" s="59"/>
      <c r="J244" s="59"/>
      <c r="K244" s="59"/>
    </row>
    <row r="245" spans="1:11" x14ac:dyDescent="0.25">
      <c r="A245" s="57"/>
      <c r="B245" s="57" t="s">
        <v>188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0.23</v>
      </c>
      <c r="H245" s="59"/>
      <c r="I245" s="59"/>
      <c r="J245" s="59"/>
      <c r="K245" s="59"/>
    </row>
    <row r="246" spans="1:11" x14ac:dyDescent="0.25">
      <c r="A246" s="57"/>
      <c r="B246" s="57" t="s">
        <v>207</v>
      </c>
      <c r="C246" s="57">
        <v>2019</v>
      </c>
      <c r="D246" s="58">
        <f>MATCH(B246,{"GENNAIO","FEBBRAIO","MARZO","APRILE","MAGGIO","GIUGNO","LUGLIO","AGOSTO","SETTEMBRE","OTTOBRE","NOVEMBRE","DICEMBRE"},0)</f>
        <v>11</v>
      </c>
      <c r="E246" s="57" t="str">
        <f t="shared" si="23"/>
        <v>NOVEMBRE 2019</v>
      </c>
      <c r="F246" s="57" t="str">
        <f t="shared" si="24"/>
        <v>11 NOVEMBRE 2019</v>
      </c>
      <c r="G246" s="59">
        <v>25</v>
      </c>
      <c r="H246" s="59"/>
      <c r="I246" s="59"/>
      <c r="J246" s="59"/>
      <c r="K246" s="59"/>
    </row>
    <row r="247" spans="1:11" x14ac:dyDescent="0.25">
      <c r="A247" s="57"/>
      <c r="B247" s="57"/>
      <c r="C247" s="57"/>
      <c r="D247" s="58" t="e">
        <f>MATCH(B247,{"GENNAIO","FEBBRAIO","MARZO","APRILE","MAGGIO","GIUGNO","LUGLIO","AGOSTO","SETTEMBRE","OTTOBRE","NOVEMBRE","DICEMBRE"},0)</f>
        <v>#N/A</v>
      </c>
      <c r="E247" s="57"/>
      <c r="F247" s="57" t="e">
        <f t="shared" si="24"/>
        <v>#N/A</v>
      </c>
      <c r="G247" s="59"/>
      <c r="H247" s="59"/>
      <c r="I247" s="59"/>
      <c r="J247" s="59"/>
      <c r="K247" s="59"/>
    </row>
    <row r="248" spans="1:11" x14ac:dyDescent="0.25">
      <c r="A248" s="57"/>
      <c r="B248" s="57"/>
      <c r="C248" s="57"/>
      <c r="D248" s="58" t="e">
        <f>MATCH(B248,{"GENNAIO","FEBBRAIO","MARZO","APRILE","MAGGIO","GIUGNO","LUGLIO","AGOSTO","SETTEMBRE","OTTOBRE","NOVEMBRE","DICEMBRE"},0)</f>
        <v>#N/A</v>
      </c>
      <c r="E248" s="57"/>
      <c r="F248" s="57" t="e">
        <f t="shared" si="24"/>
        <v>#N/A</v>
      </c>
      <c r="G248" s="59"/>
      <c r="H248" s="59"/>
      <c r="I248" s="59"/>
      <c r="J248" s="59"/>
      <c r="K248" s="59"/>
    </row>
    <row r="249" spans="1:11" x14ac:dyDescent="0.25">
      <c r="A249" s="57"/>
      <c r="B249" s="57"/>
      <c r="C249" s="57"/>
      <c r="D249" s="58" t="e">
        <f>MATCH(B249,{"GENNAIO","FEBBRAIO","MARZO","APRILE","MAGGIO","GIUGNO","LUGLIO","AGOSTO","SETTEMBRE","OTTOBRE","NOVEMBRE","DICEMBRE"},0)</f>
        <v>#N/A</v>
      </c>
      <c r="E249" s="57"/>
      <c r="F249" s="57" t="e">
        <f t="shared" si="24"/>
        <v>#N/A</v>
      </c>
      <c r="G249" s="59"/>
      <c r="H249" s="59"/>
      <c r="I249" s="59"/>
      <c r="J249" s="59"/>
      <c r="K249" s="59"/>
    </row>
    <row r="250" spans="1:11" x14ac:dyDescent="0.25">
      <c r="A250" s="57"/>
      <c r="B250" s="57"/>
      <c r="C250" s="57"/>
      <c r="D250" s="58" t="e">
        <f>MATCH(B250,{"GENNAIO","FEBBRAIO","MARZO","APRILE","MAGGIO","GIUGNO","LUGLIO","AGOSTO","SETTEMBRE","OTTOBRE","NOVEMBRE","DICEMBRE"},0)</f>
        <v>#N/A</v>
      </c>
      <c r="E250" s="57"/>
      <c r="F250" s="57" t="e">
        <f t="shared" si="24"/>
        <v>#N/A</v>
      </c>
      <c r="G250" s="59"/>
      <c r="H250" s="59"/>
      <c r="I250" s="59"/>
      <c r="J250" s="59"/>
      <c r="K250" s="59"/>
    </row>
    <row r="251" spans="1:11" x14ac:dyDescent="0.25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 x14ac:dyDescent="0.25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 x14ac:dyDescent="0.25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 x14ac:dyDescent="0.25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 x14ac:dyDescent="0.25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ref="F255:F318" si="25">CONCATENATE(D255," ",E255)</f>
        <v>#N/A</v>
      </c>
      <c r="G255" s="59"/>
      <c r="H255" s="59"/>
      <c r="I255" s="59"/>
      <c r="J255" s="59"/>
      <c r="K255" s="59"/>
    </row>
    <row r="256" spans="1:11" x14ac:dyDescent="0.25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5"/>
        <v>#N/A</v>
      </c>
      <c r="G256" s="59"/>
      <c r="H256" s="59"/>
      <c r="I256" s="59"/>
      <c r="J256" s="59"/>
      <c r="K256" s="59"/>
    </row>
    <row r="257" spans="1:11" x14ac:dyDescent="0.25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5"/>
        <v>#N/A</v>
      </c>
      <c r="G257" s="59"/>
      <c r="H257" s="59"/>
      <c r="I257" s="59"/>
      <c r="J257" s="59"/>
      <c r="K257" s="59"/>
    </row>
    <row r="258" spans="1:11" x14ac:dyDescent="0.25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5"/>
        <v>#N/A</v>
      </c>
      <c r="G258" s="59"/>
      <c r="H258" s="59"/>
      <c r="I258" s="59"/>
      <c r="J258" s="59"/>
      <c r="K258" s="59"/>
    </row>
    <row r="259" spans="1:11" x14ac:dyDescent="0.25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si="25"/>
        <v>#N/A</v>
      </c>
      <c r="G259" s="59"/>
      <c r="H259" s="59"/>
      <c r="I259" s="59"/>
      <c r="J259" s="59"/>
      <c r="K259" s="59"/>
    </row>
    <row r="260" spans="1:11" x14ac:dyDescent="0.25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 x14ac:dyDescent="0.25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 x14ac:dyDescent="0.25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 x14ac:dyDescent="0.25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 x14ac:dyDescent="0.25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 x14ac:dyDescent="0.25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 x14ac:dyDescent="0.25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 x14ac:dyDescent="0.25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 x14ac:dyDescent="0.25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 x14ac:dyDescent="0.25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 x14ac:dyDescent="0.25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 x14ac:dyDescent="0.25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 x14ac:dyDescent="0.25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 x14ac:dyDescent="0.25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 x14ac:dyDescent="0.25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 x14ac:dyDescent="0.25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 x14ac:dyDescent="0.25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 x14ac:dyDescent="0.25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 x14ac:dyDescent="0.25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 x14ac:dyDescent="0.25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 x14ac:dyDescent="0.25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 x14ac:dyDescent="0.25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 x14ac:dyDescent="0.25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 x14ac:dyDescent="0.25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 x14ac:dyDescent="0.25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 x14ac:dyDescent="0.25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 x14ac:dyDescent="0.25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 x14ac:dyDescent="0.25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 x14ac:dyDescent="0.25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 x14ac:dyDescent="0.25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 x14ac:dyDescent="0.25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 x14ac:dyDescent="0.25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 x14ac:dyDescent="0.25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 x14ac:dyDescent="0.25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 x14ac:dyDescent="0.25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 x14ac:dyDescent="0.25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 x14ac:dyDescent="0.25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 x14ac:dyDescent="0.25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 x14ac:dyDescent="0.25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 x14ac:dyDescent="0.25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 x14ac:dyDescent="0.25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 x14ac:dyDescent="0.25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 x14ac:dyDescent="0.25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 x14ac:dyDescent="0.25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 x14ac:dyDescent="0.25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 x14ac:dyDescent="0.25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 x14ac:dyDescent="0.25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 x14ac:dyDescent="0.25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 x14ac:dyDescent="0.25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 x14ac:dyDescent="0.25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 x14ac:dyDescent="0.25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 x14ac:dyDescent="0.25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 x14ac:dyDescent="0.25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 x14ac:dyDescent="0.25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 x14ac:dyDescent="0.25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 x14ac:dyDescent="0.25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 x14ac:dyDescent="0.25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 x14ac:dyDescent="0.25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 x14ac:dyDescent="0.25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 x14ac:dyDescent="0.25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ref="F319:F382" si="26">CONCATENATE(D319," ",E319)</f>
        <v>#N/A</v>
      </c>
      <c r="G319" s="59"/>
      <c r="H319" s="59"/>
      <c r="I319" s="59"/>
      <c r="J319" s="59"/>
      <c r="K319" s="59"/>
    </row>
    <row r="320" spans="1:11" x14ac:dyDescent="0.25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6"/>
        <v>#N/A</v>
      </c>
      <c r="G320" s="59"/>
      <c r="H320" s="59"/>
      <c r="I320" s="59"/>
      <c r="J320" s="59"/>
      <c r="K320" s="59"/>
    </row>
    <row r="321" spans="1:11" x14ac:dyDescent="0.25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6"/>
        <v>#N/A</v>
      </c>
      <c r="G321" s="59"/>
      <c r="H321" s="59"/>
      <c r="I321" s="59"/>
      <c r="J321" s="59"/>
      <c r="K321" s="59"/>
    </row>
    <row r="322" spans="1:11" x14ac:dyDescent="0.25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6"/>
        <v>#N/A</v>
      </c>
      <c r="G322" s="59"/>
      <c r="H322" s="59"/>
      <c r="I322" s="59"/>
      <c r="J322" s="59"/>
      <c r="K322" s="59"/>
    </row>
    <row r="323" spans="1:11" x14ac:dyDescent="0.25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si="26"/>
        <v>#N/A</v>
      </c>
      <c r="G323" s="59"/>
      <c r="H323" s="59"/>
      <c r="I323" s="59"/>
      <c r="J323" s="59"/>
      <c r="K323" s="59"/>
    </row>
    <row r="324" spans="1:11" x14ac:dyDescent="0.25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 x14ac:dyDescent="0.25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 x14ac:dyDescent="0.25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 x14ac:dyDescent="0.25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 x14ac:dyDescent="0.25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 x14ac:dyDescent="0.25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 x14ac:dyDescent="0.25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 x14ac:dyDescent="0.25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 x14ac:dyDescent="0.25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 x14ac:dyDescent="0.25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 x14ac:dyDescent="0.25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 x14ac:dyDescent="0.25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 x14ac:dyDescent="0.25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 x14ac:dyDescent="0.25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 x14ac:dyDescent="0.25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 x14ac:dyDescent="0.25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 x14ac:dyDescent="0.25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 x14ac:dyDescent="0.25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 x14ac:dyDescent="0.25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 x14ac:dyDescent="0.25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 x14ac:dyDescent="0.25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 x14ac:dyDescent="0.25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 x14ac:dyDescent="0.25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 x14ac:dyDescent="0.25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 x14ac:dyDescent="0.25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 x14ac:dyDescent="0.25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 x14ac:dyDescent="0.25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 x14ac:dyDescent="0.25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 x14ac:dyDescent="0.25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 x14ac:dyDescent="0.25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 x14ac:dyDescent="0.25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 x14ac:dyDescent="0.25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 x14ac:dyDescent="0.25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 x14ac:dyDescent="0.25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 x14ac:dyDescent="0.25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 x14ac:dyDescent="0.25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 x14ac:dyDescent="0.25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 x14ac:dyDescent="0.25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 x14ac:dyDescent="0.25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 x14ac:dyDescent="0.25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 x14ac:dyDescent="0.25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 x14ac:dyDescent="0.25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 x14ac:dyDescent="0.25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 x14ac:dyDescent="0.25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 x14ac:dyDescent="0.25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 x14ac:dyDescent="0.25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 x14ac:dyDescent="0.25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 x14ac:dyDescent="0.25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 x14ac:dyDescent="0.25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 x14ac:dyDescent="0.25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 x14ac:dyDescent="0.25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 x14ac:dyDescent="0.25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 x14ac:dyDescent="0.25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 x14ac:dyDescent="0.25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 x14ac:dyDescent="0.25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 x14ac:dyDescent="0.25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 x14ac:dyDescent="0.25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 x14ac:dyDescent="0.25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 x14ac:dyDescent="0.25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 x14ac:dyDescent="0.25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ref="F383:F429" si="27">CONCATENATE(D383," ",E383)</f>
        <v>#N/A</v>
      </c>
      <c r="G383" s="59"/>
      <c r="H383" s="59"/>
      <c r="I383" s="59"/>
      <c r="J383" s="59"/>
      <c r="K383" s="59"/>
    </row>
    <row r="384" spans="1:11" x14ac:dyDescent="0.25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7"/>
        <v>#N/A</v>
      </c>
      <c r="G384" s="59"/>
      <c r="H384" s="59"/>
      <c r="I384" s="59"/>
      <c r="J384" s="59"/>
      <c r="K384" s="59"/>
    </row>
    <row r="385" spans="1:11" x14ac:dyDescent="0.25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7"/>
        <v>#N/A</v>
      </c>
      <c r="G385" s="59"/>
      <c r="H385" s="59"/>
      <c r="I385" s="59"/>
      <c r="J385" s="59"/>
      <c r="K385" s="59"/>
    </row>
    <row r="386" spans="1:11" x14ac:dyDescent="0.25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7"/>
        <v>#N/A</v>
      </c>
      <c r="G386" s="59"/>
      <c r="H386" s="59"/>
      <c r="I386" s="59"/>
      <c r="J386" s="59"/>
      <c r="K386" s="59"/>
    </row>
    <row r="387" spans="1:11" x14ac:dyDescent="0.25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si="27"/>
        <v>#N/A</v>
      </c>
      <c r="G387" s="59"/>
      <c r="H387" s="59"/>
      <c r="I387" s="59"/>
      <c r="J387" s="59"/>
      <c r="K387" s="59"/>
    </row>
    <row r="388" spans="1:11" x14ac:dyDescent="0.25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 x14ac:dyDescent="0.25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 x14ac:dyDescent="0.25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 x14ac:dyDescent="0.25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 x14ac:dyDescent="0.25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 x14ac:dyDescent="0.25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 x14ac:dyDescent="0.25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 x14ac:dyDescent="0.25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 x14ac:dyDescent="0.25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 x14ac:dyDescent="0.25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 x14ac:dyDescent="0.25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 x14ac:dyDescent="0.25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 x14ac:dyDescent="0.25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 x14ac:dyDescent="0.25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 x14ac:dyDescent="0.25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 x14ac:dyDescent="0.25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 x14ac:dyDescent="0.25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 x14ac:dyDescent="0.25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 x14ac:dyDescent="0.25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 x14ac:dyDescent="0.25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 x14ac:dyDescent="0.25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 x14ac:dyDescent="0.25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 x14ac:dyDescent="0.25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 x14ac:dyDescent="0.25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 x14ac:dyDescent="0.25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 x14ac:dyDescent="0.25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 x14ac:dyDescent="0.25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 x14ac:dyDescent="0.25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 x14ac:dyDescent="0.25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 x14ac:dyDescent="0.25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 x14ac:dyDescent="0.25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 x14ac:dyDescent="0.25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 x14ac:dyDescent="0.25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 x14ac:dyDescent="0.25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 x14ac:dyDescent="0.25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 x14ac:dyDescent="0.25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 x14ac:dyDescent="0.25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 x14ac:dyDescent="0.25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 x14ac:dyDescent="0.25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 x14ac:dyDescent="0.25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 x14ac:dyDescent="0.25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 x14ac:dyDescent="0.25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</sheetData>
  <autoFilter ref="A1:K145" xr:uid="{93992153-0EA4-44C2-A3AE-C71687E88B26}">
    <sortState xmlns:xlrd2="http://schemas.microsoft.com/office/spreadsheetml/2017/richdata2" ref="A2:K145">
      <sortCondition descending="1" ref="C1:C14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 x14ac:dyDescent="0.2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 x14ac:dyDescent="0.25">
      <c r="A1" s="1355" t="s">
        <v>63</v>
      </c>
      <c r="B1" s="1413" t="s">
        <v>1168</v>
      </c>
    </row>
    <row r="2" spans="1:15" x14ac:dyDescent="0.25">
      <c r="A2" s="1355" t="s">
        <v>61</v>
      </c>
      <c r="B2" s="1356" t="s">
        <v>449</v>
      </c>
    </row>
    <row r="4" spans="1:15" ht="15" customHeight="1" x14ac:dyDescent="0.25">
      <c r="A4" s="1355" t="s">
        <v>450</v>
      </c>
      <c r="B4" s="1355" t="s">
        <v>451</v>
      </c>
      <c r="C4" s="1356"/>
      <c r="D4" s="1356"/>
      <c r="E4" s="1356"/>
      <c r="F4" s="1356"/>
      <c r="G4" s="1356"/>
      <c r="H4"/>
      <c r="I4"/>
      <c r="J4"/>
      <c r="K4"/>
      <c r="L4"/>
      <c r="M4"/>
      <c r="N4"/>
      <c r="O4"/>
    </row>
    <row r="5" spans="1:15" ht="15" customHeight="1" x14ac:dyDescent="0.25">
      <c r="A5" s="1355" t="s">
        <v>452</v>
      </c>
      <c r="B5" s="1356" t="s">
        <v>1061</v>
      </c>
      <c r="C5" s="1356" t="s">
        <v>1114</v>
      </c>
      <c r="D5" s="1356" t="s">
        <v>1125</v>
      </c>
      <c r="E5" s="1356" t="s">
        <v>1131</v>
      </c>
      <c r="F5" s="1356" t="s">
        <v>1164</v>
      </c>
      <c r="G5" s="1356" t="s">
        <v>453</v>
      </c>
      <c r="H5"/>
      <c r="I5"/>
      <c r="J5"/>
      <c r="K5"/>
      <c r="L5"/>
      <c r="M5"/>
      <c r="N5"/>
      <c r="O5"/>
    </row>
    <row r="6" spans="1:15" x14ac:dyDescent="0.25">
      <c r="A6" s="1357" t="s">
        <v>69</v>
      </c>
      <c r="B6" s="1358">
        <v>388.89999999999992</v>
      </c>
      <c r="C6" s="1358">
        <v>348.4</v>
      </c>
      <c r="D6" s="1358">
        <v>406.59999999999997</v>
      </c>
      <c r="E6" s="1358">
        <v>298</v>
      </c>
      <c r="F6" s="1358">
        <v>280</v>
      </c>
      <c r="G6" s="1358">
        <v>1721.8999999999999</v>
      </c>
      <c r="H6"/>
      <c r="I6"/>
      <c r="J6"/>
      <c r="K6"/>
      <c r="L6"/>
      <c r="M6"/>
      <c r="N6"/>
      <c r="O6"/>
    </row>
    <row r="7" spans="1:15" x14ac:dyDescent="0.25">
      <c r="A7" s="1357" t="s">
        <v>75</v>
      </c>
      <c r="B7" s="1358">
        <v>144.63999999999999</v>
      </c>
      <c r="C7" s="1358">
        <v>211.39999999999998</v>
      </c>
      <c r="D7" s="1358">
        <v>317.79000000000002</v>
      </c>
      <c r="E7" s="1358">
        <v>122.97</v>
      </c>
      <c r="F7" s="1358">
        <v>509.30800000000005</v>
      </c>
      <c r="G7" s="1358">
        <v>1306.1079999999999</v>
      </c>
      <c r="H7"/>
      <c r="I7"/>
      <c r="J7"/>
      <c r="K7"/>
      <c r="L7"/>
      <c r="M7"/>
      <c r="N7"/>
      <c r="O7"/>
    </row>
    <row r="8" spans="1:15" x14ac:dyDescent="0.25">
      <c r="A8" s="1357" t="s">
        <v>741</v>
      </c>
      <c r="B8" s="1358">
        <v>400</v>
      </c>
      <c r="C8" s="1358">
        <v>430</v>
      </c>
      <c r="D8" s="1358"/>
      <c r="E8" s="1358"/>
      <c r="F8" s="1358"/>
      <c r="G8" s="1358">
        <v>830</v>
      </c>
      <c r="H8"/>
      <c r="I8"/>
      <c r="J8"/>
      <c r="K8"/>
      <c r="L8"/>
      <c r="M8"/>
      <c r="N8"/>
      <c r="O8"/>
    </row>
    <row r="9" spans="1:15" x14ac:dyDescent="0.25">
      <c r="A9" s="1357" t="s">
        <v>772</v>
      </c>
      <c r="B9" s="1358">
        <v>127.58</v>
      </c>
      <c r="C9" s="1358">
        <v>127.58</v>
      </c>
      <c r="D9" s="1358">
        <v>478.37</v>
      </c>
      <c r="E9" s="1358"/>
      <c r="F9" s="1358"/>
      <c r="G9" s="1358">
        <v>733.53</v>
      </c>
      <c r="H9"/>
      <c r="I9"/>
      <c r="J9"/>
      <c r="K9"/>
      <c r="L9"/>
      <c r="M9"/>
      <c r="N9"/>
      <c r="O9"/>
    </row>
    <row r="10" spans="1:15" x14ac:dyDescent="0.25">
      <c r="A10" s="1357" t="s">
        <v>77</v>
      </c>
      <c r="B10" s="1358">
        <v>144.35</v>
      </c>
      <c r="C10" s="1358">
        <v>114.74000000000001</v>
      </c>
      <c r="D10" s="1358">
        <v>51</v>
      </c>
      <c r="E10" s="1358">
        <v>154.29000000000002</v>
      </c>
      <c r="F10" s="1358">
        <v>107.48</v>
      </c>
      <c r="G10" s="1358">
        <v>571.86</v>
      </c>
      <c r="H10"/>
      <c r="I10"/>
      <c r="J10"/>
      <c r="K10"/>
      <c r="L10"/>
      <c r="M10"/>
      <c r="N10"/>
      <c r="O10"/>
    </row>
    <row r="11" spans="1:15" x14ac:dyDescent="0.25">
      <c r="A11" s="1357" t="s">
        <v>1137</v>
      </c>
      <c r="B11" s="1358">
        <v>50</v>
      </c>
      <c r="C11" s="1358">
        <v>125</v>
      </c>
      <c r="D11" s="1358">
        <v>50</v>
      </c>
      <c r="E11" s="1358">
        <v>100.5</v>
      </c>
      <c r="F11" s="1358">
        <v>222.06</v>
      </c>
      <c r="G11" s="1358">
        <v>547.55999999999995</v>
      </c>
      <c r="H11"/>
      <c r="I11"/>
      <c r="J11"/>
      <c r="K11"/>
      <c r="L11"/>
      <c r="M11"/>
      <c r="N11"/>
      <c r="O11"/>
    </row>
    <row r="12" spans="1:15" x14ac:dyDescent="0.25">
      <c r="A12" s="1357" t="s">
        <v>81</v>
      </c>
      <c r="B12" s="1358">
        <v>83.45</v>
      </c>
      <c r="C12" s="1358">
        <v>129.24</v>
      </c>
      <c r="D12" s="1358"/>
      <c r="E12" s="1358">
        <v>180.49</v>
      </c>
      <c r="F12" s="1358">
        <v>124.94000000000001</v>
      </c>
      <c r="G12" s="1358">
        <v>518.12</v>
      </c>
      <c r="H12"/>
      <c r="I12"/>
      <c r="J12"/>
      <c r="K12"/>
      <c r="L12"/>
      <c r="M12"/>
      <c r="N12"/>
      <c r="O12"/>
    </row>
    <row r="13" spans="1:15" x14ac:dyDescent="0.25">
      <c r="A13" s="1357" t="s">
        <v>91</v>
      </c>
      <c r="B13" s="1358">
        <v>75.600000000000009</v>
      </c>
      <c r="C13" s="1358">
        <v>2</v>
      </c>
      <c r="D13" s="1358">
        <v>237.34999999999997</v>
      </c>
      <c r="E13" s="1358"/>
      <c r="F13" s="1358">
        <v>9.84</v>
      </c>
      <c r="G13" s="1358">
        <v>324.78999999999996</v>
      </c>
      <c r="H13"/>
      <c r="I13"/>
      <c r="J13"/>
      <c r="K13"/>
      <c r="L13"/>
      <c r="M13"/>
      <c r="N13"/>
      <c r="O13"/>
    </row>
    <row r="14" spans="1:15" x14ac:dyDescent="0.25">
      <c r="A14" s="1357" t="s">
        <v>776</v>
      </c>
      <c r="B14" s="1358">
        <v>42</v>
      </c>
      <c r="C14" s="1358">
        <v>43.5</v>
      </c>
      <c r="D14" s="1358">
        <v>51</v>
      </c>
      <c r="E14" s="1358">
        <v>35</v>
      </c>
      <c r="F14" s="1358">
        <v>30</v>
      </c>
      <c r="G14" s="1358">
        <v>201.5</v>
      </c>
      <c r="H14"/>
      <c r="I14"/>
      <c r="J14"/>
      <c r="K14"/>
      <c r="L14"/>
      <c r="M14"/>
      <c r="N14"/>
      <c r="O14"/>
    </row>
    <row r="15" spans="1:15" x14ac:dyDescent="0.25">
      <c r="A15" s="1357" t="s">
        <v>137</v>
      </c>
      <c r="B15" s="1358"/>
      <c r="C15" s="1358"/>
      <c r="D15" s="1358">
        <v>126.1</v>
      </c>
      <c r="E15" s="1358"/>
      <c r="F15" s="1358">
        <v>65</v>
      </c>
      <c r="G15" s="1358">
        <v>191.1</v>
      </c>
      <c r="H15"/>
      <c r="I15"/>
      <c r="J15"/>
      <c r="K15"/>
      <c r="L15"/>
      <c r="M15"/>
      <c r="N15"/>
      <c r="O15"/>
    </row>
    <row r="16" spans="1:15" x14ac:dyDescent="0.25">
      <c r="A16" s="1357" t="s">
        <v>114</v>
      </c>
      <c r="B16" s="1358">
        <v>33</v>
      </c>
      <c r="C16" s="1358">
        <v>120</v>
      </c>
      <c r="D16" s="1358"/>
      <c r="E16" s="1358"/>
      <c r="F16" s="1358">
        <v>33</v>
      </c>
      <c r="G16" s="1358">
        <v>186</v>
      </c>
      <c r="H16"/>
      <c r="I16"/>
      <c r="J16"/>
      <c r="K16"/>
      <c r="L16"/>
      <c r="M16"/>
      <c r="N16"/>
      <c r="O16"/>
    </row>
    <row r="17" spans="1:15" x14ac:dyDescent="0.25">
      <c r="A17" s="1357" t="s">
        <v>70</v>
      </c>
      <c r="B17" s="1358">
        <v>25.630000000000003</v>
      </c>
      <c r="C17" s="1358"/>
      <c r="D17" s="1358">
        <v>36.799999999999997</v>
      </c>
      <c r="E17" s="1358">
        <v>104</v>
      </c>
      <c r="F17" s="1358"/>
      <c r="G17" s="1358">
        <v>166.43</v>
      </c>
      <c r="H17"/>
      <c r="I17"/>
      <c r="J17"/>
      <c r="K17"/>
      <c r="L17"/>
      <c r="M17"/>
      <c r="N17"/>
      <c r="O17"/>
    </row>
    <row r="18" spans="1:15" x14ac:dyDescent="0.25">
      <c r="A18" s="1357" t="s">
        <v>93</v>
      </c>
      <c r="B18" s="1358">
        <v>94.09</v>
      </c>
      <c r="C18" s="1358"/>
      <c r="D18" s="1358">
        <v>55.47</v>
      </c>
      <c r="E18" s="1358"/>
      <c r="F18" s="1358"/>
      <c r="G18" s="1358">
        <v>149.56</v>
      </c>
      <c r="H18"/>
      <c r="I18"/>
      <c r="J18"/>
      <c r="K18"/>
      <c r="L18"/>
      <c r="M18"/>
      <c r="N18"/>
      <c r="O18"/>
    </row>
    <row r="19" spans="1:15" x14ac:dyDescent="0.25">
      <c r="A19" s="1357" t="s">
        <v>74</v>
      </c>
      <c r="B19" s="1358"/>
      <c r="C19" s="1358">
        <v>15</v>
      </c>
      <c r="D19" s="1358"/>
      <c r="E19" s="1358">
        <v>25</v>
      </c>
      <c r="F19" s="1358">
        <v>10</v>
      </c>
      <c r="G19" s="1358">
        <v>50</v>
      </c>
      <c r="H19"/>
      <c r="I19"/>
      <c r="J19"/>
      <c r="K19"/>
      <c r="L19"/>
      <c r="M19"/>
      <c r="N19"/>
      <c r="O19"/>
    </row>
    <row r="20" spans="1:15" x14ac:dyDescent="0.25">
      <c r="A20" s="1357" t="s">
        <v>777</v>
      </c>
      <c r="B20" s="1358">
        <v>10.000000000000004</v>
      </c>
      <c r="C20" s="1358">
        <v>8.0000000000000018</v>
      </c>
      <c r="D20" s="1358">
        <v>5.2</v>
      </c>
      <c r="E20" s="1358"/>
      <c r="F20" s="1358">
        <v>12.5</v>
      </c>
      <c r="G20" s="1358">
        <v>35.700000000000003</v>
      </c>
      <c r="H20"/>
      <c r="I20"/>
      <c r="J20"/>
      <c r="K20"/>
      <c r="L20"/>
      <c r="M20"/>
      <c r="N20"/>
      <c r="O20"/>
    </row>
    <row r="21" spans="1:15" x14ac:dyDescent="0.25">
      <c r="A21" s="1357" t="s">
        <v>166</v>
      </c>
      <c r="B21" s="1358"/>
      <c r="C21" s="1358"/>
      <c r="D21" s="1358"/>
      <c r="E21" s="1358">
        <v>25.82</v>
      </c>
      <c r="F21" s="1358">
        <v>2.2799999999999998</v>
      </c>
      <c r="G21" s="1358">
        <v>28.1</v>
      </c>
      <c r="H21"/>
      <c r="I21"/>
      <c r="J21"/>
      <c r="K21"/>
      <c r="L21"/>
      <c r="M21"/>
      <c r="N21"/>
      <c r="O21"/>
    </row>
    <row r="22" spans="1:15" x14ac:dyDescent="0.25">
      <c r="A22" s="1357" t="s">
        <v>453</v>
      </c>
      <c r="B22" s="1358">
        <v>1619.2399999999998</v>
      </c>
      <c r="C22" s="1358">
        <v>1674.86</v>
      </c>
      <c r="D22" s="1358">
        <v>1815.68</v>
      </c>
      <c r="E22" s="1358">
        <v>1046.0700000000002</v>
      </c>
      <c r="F22" s="1358">
        <v>1406.4079999999999</v>
      </c>
      <c r="G22" s="1358">
        <v>7562.2579999999998</v>
      </c>
      <c r="H22"/>
      <c r="I22"/>
      <c r="J22"/>
      <c r="K22"/>
      <c r="L22"/>
      <c r="M22"/>
      <c r="N22"/>
      <c r="O22"/>
    </row>
    <row r="23" spans="1:15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 x14ac:dyDescent="0.2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 x14ac:dyDescent="0.25">
      <c r="A3" s="2" t="s">
        <v>450</v>
      </c>
      <c r="B3" s="2" t="s">
        <v>451</v>
      </c>
    </row>
    <row r="4" spans="1:7" x14ac:dyDescent="0.25">
      <c r="A4" s="2" t="s">
        <v>452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453</v>
      </c>
    </row>
    <row r="5" spans="1:7" x14ac:dyDescent="0.25">
      <c r="A5" s="3" t="s">
        <v>75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 x14ac:dyDescent="0.25">
      <c r="A6" s="3" t="s">
        <v>77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 x14ac:dyDescent="0.25">
      <c r="A7" s="3" t="s">
        <v>69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 x14ac:dyDescent="0.25">
      <c r="A8" s="3" t="s">
        <v>137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 x14ac:dyDescent="0.25">
      <c r="A9" s="3" t="s">
        <v>70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 x14ac:dyDescent="0.25">
      <c r="A10" s="3" t="s">
        <v>81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 x14ac:dyDescent="0.25">
      <c r="A11" s="3" t="s">
        <v>91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 x14ac:dyDescent="0.25">
      <c r="A12" s="3" t="s">
        <v>114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 x14ac:dyDescent="0.25">
      <c r="A13" s="3" t="s">
        <v>155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 x14ac:dyDescent="0.25">
      <c r="A14" s="3" t="s">
        <v>74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 x14ac:dyDescent="0.25">
      <c r="A15" s="3" t="s">
        <v>231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 x14ac:dyDescent="0.25">
      <c r="A16" s="3" t="s">
        <v>191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 x14ac:dyDescent="0.25">
      <c r="A17" s="3" t="s">
        <v>85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 x14ac:dyDescent="0.25">
      <c r="A18" s="3" t="s">
        <v>327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 x14ac:dyDescent="0.25">
      <c r="A19" s="3" t="s">
        <v>185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 x14ac:dyDescent="0.25">
      <c r="A20" s="3" t="s">
        <v>166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 x14ac:dyDescent="0.25">
      <c r="A21" s="3" t="s">
        <v>174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 x14ac:dyDescent="0.25">
      <c r="A22" s="3" t="s">
        <v>93</v>
      </c>
      <c r="B22" s="631">
        <v>0</v>
      </c>
      <c r="C22" s="631">
        <v>4.8256377472108217E-2</v>
      </c>
      <c r="D22" s="631">
        <v>3.2899556380458245E-2</v>
      </c>
      <c r="E22" s="631">
        <v>1.6761415168250957E-2</v>
      </c>
      <c r="F22" s="631">
        <v>3.2610170779636731E-2</v>
      </c>
      <c r="G22" s="631">
        <v>2.9316118996194584E-2</v>
      </c>
    </row>
    <row r="23" spans="1:7" x14ac:dyDescent="0.25">
      <c r="A23" s="3" t="s">
        <v>741</v>
      </c>
      <c r="B23" s="631">
        <v>7.397122543269574E-4</v>
      </c>
      <c r="C23" s="631">
        <v>0</v>
      </c>
      <c r="D23" s="631">
        <v>9.2520335491672458E-4</v>
      </c>
      <c r="E23" s="631">
        <v>9.4362560640970719E-4</v>
      </c>
      <c r="F23" s="631">
        <v>0</v>
      </c>
      <c r="G23" s="631">
        <v>4.6796256299496027E-4</v>
      </c>
    </row>
    <row r="24" spans="1:7" x14ac:dyDescent="0.25">
      <c r="A24" s="3" t="s">
        <v>772</v>
      </c>
      <c r="B24" s="631">
        <v>0.2690900821104541</v>
      </c>
      <c r="C24" s="631">
        <v>0.10903191657558445</v>
      </c>
      <c r="D24" s="631">
        <v>6.29602289104957E-2</v>
      </c>
      <c r="E24" s="631">
        <v>7.5258483946786473E-3</v>
      </c>
      <c r="F24" s="631">
        <v>0.12399709034058215</v>
      </c>
      <c r="G24" s="631">
        <v>0.10662796976241898</v>
      </c>
    </row>
    <row r="25" spans="1:7" x14ac:dyDescent="0.25">
      <c r="A25" s="3" t="s">
        <v>776</v>
      </c>
      <c r="B25" s="631">
        <v>1.9151126325617021E-3</v>
      </c>
      <c r="C25" s="631">
        <v>6.8741278450296605E-4</v>
      </c>
      <c r="D25" s="631">
        <v>2.8121682520265185E-3</v>
      </c>
      <c r="E25" s="631">
        <v>1.6402490090966282E-2</v>
      </c>
      <c r="F25" s="631">
        <v>1.6421118916043299E-2</v>
      </c>
      <c r="G25" s="631">
        <v>7.6815283348760652E-3</v>
      </c>
    </row>
    <row r="26" spans="1:7" x14ac:dyDescent="0.25">
      <c r="A26" s="3" t="s">
        <v>777</v>
      </c>
      <c r="B26" s="631">
        <v>0</v>
      </c>
      <c r="C26" s="631">
        <v>0</v>
      </c>
      <c r="D26" s="631">
        <v>6.4679869796609917E-4</v>
      </c>
      <c r="E26" s="631">
        <v>3.9751917161635914E-3</v>
      </c>
      <c r="F26" s="631">
        <v>7.029867436785465E-3</v>
      </c>
      <c r="G26" s="631">
        <v>2.4748020158387287E-3</v>
      </c>
    </row>
    <row r="27" spans="1:7" x14ac:dyDescent="0.25">
      <c r="A27" s="3" t="s">
        <v>1042</v>
      </c>
      <c r="B27" s="631">
        <v>-1.1727670983649723E-2</v>
      </c>
      <c r="C27" s="631">
        <v>0</v>
      </c>
      <c r="D27" s="631">
        <v>-1.6823796567748649E-2</v>
      </c>
      <c r="E27" s="631">
        <v>-2.4156043642201874E-2</v>
      </c>
      <c r="F27" s="631">
        <v>0</v>
      </c>
      <c r="G27" s="631">
        <v>-9.4434588090095643E-3</v>
      </c>
    </row>
    <row r="28" spans="1:7" x14ac:dyDescent="0.25">
      <c r="A28" s="3" t="s">
        <v>453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 x14ac:dyDescent="0.25"/>
  <cols>
    <col min="1" max="1" width="31.7109375" style="640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 x14ac:dyDescent="0.25">
      <c r="A2" s="134">
        <f>YEAR(BILANCIO!B2)</f>
        <v>2026</v>
      </c>
    </row>
    <row r="3" spans="1:21" x14ac:dyDescent="0.25">
      <c r="A3" s="1370" t="s">
        <v>450</v>
      </c>
      <c r="B3" s="1355" t="s">
        <v>451</v>
      </c>
      <c r="C3" s="1356"/>
      <c r="D3" s="1356"/>
      <c r="E3" s="1356"/>
      <c r="F3" s="1356"/>
      <c r="G3" s="1356"/>
      <c r="H3" s="1356"/>
      <c r="I3" s="1356"/>
      <c r="J3" s="1356"/>
      <c r="K3" s="1301"/>
      <c r="L3" s="731" t="s">
        <v>454</v>
      </c>
      <c r="M3" s="65"/>
      <c r="N3" s="65"/>
      <c r="O3" s="65"/>
      <c r="P3" s="65"/>
      <c r="Q3" s="65"/>
      <c r="R3" s="65"/>
      <c r="S3" s="65"/>
      <c r="T3" s="65"/>
    </row>
    <row r="4" spans="1:21" x14ac:dyDescent="0.25">
      <c r="A4" s="1370" t="s">
        <v>452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1178</v>
      </c>
      <c r="K4" s="1301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40" customFormat="1" ht="24.75" customHeight="1" x14ac:dyDescent="0.25">
      <c r="A5" s="1367" t="s">
        <v>69</v>
      </c>
      <c r="B5" s="1361">
        <v>225.63</v>
      </c>
      <c r="C5" s="1361">
        <v>487.6</v>
      </c>
      <c r="D5" s="1361">
        <v>720.42000000000007</v>
      </c>
      <c r="E5" s="1361">
        <v>1172.47</v>
      </c>
      <c r="F5" s="1361">
        <v>1456.6100000000001</v>
      </c>
      <c r="G5" s="1361">
        <v>2062.7400000000007</v>
      </c>
      <c r="H5" s="1361">
        <v>3698.9999999999991</v>
      </c>
      <c r="I5" s="1361">
        <v>774.8</v>
      </c>
      <c r="J5" s="1361">
        <v>10599.27</v>
      </c>
      <c r="K5" s="1325"/>
      <c r="L5" s="676">
        <f t="shared" ref="L5:L24" si="0">B5/12</f>
        <v>18.802499999999998</v>
      </c>
      <c r="M5" s="676">
        <f t="shared" ref="M5:M24" si="1">C5/12</f>
        <v>40.633333333333333</v>
      </c>
      <c r="N5" s="676">
        <f t="shared" ref="N5:N24" si="2">D5/12</f>
        <v>60.035000000000004</v>
      </c>
      <c r="O5" s="676">
        <f t="shared" ref="O5:O24" si="3">E5/12</f>
        <v>97.705833333333331</v>
      </c>
      <c r="P5" s="676">
        <f t="shared" ref="P5:P24" si="4">F5/12</f>
        <v>121.38416666666667</v>
      </c>
      <c r="Q5" s="676">
        <f>G5/12</f>
        <v>171.89500000000007</v>
      </c>
      <c r="R5" s="676">
        <f>H5/12</f>
        <v>308.24999999999994</v>
      </c>
      <c r="S5" s="676">
        <f ca="1">I5/(MONTH(TODAY()))</f>
        <v>258.26666666666665</v>
      </c>
      <c r="T5" s="676"/>
      <c r="U5" s="641"/>
    </row>
    <row r="6" spans="1:21" s="640" customFormat="1" ht="24.75" customHeight="1" x14ac:dyDescent="0.25">
      <c r="A6" s="1369" t="s">
        <v>75</v>
      </c>
      <c r="B6" s="1361">
        <v>837.2299999999999</v>
      </c>
      <c r="C6" s="1361">
        <v>1708.5700000000004</v>
      </c>
      <c r="D6" s="1361">
        <v>2186.94</v>
      </c>
      <c r="E6" s="1361">
        <v>338.46</v>
      </c>
      <c r="F6" s="1361">
        <v>531.53000000000009</v>
      </c>
      <c r="G6" s="1361">
        <v>858.4</v>
      </c>
      <c r="H6" s="1361">
        <v>1527.998</v>
      </c>
      <c r="I6" s="1361">
        <v>954.48599999999999</v>
      </c>
      <c r="J6" s="1361">
        <v>8943.6139999999996</v>
      </c>
      <c r="K6" s="1325"/>
      <c r="L6" s="676">
        <f t="shared" si="0"/>
        <v>69.769166666666663</v>
      </c>
      <c r="M6" s="676">
        <f t="shared" si="1"/>
        <v>142.38083333333336</v>
      </c>
      <c r="N6" s="676">
        <f t="shared" si="2"/>
        <v>182.245</v>
      </c>
      <c r="O6" s="676">
        <f t="shared" si="3"/>
        <v>28.204999999999998</v>
      </c>
      <c r="P6" s="676">
        <f t="shared" si="4"/>
        <v>44.294166666666676</v>
      </c>
      <c r="Q6" s="676">
        <f t="shared" ref="Q6:Q25" si="5">G6/12</f>
        <v>71.533333333333331</v>
      </c>
      <c r="R6" s="676">
        <f t="shared" ref="R6:R28" si="6">H6/12</f>
        <v>127.33316666666667</v>
      </c>
      <c r="S6" s="676">
        <f t="shared" ref="S6:S29" ca="1" si="7">I6/(MONTH(TODAY()))</f>
        <v>318.16199999999998</v>
      </c>
      <c r="T6" s="676"/>
      <c r="U6" s="641"/>
    </row>
    <row r="7" spans="1:21" s="640" customFormat="1" ht="24.75" customHeight="1" x14ac:dyDescent="0.25">
      <c r="A7" s="1365" t="s">
        <v>77</v>
      </c>
      <c r="B7" s="1361">
        <v>364.02</v>
      </c>
      <c r="C7" s="1361">
        <v>1989.5500000000004</v>
      </c>
      <c r="D7" s="1361">
        <v>943.89</v>
      </c>
      <c r="E7" s="1361">
        <v>1117.07</v>
      </c>
      <c r="F7" s="1361">
        <v>1196.5999999999999</v>
      </c>
      <c r="G7" s="1361">
        <v>1302.2900000000006</v>
      </c>
      <c r="H7" s="1361">
        <v>1411.5100000000002</v>
      </c>
      <c r="I7" s="1361">
        <v>367.62</v>
      </c>
      <c r="J7" s="1361">
        <v>8692.5500000000029</v>
      </c>
      <c r="K7" s="1325"/>
      <c r="L7" s="676">
        <f t="shared" si="0"/>
        <v>30.334999999999997</v>
      </c>
      <c r="M7" s="676">
        <f t="shared" si="1"/>
        <v>165.79583333333338</v>
      </c>
      <c r="N7" s="676">
        <f t="shared" si="2"/>
        <v>78.657499999999999</v>
      </c>
      <c r="O7" s="676">
        <f t="shared" si="3"/>
        <v>93.089166666666657</v>
      </c>
      <c r="P7" s="676">
        <f t="shared" si="4"/>
        <v>99.716666666666654</v>
      </c>
      <c r="Q7" s="676">
        <f t="shared" si="5"/>
        <v>108.52416666666672</v>
      </c>
      <c r="R7" s="676">
        <f t="shared" si="6"/>
        <v>117.62583333333335</v>
      </c>
      <c r="S7" s="676">
        <f t="shared" ca="1" si="7"/>
        <v>122.54</v>
      </c>
      <c r="T7" s="676"/>
      <c r="U7" s="641"/>
    </row>
    <row r="8" spans="1:21" s="640" customFormat="1" ht="24.75" customHeight="1" x14ac:dyDescent="0.25">
      <c r="A8" s="1366" t="s">
        <v>772</v>
      </c>
      <c r="B8" s="1361">
        <v>1124.07</v>
      </c>
      <c r="C8" s="1361">
        <v>793.06</v>
      </c>
      <c r="D8" s="1361">
        <v>447.77</v>
      </c>
      <c r="E8" s="1361">
        <v>39</v>
      </c>
      <c r="F8" s="1361">
        <v>913.68</v>
      </c>
      <c r="G8" s="1361">
        <v>1591</v>
      </c>
      <c r="H8" s="1361">
        <v>2004.6000000000001</v>
      </c>
      <c r="I8" s="1361"/>
      <c r="J8" s="1361">
        <v>6913.18</v>
      </c>
      <c r="K8" s="1325"/>
      <c r="L8" s="676">
        <f t="shared" si="0"/>
        <v>93.672499999999999</v>
      </c>
      <c r="M8" s="676">
        <f t="shared" si="1"/>
        <v>66.088333333333324</v>
      </c>
      <c r="N8" s="676">
        <f t="shared" si="2"/>
        <v>37.314166666666665</v>
      </c>
      <c r="O8" s="676">
        <f t="shared" si="3"/>
        <v>3.25</v>
      </c>
      <c r="P8" s="676">
        <f t="shared" si="4"/>
        <v>76.14</v>
      </c>
      <c r="Q8" s="676">
        <f t="shared" si="5"/>
        <v>132.58333333333334</v>
      </c>
      <c r="R8" s="676">
        <f t="shared" si="6"/>
        <v>167.05</v>
      </c>
      <c r="S8" s="676">
        <f t="shared" ca="1" si="7"/>
        <v>0</v>
      </c>
      <c r="T8" s="676"/>
      <c r="U8" s="641"/>
    </row>
    <row r="9" spans="1:21" s="640" customFormat="1" ht="24.75" customHeight="1" x14ac:dyDescent="0.25">
      <c r="A9" s="1368" t="s">
        <v>81</v>
      </c>
      <c r="B9" s="1361">
        <v>245.28999999999996</v>
      </c>
      <c r="C9" s="1361">
        <v>78.28</v>
      </c>
      <c r="D9" s="1361">
        <v>505.12</v>
      </c>
      <c r="E9" s="1361">
        <v>306.58999999999997</v>
      </c>
      <c r="F9" s="1361">
        <v>613.7600000000001</v>
      </c>
      <c r="G9" s="1361">
        <v>548.02</v>
      </c>
      <c r="H9" s="1361">
        <v>1745</v>
      </c>
      <c r="I9" s="1361">
        <v>305.43</v>
      </c>
      <c r="J9" s="1361">
        <v>4347.49</v>
      </c>
      <c r="K9" s="1325"/>
      <c r="L9" s="676">
        <f t="shared" si="0"/>
        <v>20.44083333333333</v>
      </c>
      <c r="M9" s="676">
        <f t="shared" si="1"/>
        <v>6.5233333333333334</v>
      </c>
      <c r="N9" s="676">
        <f t="shared" si="2"/>
        <v>42.093333333333334</v>
      </c>
      <c r="O9" s="676">
        <f t="shared" si="3"/>
        <v>25.549166666666665</v>
      </c>
      <c r="P9" s="676">
        <f t="shared" si="4"/>
        <v>51.146666666666675</v>
      </c>
      <c r="Q9" s="676">
        <f t="shared" si="5"/>
        <v>45.668333333333329</v>
      </c>
      <c r="R9" s="676">
        <f t="shared" si="6"/>
        <v>145.41666666666666</v>
      </c>
      <c r="S9" s="676">
        <f t="shared" ca="1" si="7"/>
        <v>101.81</v>
      </c>
      <c r="T9" s="676"/>
      <c r="U9" s="641"/>
    </row>
    <row r="10" spans="1:21" s="640" customFormat="1" ht="24.75" customHeight="1" x14ac:dyDescent="0.25">
      <c r="A10" s="1366" t="s">
        <v>91</v>
      </c>
      <c r="B10" s="1361">
        <v>458.12000000000006</v>
      </c>
      <c r="C10" s="1361">
        <v>141.85000000000002</v>
      </c>
      <c r="D10" s="1361">
        <v>290.94</v>
      </c>
      <c r="E10" s="1361">
        <v>128.1</v>
      </c>
      <c r="F10" s="1361">
        <v>30.25</v>
      </c>
      <c r="G10" s="1361">
        <v>767.98</v>
      </c>
      <c r="H10" s="1361">
        <v>2318.3399999999992</v>
      </c>
      <c r="I10" s="1361">
        <v>60.75</v>
      </c>
      <c r="J10" s="1361">
        <v>4196.33</v>
      </c>
      <c r="K10" s="1325"/>
      <c r="L10" s="676">
        <f t="shared" si="0"/>
        <v>38.176666666666669</v>
      </c>
      <c r="M10" s="676">
        <f t="shared" si="1"/>
        <v>11.820833333333335</v>
      </c>
      <c r="N10" s="676">
        <f t="shared" si="2"/>
        <v>24.245000000000001</v>
      </c>
      <c r="O10" s="676">
        <f t="shared" si="3"/>
        <v>10.674999999999999</v>
      </c>
      <c r="P10" s="676">
        <f t="shared" si="4"/>
        <v>2.5208333333333335</v>
      </c>
      <c r="Q10" s="676">
        <f t="shared" si="5"/>
        <v>63.998333333333335</v>
      </c>
      <c r="R10" s="676">
        <f t="shared" si="6"/>
        <v>193.19499999999994</v>
      </c>
      <c r="S10" s="676">
        <f t="shared" ca="1" si="7"/>
        <v>20.25</v>
      </c>
      <c r="T10" s="676"/>
      <c r="U10" s="641"/>
    </row>
    <row r="11" spans="1:21" s="640" customFormat="1" ht="24.75" customHeight="1" x14ac:dyDescent="0.25">
      <c r="A11" s="1369" t="s">
        <v>137</v>
      </c>
      <c r="B11" s="1361">
        <v>191.58</v>
      </c>
      <c r="C11" s="1361">
        <v>858.71</v>
      </c>
      <c r="D11" s="1361">
        <v>200.93</v>
      </c>
      <c r="E11" s="1361">
        <v>335.91</v>
      </c>
      <c r="F11" s="1361">
        <v>427.37000000000006</v>
      </c>
      <c r="G11" s="1361">
        <v>635.41999999999996</v>
      </c>
      <c r="H11" s="1361">
        <v>509.18</v>
      </c>
      <c r="I11" s="1361">
        <v>285.31</v>
      </c>
      <c r="J11" s="1361">
        <v>3444.41</v>
      </c>
      <c r="K11" s="1325"/>
      <c r="L11" s="676">
        <f t="shared" si="0"/>
        <v>15.965000000000002</v>
      </c>
      <c r="M11" s="676">
        <f t="shared" si="1"/>
        <v>71.55916666666667</v>
      </c>
      <c r="N11" s="676">
        <f t="shared" si="2"/>
        <v>16.744166666666668</v>
      </c>
      <c r="O11" s="676">
        <f t="shared" si="3"/>
        <v>27.992500000000003</v>
      </c>
      <c r="P11" s="676">
        <f t="shared" si="4"/>
        <v>35.614166666666669</v>
      </c>
      <c r="Q11" s="676">
        <f t="shared" si="5"/>
        <v>52.951666666666661</v>
      </c>
      <c r="R11" s="676">
        <f t="shared" si="6"/>
        <v>42.431666666666665</v>
      </c>
      <c r="S11" s="676">
        <f t="shared" ca="1" si="7"/>
        <v>95.103333333333339</v>
      </c>
      <c r="T11" s="676"/>
      <c r="U11" s="641"/>
    </row>
    <row r="12" spans="1:21" s="640" customFormat="1" ht="24.75" customHeight="1" x14ac:dyDescent="0.25">
      <c r="A12" s="1367" t="s">
        <v>70</v>
      </c>
      <c r="B12" s="1361">
        <v>539.18000000000006</v>
      </c>
      <c r="C12" s="1361">
        <v>27</v>
      </c>
      <c r="D12" s="1361">
        <v>26.59</v>
      </c>
      <c r="E12" s="1361">
        <v>588.99000000000012</v>
      </c>
      <c r="F12" s="1361">
        <v>454.07999999999993</v>
      </c>
      <c r="G12" s="1361">
        <v>709.55000000000007</v>
      </c>
      <c r="H12" s="1361">
        <v>208.07999999999998</v>
      </c>
      <c r="I12" s="1361">
        <v>104</v>
      </c>
      <c r="J12" s="1361">
        <v>2657.4700000000003</v>
      </c>
      <c r="K12" s="1325"/>
      <c r="L12" s="676">
        <f t="shared" si="0"/>
        <v>44.931666666666672</v>
      </c>
      <c r="M12" s="676">
        <f t="shared" si="1"/>
        <v>2.25</v>
      </c>
      <c r="N12" s="676">
        <f t="shared" si="2"/>
        <v>2.2158333333333333</v>
      </c>
      <c r="O12" s="676">
        <f t="shared" si="3"/>
        <v>49.08250000000001</v>
      </c>
      <c r="P12" s="676">
        <f t="shared" si="4"/>
        <v>37.839999999999996</v>
      </c>
      <c r="Q12" s="676">
        <f t="shared" si="5"/>
        <v>59.12916666666667</v>
      </c>
      <c r="R12" s="676">
        <f t="shared" si="6"/>
        <v>17.34</v>
      </c>
      <c r="S12" s="676">
        <f t="shared" ca="1" si="7"/>
        <v>34.666666666666664</v>
      </c>
      <c r="T12" s="676"/>
      <c r="U12" s="641"/>
    </row>
    <row r="13" spans="1:21" s="640" customFormat="1" ht="24.75" customHeight="1" x14ac:dyDescent="0.25">
      <c r="A13" s="1369" t="s">
        <v>93</v>
      </c>
      <c r="B13" s="1361"/>
      <c r="C13" s="1361">
        <v>351</v>
      </c>
      <c r="D13" s="1361">
        <v>233.97999999999996</v>
      </c>
      <c r="E13" s="1361">
        <v>86.86</v>
      </c>
      <c r="F13" s="1361">
        <v>240.29000000000002</v>
      </c>
      <c r="G13" s="1361">
        <v>413.53999999999996</v>
      </c>
      <c r="H13" s="1361">
        <v>680.87000000000012</v>
      </c>
      <c r="I13" s="1361"/>
      <c r="J13" s="1361">
        <v>2006.5400000000002</v>
      </c>
      <c r="K13" s="1325"/>
      <c r="L13" s="676">
        <f t="shared" si="0"/>
        <v>0</v>
      </c>
      <c r="M13" s="676">
        <f t="shared" si="1"/>
        <v>29.25</v>
      </c>
      <c r="N13" s="676">
        <f t="shared" si="2"/>
        <v>19.498333333333331</v>
      </c>
      <c r="O13" s="676">
        <f t="shared" si="3"/>
        <v>7.2383333333333333</v>
      </c>
      <c r="P13" s="676">
        <f t="shared" si="4"/>
        <v>20.02416666666667</v>
      </c>
      <c r="Q13" s="676">
        <f t="shared" si="5"/>
        <v>34.461666666666666</v>
      </c>
      <c r="R13" s="676">
        <f t="shared" si="6"/>
        <v>56.739166666666677</v>
      </c>
      <c r="S13" s="676">
        <f t="shared" ca="1" si="7"/>
        <v>0</v>
      </c>
      <c r="T13" s="676"/>
      <c r="U13" s="641"/>
    </row>
    <row r="14" spans="1:21" s="640" customFormat="1" ht="24.75" customHeight="1" x14ac:dyDescent="0.25">
      <c r="A14" s="1362" t="s">
        <v>74</v>
      </c>
      <c r="B14" s="1361"/>
      <c r="C14" s="1361">
        <v>229.01</v>
      </c>
      <c r="D14" s="1361">
        <v>32</v>
      </c>
      <c r="E14" s="1361">
        <v>479.99</v>
      </c>
      <c r="F14" s="1361">
        <v>405</v>
      </c>
      <c r="G14" s="1361">
        <v>352</v>
      </c>
      <c r="H14" s="1361">
        <v>152.32</v>
      </c>
      <c r="I14" s="1361">
        <v>47</v>
      </c>
      <c r="J14" s="1361">
        <v>1697.32</v>
      </c>
      <c r="K14" s="1325"/>
      <c r="L14" s="676">
        <f t="shared" si="0"/>
        <v>0</v>
      </c>
      <c r="M14" s="676">
        <f t="shared" si="1"/>
        <v>19.084166666666665</v>
      </c>
      <c r="N14" s="676">
        <f t="shared" si="2"/>
        <v>2.6666666666666665</v>
      </c>
      <c r="O14" s="676">
        <f t="shared" si="3"/>
        <v>39.999166666666667</v>
      </c>
      <c r="P14" s="676">
        <f t="shared" si="4"/>
        <v>33.75</v>
      </c>
      <c r="Q14" s="676">
        <f t="shared" si="5"/>
        <v>29.333333333333332</v>
      </c>
      <c r="R14" s="676">
        <f t="shared" si="6"/>
        <v>12.693333333333333</v>
      </c>
      <c r="S14" s="676">
        <f t="shared" ca="1" si="7"/>
        <v>15.666666666666666</v>
      </c>
      <c r="T14" s="676"/>
      <c r="U14" s="641"/>
    </row>
    <row r="15" spans="1:21" s="640" customFormat="1" ht="24.75" customHeight="1" x14ac:dyDescent="0.25">
      <c r="A15" s="1365" t="s">
        <v>114</v>
      </c>
      <c r="B15" s="1361">
        <v>55</v>
      </c>
      <c r="C15" s="1361">
        <v>354</v>
      </c>
      <c r="D15" s="1361">
        <v>243</v>
      </c>
      <c r="E15" s="1361">
        <v>210</v>
      </c>
      <c r="F15" s="1361">
        <v>248</v>
      </c>
      <c r="G15" s="1361">
        <v>248</v>
      </c>
      <c r="H15" s="1361">
        <v>186</v>
      </c>
      <c r="I15" s="1361">
        <v>66</v>
      </c>
      <c r="J15" s="1361">
        <v>1610</v>
      </c>
      <c r="K15" s="1325"/>
      <c r="L15" s="676">
        <f t="shared" si="0"/>
        <v>4.583333333333333</v>
      </c>
      <c r="M15" s="676">
        <f t="shared" si="1"/>
        <v>29.5</v>
      </c>
      <c r="N15" s="676">
        <f t="shared" si="2"/>
        <v>20.25</v>
      </c>
      <c r="O15" s="676">
        <f t="shared" si="3"/>
        <v>17.5</v>
      </c>
      <c r="P15" s="676">
        <f t="shared" si="4"/>
        <v>20.666666666666668</v>
      </c>
      <c r="Q15" s="676">
        <f t="shared" si="5"/>
        <v>20.666666666666668</v>
      </c>
      <c r="R15" s="676">
        <f t="shared" si="6"/>
        <v>15.5</v>
      </c>
      <c r="S15" s="676">
        <f t="shared" ca="1" si="7"/>
        <v>22</v>
      </c>
      <c r="T15" s="676"/>
      <c r="U15" s="641"/>
    </row>
    <row r="16" spans="1:21" s="640" customFormat="1" ht="24.75" customHeight="1" x14ac:dyDescent="0.25">
      <c r="A16" s="1363" t="s">
        <v>741</v>
      </c>
      <c r="B16" s="1361">
        <v>3.09</v>
      </c>
      <c r="C16" s="1361"/>
      <c r="D16" s="1361">
        <v>6.58</v>
      </c>
      <c r="E16" s="1361">
        <v>4.8899999999999997</v>
      </c>
      <c r="F16" s="1361"/>
      <c r="G16" s="1361">
        <v>82.99</v>
      </c>
      <c r="H16" s="1361">
        <v>1035</v>
      </c>
      <c r="I16" s="1361"/>
      <c r="J16" s="1361">
        <v>1132.55</v>
      </c>
      <c r="K16" s="1325"/>
      <c r="L16" s="676">
        <f t="shared" si="0"/>
        <v>0.25750000000000001</v>
      </c>
      <c r="M16" s="676">
        <f t="shared" si="1"/>
        <v>0</v>
      </c>
      <c r="N16" s="676">
        <f t="shared" si="2"/>
        <v>0.54833333333333334</v>
      </c>
      <c r="O16" s="676">
        <f t="shared" si="3"/>
        <v>0.40749999999999997</v>
      </c>
      <c r="P16" s="676">
        <f t="shared" si="4"/>
        <v>0</v>
      </c>
      <c r="Q16" s="676">
        <f t="shared" si="5"/>
        <v>6.9158333333333326</v>
      </c>
      <c r="R16" s="676">
        <f t="shared" si="6"/>
        <v>86.25</v>
      </c>
      <c r="S16" s="676">
        <f t="shared" ca="1" si="7"/>
        <v>0</v>
      </c>
      <c r="T16" s="676"/>
      <c r="U16" s="641"/>
    </row>
    <row r="17" spans="1:21" s="640" customFormat="1" ht="24.75" customHeight="1" x14ac:dyDescent="0.25">
      <c r="A17" s="1368" t="s">
        <v>155</v>
      </c>
      <c r="B17" s="1361">
        <v>21.15</v>
      </c>
      <c r="C17" s="1361">
        <v>36.89</v>
      </c>
      <c r="D17" s="1361">
        <v>610.55999999999995</v>
      </c>
      <c r="E17" s="1361">
        <v>240.49</v>
      </c>
      <c r="F17" s="1361">
        <v>30.299999999999997</v>
      </c>
      <c r="G17" s="1361">
        <v>26.5</v>
      </c>
      <c r="H17" s="1361">
        <v>9.99</v>
      </c>
      <c r="I17" s="1361"/>
      <c r="J17" s="1361">
        <v>975.87999999999988</v>
      </c>
      <c r="K17" s="1325"/>
      <c r="L17" s="676">
        <f t="shared" si="0"/>
        <v>1.7625</v>
      </c>
      <c r="M17" s="676">
        <f t="shared" si="1"/>
        <v>3.0741666666666667</v>
      </c>
      <c r="N17" s="676">
        <f t="shared" si="2"/>
        <v>50.879999999999995</v>
      </c>
      <c r="O17" s="676">
        <f t="shared" si="3"/>
        <v>20.040833333333335</v>
      </c>
      <c r="P17" s="676">
        <f t="shared" si="4"/>
        <v>2.5249999999999999</v>
      </c>
      <c r="Q17" s="676">
        <f t="shared" si="5"/>
        <v>2.2083333333333335</v>
      </c>
      <c r="R17" s="676">
        <f t="shared" si="6"/>
        <v>0.83250000000000002</v>
      </c>
      <c r="S17" s="676">
        <f t="shared" ca="1" si="7"/>
        <v>0</v>
      </c>
      <c r="T17" s="676"/>
      <c r="U17" s="641"/>
    </row>
    <row r="18" spans="1:21" s="640" customFormat="1" ht="24.75" customHeight="1" x14ac:dyDescent="0.25">
      <c r="A18" s="1365" t="s">
        <v>776</v>
      </c>
      <c r="B18" s="1361">
        <v>8</v>
      </c>
      <c r="C18" s="1361">
        <v>5</v>
      </c>
      <c r="D18" s="1361">
        <v>20</v>
      </c>
      <c r="E18" s="1361">
        <v>85</v>
      </c>
      <c r="F18" s="1361">
        <v>121</v>
      </c>
      <c r="G18" s="1361">
        <v>222.5</v>
      </c>
      <c r="H18" s="1361">
        <v>391.1</v>
      </c>
      <c r="I18" s="1361">
        <v>103.5</v>
      </c>
      <c r="J18" s="1361">
        <v>956.1</v>
      </c>
      <c r="K18" s="1325"/>
      <c r="L18" s="676">
        <f t="shared" si="0"/>
        <v>0.66666666666666663</v>
      </c>
      <c r="M18" s="676">
        <f t="shared" si="1"/>
        <v>0.41666666666666669</v>
      </c>
      <c r="N18" s="676">
        <f t="shared" si="2"/>
        <v>1.6666666666666667</v>
      </c>
      <c r="O18" s="676">
        <f t="shared" si="3"/>
        <v>7.083333333333333</v>
      </c>
      <c r="P18" s="676">
        <f t="shared" si="4"/>
        <v>10.083333333333334</v>
      </c>
      <c r="Q18" s="676">
        <f t="shared" si="5"/>
        <v>18.541666666666668</v>
      </c>
      <c r="R18" s="676">
        <f t="shared" si="6"/>
        <v>32.591666666666669</v>
      </c>
      <c r="S18" s="676">
        <f t="shared" ca="1" si="7"/>
        <v>34.5</v>
      </c>
      <c r="T18" s="676"/>
      <c r="U18" s="641"/>
    </row>
    <row r="19" spans="1:21" s="640" customFormat="1" ht="24.75" customHeight="1" x14ac:dyDescent="0.25">
      <c r="A19" s="1360" t="s">
        <v>1137</v>
      </c>
      <c r="B19" s="1358"/>
      <c r="C19" s="1358"/>
      <c r="D19" s="1358"/>
      <c r="E19" s="1358"/>
      <c r="F19" s="1358"/>
      <c r="G19" s="1358"/>
      <c r="H19" s="1358">
        <v>225</v>
      </c>
      <c r="I19" s="1358">
        <v>512.55999999999995</v>
      </c>
      <c r="J19" s="1358">
        <v>737.56</v>
      </c>
      <c r="K19" s="1325"/>
      <c r="L19" s="676">
        <f t="shared" si="0"/>
        <v>0</v>
      </c>
      <c r="M19" s="676">
        <f t="shared" si="1"/>
        <v>0</v>
      </c>
      <c r="N19" s="676">
        <f t="shared" si="2"/>
        <v>0</v>
      </c>
      <c r="O19" s="676">
        <f t="shared" si="3"/>
        <v>0</v>
      </c>
      <c r="P19" s="676">
        <f t="shared" si="4"/>
        <v>0</v>
      </c>
      <c r="Q19" s="676">
        <f t="shared" si="5"/>
        <v>0</v>
      </c>
      <c r="R19" s="676">
        <f t="shared" si="6"/>
        <v>18.75</v>
      </c>
      <c r="S19" s="676">
        <f t="shared" ca="1" si="7"/>
        <v>170.85333333333332</v>
      </c>
      <c r="T19" s="676"/>
      <c r="U19" s="641"/>
    </row>
    <row r="20" spans="1:21" s="640" customFormat="1" ht="24.75" customHeight="1" x14ac:dyDescent="0.25">
      <c r="A20" s="1364" t="s">
        <v>166</v>
      </c>
      <c r="B20" s="1361"/>
      <c r="C20" s="1361"/>
      <c r="D20" s="1361"/>
      <c r="E20" s="1361">
        <v>23.84</v>
      </c>
      <c r="F20" s="1361">
        <v>21.77</v>
      </c>
      <c r="G20" s="1361">
        <v>206.28</v>
      </c>
      <c r="H20" s="1361">
        <v>392.2</v>
      </c>
      <c r="I20" s="1361">
        <v>46.58</v>
      </c>
      <c r="J20" s="1361">
        <v>690.67</v>
      </c>
      <c r="K20" s="1325"/>
      <c r="L20" s="676">
        <f t="shared" si="0"/>
        <v>0</v>
      </c>
      <c r="M20" s="676">
        <f t="shared" si="1"/>
        <v>0</v>
      </c>
      <c r="N20" s="676">
        <f t="shared" si="2"/>
        <v>0</v>
      </c>
      <c r="O20" s="676">
        <f t="shared" si="3"/>
        <v>1.9866666666666666</v>
      </c>
      <c r="P20" s="676">
        <f t="shared" si="4"/>
        <v>1.8141666666666667</v>
      </c>
      <c r="Q20" s="676">
        <f t="shared" si="5"/>
        <v>17.190000000000001</v>
      </c>
      <c r="R20" s="676">
        <f t="shared" si="6"/>
        <v>32.68333333333333</v>
      </c>
      <c r="S20" s="676">
        <f t="shared" ca="1" si="7"/>
        <v>15.526666666666666</v>
      </c>
      <c r="T20" s="676"/>
      <c r="U20" s="641"/>
    </row>
    <row r="21" spans="1:21" s="640" customFormat="1" ht="24.75" customHeight="1" x14ac:dyDescent="0.25">
      <c r="A21" s="1369" t="s">
        <v>185</v>
      </c>
      <c r="B21" s="1361">
        <v>25.18</v>
      </c>
      <c r="C21" s="1361">
        <v>80.72</v>
      </c>
      <c r="D21" s="1361">
        <v>8.24</v>
      </c>
      <c r="E21" s="1361"/>
      <c r="F21" s="1361">
        <v>386.86000000000007</v>
      </c>
      <c r="G21" s="1361">
        <v>34.299999999999997</v>
      </c>
      <c r="H21" s="1361">
        <v>44.42</v>
      </c>
      <c r="I21" s="1361"/>
      <c r="J21" s="1361">
        <v>579.72</v>
      </c>
      <c r="K21" s="1325"/>
      <c r="L21" s="676">
        <f t="shared" si="0"/>
        <v>2.0983333333333332</v>
      </c>
      <c r="M21" s="676">
        <f t="shared" si="1"/>
        <v>6.7266666666666666</v>
      </c>
      <c r="N21" s="676">
        <f t="shared" si="2"/>
        <v>0.68666666666666665</v>
      </c>
      <c r="O21" s="676">
        <f t="shared" si="3"/>
        <v>0</v>
      </c>
      <c r="P21" s="676">
        <f t="shared" si="4"/>
        <v>32.238333333333337</v>
      </c>
      <c r="Q21" s="676">
        <f t="shared" si="5"/>
        <v>2.8583333333333329</v>
      </c>
      <c r="R21" s="676">
        <f t="shared" si="6"/>
        <v>3.7016666666666667</v>
      </c>
      <c r="S21" s="676">
        <f t="shared" ca="1" si="7"/>
        <v>0</v>
      </c>
      <c r="T21" s="676"/>
      <c r="U21" s="641"/>
    </row>
    <row r="22" spans="1:21" s="640" customFormat="1" ht="24.75" customHeight="1" x14ac:dyDescent="0.25">
      <c r="A22" s="1368" t="s">
        <v>327</v>
      </c>
      <c r="B22" s="1361"/>
      <c r="C22" s="1361"/>
      <c r="D22" s="1361">
        <v>485.63</v>
      </c>
      <c r="E22" s="1361"/>
      <c r="F22" s="1361"/>
      <c r="G22" s="1361"/>
      <c r="H22" s="1361"/>
      <c r="I22" s="1361"/>
      <c r="J22" s="1361">
        <v>485.63</v>
      </c>
      <c r="K22" s="1325"/>
      <c r="L22" s="676">
        <f t="shared" si="0"/>
        <v>0</v>
      </c>
      <c r="M22" s="676">
        <f t="shared" si="1"/>
        <v>0</v>
      </c>
      <c r="N22" s="676">
        <f t="shared" si="2"/>
        <v>40.469166666666666</v>
      </c>
      <c r="O22" s="676">
        <f t="shared" si="3"/>
        <v>0</v>
      </c>
      <c r="P22" s="676">
        <f t="shared" si="4"/>
        <v>0</v>
      </c>
      <c r="Q22" s="676">
        <f t="shared" si="5"/>
        <v>0</v>
      </c>
      <c r="R22" s="676">
        <f t="shared" si="6"/>
        <v>0</v>
      </c>
      <c r="S22" s="676">
        <f t="shared" ca="1" si="7"/>
        <v>0</v>
      </c>
      <c r="T22" s="676"/>
      <c r="U22" s="641"/>
    </row>
    <row r="23" spans="1:21" s="640" customFormat="1" ht="24.75" customHeight="1" x14ac:dyDescent="0.25">
      <c r="A23" s="1365" t="s">
        <v>231</v>
      </c>
      <c r="B23" s="1361">
        <v>74.959999999999994</v>
      </c>
      <c r="C23" s="1361">
        <v>60.95</v>
      </c>
      <c r="D23" s="1361">
        <v>66.59</v>
      </c>
      <c r="E23" s="1361"/>
      <c r="F23" s="1361">
        <v>101.83000000000001</v>
      </c>
      <c r="G23" s="1361"/>
      <c r="H23" s="1361">
        <v>53.38</v>
      </c>
      <c r="I23" s="1361"/>
      <c r="J23" s="1361">
        <v>357.71000000000004</v>
      </c>
      <c r="K23" s="1325"/>
      <c r="L23" s="676">
        <f t="shared" si="0"/>
        <v>6.2466666666666661</v>
      </c>
      <c r="M23" s="676">
        <f t="shared" si="1"/>
        <v>5.0791666666666666</v>
      </c>
      <c r="N23" s="676">
        <f t="shared" si="2"/>
        <v>5.5491666666666672</v>
      </c>
      <c r="O23" s="676">
        <f t="shared" si="3"/>
        <v>0</v>
      </c>
      <c r="P23" s="676">
        <f t="shared" si="4"/>
        <v>8.4858333333333338</v>
      </c>
      <c r="Q23" s="676">
        <f t="shared" si="5"/>
        <v>0</v>
      </c>
      <c r="R23" s="676">
        <f t="shared" si="6"/>
        <v>4.4483333333333333</v>
      </c>
      <c r="S23" s="676">
        <f t="shared" ca="1" si="7"/>
        <v>0</v>
      </c>
      <c r="T23" s="676"/>
      <c r="U23" s="641"/>
    </row>
    <row r="24" spans="1:21" s="640" customFormat="1" ht="24.75" customHeight="1" x14ac:dyDescent="0.25">
      <c r="A24" s="1369" t="s">
        <v>191</v>
      </c>
      <c r="B24" s="1361">
        <v>12.9</v>
      </c>
      <c r="C24" s="1361"/>
      <c r="D24" s="1361">
        <v>136.85</v>
      </c>
      <c r="E24" s="1361">
        <v>6.88</v>
      </c>
      <c r="F24" s="1361">
        <v>66.75</v>
      </c>
      <c r="G24" s="1361">
        <v>25.9</v>
      </c>
      <c r="H24" s="1361"/>
      <c r="I24" s="1361"/>
      <c r="J24" s="1361">
        <v>249.28</v>
      </c>
      <c r="K24" s="1325"/>
      <c r="L24" s="676">
        <f t="shared" si="0"/>
        <v>1.075</v>
      </c>
      <c r="M24" s="676">
        <f t="shared" si="1"/>
        <v>0</v>
      </c>
      <c r="N24" s="676">
        <f t="shared" si="2"/>
        <v>11.404166666666667</v>
      </c>
      <c r="O24" s="676">
        <f t="shared" si="3"/>
        <v>0.57333333333333336</v>
      </c>
      <c r="P24" s="676">
        <f t="shared" si="4"/>
        <v>5.5625</v>
      </c>
      <c r="Q24" s="676">
        <f t="shared" si="5"/>
        <v>2.1583333333333332</v>
      </c>
      <c r="R24" s="676">
        <f t="shared" si="6"/>
        <v>0</v>
      </c>
      <c r="S24" s="676">
        <f t="shared" ca="1" si="7"/>
        <v>0</v>
      </c>
      <c r="T24" s="676"/>
      <c r="U24" s="641"/>
    </row>
    <row r="25" spans="1:21" ht="24.75" customHeight="1" x14ac:dyDescent="0.25">
      <c r="A25" s="1365" t="s">
        <v>85</v>
      </c>
      <c r="B25" s="1361">
        <v>32.4</v>
      </c>
      <c r="C25" s="1361">
        <v>27.99</v>
      </c>
      <c r="D25" s="1361">
        <v>19.5</v>
      </c>
      <c r="E25" s="1361">
        <v>62.19</v>
      </c>
      <c r="F25" s="1361">
        <v>52.6</v>
      </c>
      <c r="G25" s="1361">
        <v>50.050000000000004</v>
      </c>
      <c r="H25" s="1361"/>
      <c r="I25" s="1361"/>
      <c r="J25" s="1361">
        <v>244.73</v>
      </c>
      <c r="K25" s="1320"/>
      <c r="L25" s="676">
        <f t="shared" ref="L25" si="8">B25/12</f>
        <v>2.6999999999999997</v>
      </c>
      <c r="M25" s="676">
        <f t="shared" ref="M25" si="9">C25/12</f>
        <v>2.3325</v>
      </c>
      <c r="N25" s="676">
        <f t="shared" ref="N25" si="10">D25/12</f>
        <v>1.625</v>
      </c>
      <c r="O25" s="676">
        <f t="shared" ref="O25" si="11">E25/12</f>
        <v>5.1825000000000001</v>
      </c>
      <c r="P25" s="676">
        <f t="shared" ref="P25" si="12">F25/12</f>
        <v>4.3833333333333337</v>
      </c>
      <c r="Q25" s="676">
        <f t="shared" si="5"/>
        <v>4.1708333333333334</v>
      </c>
      <c r="R25" s="676">
        <f t="shared" si="6"/>
        <v>0</v>
      </c>
      <c r="S25" s="676">
        <f t="shared" ca="1" si="7"/>
        <v>0</v>
      </c>
      <c r="T25" s="676"/>
      <c r="U25" s="641"/>
    </row>
    <row r="26" spans="1:21" ht="24.75" customHeight="1" x14ac:dyDescent="0.25">
      <c r="A26" s="1365" t="s">
        <v>777</v>
      </c>
      <c r="B26" s="1361"/>
      <c r="C26" s="1361"/>
      <c r="D26" s="1361">
        <v>4.5999999999999996</v>
      </c>
      <c r="E26" s="1361">
        <v>20.599999999999991</v>
      </c>
      <c r="F26" s="1361">
        <v>51.799999999999891</v>
      </c>
      <c r="G26" s="1361">
        <v>54.749999999999886</v>
      </c>
      <c r="H26" s="1361">
        <v>59.049999999999898</v>
      </c>
      <c r="I26" s="1361">
        <v>21.200000000000003</v>
      </c>
      <c r="J26" s="1361">
        <v>211.99999999999966</v>
      </c>
      <c r="K26" s="1325"/>
      <c r="L26" s="676">
        <f t="shared" ref="L26:L29" si="13">B26/12</f>
        <v>0</v>
      </c>
      <c r="M26" s="676">
        <f t="shared" ref="M26:M29" si="14">C26/12</f>
        <v>0</v>
      </c>
      <c r="N26" s="676">
        <f t="shared" ref="N26:N29" si="15">D26/12</f>
        <v>0.3833333333333333</v>
      </c>
      <c r="O26" s="676">
        <f t="shared" ref="O26:O29" si="16">E26/12</f>
        <v>1.7166666666666659</v>
      </c>
      <c r="P26" s="676">
        <f t="shared" ref="P26:P29" si="17">F26/12</f>
        <v>4.3166666666666575</v>
      </c>
      <c r="Q26" s="676">
        <f t="shared" ref="Q26:Q29" si="18">G26/12</f>
        <v>4.5624999999999902</v>
      </c>
      <c r="R26" s="676">
        <f t="shared" si="6"/>
        <v>4.9208333333333245</v>
      </c>
      <c r="S26" s="676">
        <f t="shared" ca="1" si="7"/>
        <v>7.0666666666666673</v>
      </c>
      <c r="T26" s="676"/>
      <c r="U26" s="641"/>
    </row>
    <row r="27" spans="1:21" ht="19.5" customHeight="1" x14ac:dyDescent="0.25">
      <c r="A27" s="1363" t="s">
        <v>174</v>
      </c>
      <c r="B27" s="1361">
        <v>8.49</v>
      </c>
      <c r="C27" s="1361">
        <v>43.47</v>
      </c>
      <c r="D27" s="1361">
        <v>41.47</v>
      </c>
      <c r="E27" s="1361">
        <v>59.99</v>
      </c>
      <c r="F27" s="1361">
        <v>18.48</v>
      </c>
      <c r="G27" s="1361">
        <v>8.49</v>
      </c>
      <c r="H27" s="1361">
        <v>12.49</v>
      </c>
      <c r="I27" s="1361"/>
      <c r="J27" s="1361">
        <v>192.88000000000002</v>
      </c>
      <c r="K27" s="1325"/>
      <c r="L27" s="676">
        <f t="shared" si="13"/>
        <v>0.70750000000000002</v>
      </c>
      <c r="M27" s="676">
        <f t="shared" si="14"/>
        <v>3.6225000000000001</v>
      </c>
      <c r="N27" s="676">
        <f t="shared" si="15"/>
        <v>3.4558333333333331</v>
      </c>
      <c r="O27" s="676">
        <f t="shared" si="16"/>
        <v>4.9991666666666665</v>
      </c>
      <c r="P27" s="676">
        <f t="shared" si="17"/>
        <v>1.54</v>
      </c>
      <c r="Q27" s="676">
        <f t="shared" si="18"/>
        <v>0.70750000000000002</v>
      </c>
      <c r="R27" s="676">
        <f t="shared" si="6"/>
        <v>1.0408333333333333</v>
      </c>
      <c r="S27" s="676">
        <f t="shared" ca="1" si="7"/>
        <v>0</v>
      </c>
      <c r="T27" s="676"/>
      <c r="U27" s="641"/>
    </row>
    <row r="28" spans="1:21" ht="19.5" customHeight="1" x14ac:dyDescent="0.25">
      <c r="A28" s="1360" t="s">
        <v>1042</v>
      </c>
      <c r="B28" s="1358">
        <v>-48.99</v>
      </c>
      <c r="C28" s="1358"/>
      <c r="D28" s="1358">
        <v>-119.65</v>
      </c>
      <c r="E28" s="1358">
        <v>-125.18</v>
      </c>
      <c r="F28" s="1358"/>
      <c r="G28" s="1358"/>
      <c r="H28" s="1358">
        <v>-35.83</v>
      </c>
      <c r="I28" s="1358"/>
      <c r="J28" s="1358">
        <v>-329.65000000000003</v>
      </c>
      <c r="K28" s="1320"/>
      <c r="L28" s="676">
        <f t="shared" si="13"/>
        <v>-4.0825000000000005</v>
      </c>
      <c r="M28" s="676">
        <f t="shared" si="14"/>
        <v>0</v>
      </c>
      <c r="N28" s="676">
        <f t="shared" si="15"/>
        <v>-9.9708333333333332</v>
      </c>
      <c r="O28" s="676">
        <f t="shared" si="16"/>
        <v>-10.431666666666667</v>
      </c>
      <c r="P28" s="676">
        <f t="shared" si="17"/>
        <v>0</v>
      </c>
      <c r="Q28" s="676">
        <f t="shared" si="18"/>
        <v>0</v>
      </c>
      <c r="R28" s="676">
        <f t="shared" si="6"/>
        <v>-2.9858333333333333</v>
      </c>
      <c r="S28" s="676">
        <f t="shared" ca="1" si="7"/>
        <v>0</v>
      </c>
      <c r="T28" s="676"/>
      <c r="U28" s="641"/>
    </row>
    <row r="29" spans="1:21" s="640" customFormat="1" ht="57.75" customHeight="1" x14ac:dyDescent="0.25">
      <c r="A29" s="1360" t="s">
        <v>1178</v>
      </c>
      <c r="B29" s="1359">
        <v>4177.3</v>
      </c>
      <c r="C29" s="1359">
        <v>7273.6500000000015</v>
      </c>
      <c r="D29" s="1359">
        <v>7111.9500000000007</v>
      </c>
      <c r="E29" s="1359">
        <v>5182.1400000000003</v>
      </c>
      <c r="F29" s="1359">
        <v>7368.56</v>
      </c>
      <c r="G29" s="1359">
        <v>10200.700000000003</v>
      </c>
      <c r="H29" s="1359">
        <v>16629.698</v>
      </c>
      <c r="I29" s="1359">
        <v>3649.2359999999994</v>
      </c>
      <c r="J29" s="1359">
        <v>61593.233999999997</v>
      </c>
      <c r="K29" s="1324"/>
      <c r="L29" s="1322">
        <f t="shared" si="13"/>
        <v>348.10833333333335</v>
      </c>
      <c r="M29" s="1322">
        <f t="shared" si="14"/>
        <v>606.13750000000016</v>
      </c>
      <c r="N29" s="1322">
        <f t="shared" si="15"/>
        <v>592.66250000000002</v>
      </c>
      <c r="O29" s="1322">
        <f t="shared" si="16"/>
        <v>431.84500000000003</v>
      </c>
      <c r="P29" s="1322">
        <f t="shared" si="17"/>
        <v>614.04666666666674</v>
      </c>
      <c r="Q29" s="1322">
        <f t="shared" si="18"/>
        <v>850.05833333333351</v>
      </c>
      <c r="R29" s="1322">
        <f>H29/12</f>
        <v>1385.8081666666667</v>
      </c>
      <c r="S29" s="1322">
        <f t="shared" ca="1" si="7"/>
        <v>1216.4119999999998</v>
      </c>
      <c r="U29" s="641"/>
    </row>
    <row r="30" spans="1:21" x14ac:dyDescent="0.25">
      <c r="A30" s="1321"/>
      <c r="B30" s="1320"/>
      <c r="C30" s="1320"/>
      <c r="D30" s="1320"/>
      <c r="E30" s="1320"/>
      <c r="F30" s="1320"/>
      <c r="G30" s="1320"/>
      <c r="H30" s="1320"/>
      <c r="I30" s="1320"/>
      <c r="L30" s="1323"/>
      <c r="M30" s="1323"/>
      <c r="N30" s="1323"/>
      <c r="O30" s="1323"/>
      <c r="P30" s="1323"/>
      <c r="Q30" s="1323"/>
      <c r="R30" s="1323"/>
      <c r="U30" s="640"/>
    </row>
    <row r="31" spans="1:21" x14ac:dyDescent="0.25">
      <c r="A31" s="698" t="s">
        <v>399</v>
      </c>
    </row>
    <row r="32" spans="1:21" x14ac:dyDescent="0.25">
      <c r="A32" s="699" t="s">
        <v>402</v>
      </c>
    </row>
    <row r="33" spans="1:1" x14ac:dyDescent="0.25">
      <c r="A33" s="700" t="s">
        <v>405</v>
      </c>
    </row>
    <row r="34" spans="1:1" x14ac:dyDescent="0.25">
      <c r="A34" s="701" t="s">
        <v>409</v>
      </c>
    </row>
    <row r="35" spans="1:1" x14ac:dyDescent="0.25">
      <c r="A35" s="702" t="s">
        <v>412</v>
      </c>
    </row>
    <row r="36" spans="1:1" x14ac:dyDescent="0.25">
      <c r="A36" s="703" t="s">
        <v>415</v>
      </c>
    </row>
    <row r="37" spans="1:1" x14ac:dyDescent="0.25">
      <c r="A37" s="704" t="s">
        <v>418</v>
      </c>
    </row>
    <row r="38" spans="1:1" x14ac:dyDescent="0.25">
      <c r="A38" s="724" t="s">
        <v>166</v>
      </c>
    </row>
  </sheetData>
  <autoFilter ref="L4:Q4" xr:uid="{DBF17619-369C-45A0-8406-779A11A0C407}"/>
  <conditionalFormatting sqref="A4:XFD4">
    <cfRule type="cellIs" dxfId="59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H13" sqref="H13"/>
    </sheetView>
  </sheetViews>
  <sheetFormatPr defaultRowHeight="15" x14ac:dyDescent="0.25"/>
  <cols>
    <col min="1" max="1" width="39.42578125" bestFit="1" customWidth="1"/>
    <col min="2" max="8" width="13.85546875" customWidth="1"/>
  </cols>
  <sheetData>
    <row r="1" spans="1:8" x14ac:dyDescent="0.25">
      <c r="A1" s="1403" t="s">
        <v>1221</v>
      </c>
      <c r="B1" s="1341">
        <v>2020</v>
      </c>
      <c r="C1" s="1341">
        <v>2021</v>
      </c>
      <c r="D1" s="1341">
        <v>2022</v>
      </c>
      <c r="E1" s="1341">
        <v>2023</v>
      </c>
      <c r="F1" s="1341">
        <v>2024</v>
      </c>
      <c r="G1" s="1341">
        <v>2025</v>
      </c>
      <c r="H1" s="1341">
        <v>2026</v>
      </c>
    </row>
    <row r="2" spans="1:8" x14ac:dyDescent="0.25">
      <c r="A2" s="689" t="s">
        <v>395</v>
      </c>
      <c r="B2" s="1396">
        <f>'SPESE MENSILI MACCHINA'!C15+BILANCIO!K21</f>
        <v>547.38033333333328</v>
      </c>
      <c r="C2" s="1396">
        <f>'SPESE MENSILI MACCHINA'!E15+BILANCIO!D21</f>
        <v>618.42750000000001</v>
      </c>
      <c r="D2" s="1396">
        <f>'SPESE MENSILI MACCHINA'!G15+BILANCIO!E21</f>
        <v>899.86500000000012</v>
      </c>
      <c r="E2" s="1396">
        <f>'SPESE MENSILI MACCHINA'!I15+BILANCIO!F21</f>
        <v>826.04333333333341</v>
      </c>
      <c r="F2" s="1396">
        <f>'SPESE MENSILI MACCHINA'!L15+BILANCIO!G21</f>
        <v>625.55833333333328</v>
      </c>
      <c r="G2" s="1396">
        <f>'SPESE MENSILI MACCHINA'!N15+BILANCIO!H21</f>
        <v>379.24666666666667</v>
      </c>
      <c r="H2" s="1408">
        <f>'SPESE MENSILI MACCHINA'!P15+BILANCIO!I21</f>
        <v>298.55916666666667</v>
      </c>
    </row>
    <row r="3" spans="1:8" x14ac:dyDescent="0.25">
      <c r="A3" s="690" t="s">
        <v>399</v>
      </c>
      <c r="B3" s="1396">
        <f>(BILANCIO!K16+BILANCIO!K22+BILANCIO!K23+'Abbonamenti Mensili'!B18)+('Analisi Spese Generiche Carta'!M10+'Analisi Spese Generiche Carta'!M16+'Analisi Spese Generiche Carta'!M18)</f>
        <v>1471.9941666666666</v>
      </c>
      <c r="C3" s="1396">
        <f>(BILANCIO!L16+BILANCIO!L22+BILANCIO!L23+'Abbonamenti Mensili'!C18)+('Analisi Spese Generiche Carta'!N10+'Analisi Spese Generiche Carta'!N16+'Analisi Spese Generiche Carta'!N18)</f>
        <v>855.13750000000005</v>
      </c>
      <c r="D3" s="1396">
        <f>(BILANCIO!M16+BILANCIO!M22+BILANCIO!M23+'Abbonamenti Mensili'!D18)+('Analisi Spese Generiche Carta'!O10+'Analisi Spese Generiche Carta'!O16+'Analisi Spese Generiche Carta'!O18)</f>
        <v>2571.3241666666668</v>
      </c>
      <c r="E3" s="1396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96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96">
        <f>(BILANCIO!P16+BILANCIO!P22+BILANCIO!P23+'Abbonamenti Mensili'!G18)+('Analisi Spese Generiche Carta'!R10+'Analisi Spese Generiche Carta'!R16+'Analisi Spese Generiche Carta'!R18)</f>
        <v>1186.2358333333332</v>
      </c>
      <c r="H3" s="1408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 x14ac:dyDescent="0.25">
      <c r="A4" s="691" t="s">
        <v>402</v>
      </c>
      <c r="B4" s="1396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96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96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96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96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96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408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 x14ac:dyDescent="0.25">
      <c r="A5" s="692" t="s">
        <v>405</v>
      </c>
      <c r="B5" s="1396">
        <f>('Abbonamenti Mensili'!B7+'Abbonamenti Mensili'!B15)+'Analisi Spese Generiche Carta'!M21+'Analisi Spese Generiche Carta'!M24</f>
        <v>64.022500000000008</v>
      </c>
      <c r="C5" s="1396">
        <f>'Abbonamenti Mensili'!C7+'Abbonamenti Mensili'!C15+'Analisi Spese Generiche Carta'!N21+'Analisi Spese Generiche Carta'!N24</f>
        <v>85.047499999999999</v>
      </c>
      <c r="D5" s="1396">
        <f>'Abbonamenti Mensili'!D7+'Abbonamenti Mensili'!D15+'Analisi Spese Generiche Carta'!O21+'Analisi Spese Generiche Carta'!O24</f>
        <v>56.36333333333333</v>
      </c>
      <c r="E5" s="1396">
        <f>'Abbonamenti Mensili'!E7+'Abbonamenti Mensili'!E15+'Analisi Spese Generiche Carta'!P21+'Analisi Spese Generiche Carta'!P24+'Analisi Spese Generiche Conto'!O6</f>
        <v>83.928333333333342</v>
      </c>
      <c r="F5" s="1396">
        <f>'Abbonamenti Mensili'!F7+'Abbonamenti Mensili'!F15+'Analisi Spese Generiche Carta'!Q21+'Analisi Spese Generiche Carta'!Q24+'Analisi Spese Generiche Conto'!P6</f>
        <v>72.467499999999987</v>
      </c>
      <c r="G5" s="1396">
        <f>'Abbonamenti Mensili'!G7+'Abbonamenti Mensili'!G15+'Analisi Spese Generiche Carta'!R21+'Analisi Spese Generiche Carta'!R24</f>
        <v>80.072499999999991</v>
      </c>
      <c r="H5" s="1408">
        <f ca="1">'Abbonamenti Mensili'!H7+'Abbonamenti Mensili'!H15+'Analisi Spese Generiche Carta'!S21+'Analisi Spese Generiche Carta'!S24</f>
        <v>65.044166666666669</v>
      </c>
    </row>
    <row r="6" spans="1:8" x14ac:dyDescent="0.25">
      <c r="A6" s="693" t="s">
        <v>409</v>
      </c>
      <c r="B6" s="1396">
        <f>'Analisi Spese Generiche Carta'!M7+'Analisi Spese Generiche Carta'!M11</f>
        <v>237.35500000000005</v>
      </c>
      <c r="C6" s="1396">
        <f>'Analisi Spese Generiche Carta'!N7+'Analisi Spese Generiche Carta'!N11</f>
        <v>95.401666666666671</v>
      </c>
      <c r="D6" s="1396">
        <f>'Analisi Spese Generiche Carta'!O7+'Analisi Spese Generiche Carta'!O11</f>
        <v>121.08166666666666</v>
      </c>
      <c r="E6" s="1396">
        <f>'Analisi Spese Generiche Carta'!P7+'Analisi Spese Generiche Carta'!P11+'Analisi Spese Generiche Conto'!O8</f>
        <v>135.33083333333332</v>
      </c>
      <c r="F6" s="1396">
        <f>'Analisi Spese Generiche Carta'!Q7+'Analisi Spese Generiche Carta'!Q11+'Analisi Spese Generiche Conto'!P8</f>
        <v>166.49916666666672</v>
      </c>
      <c r="G6" s="1396">
        <f>'Analisi Spese Generiche Carta'!R7+'Analisi Spese Generiche Carta'!R11+'Analisi Spese Generiche Conto'!Q8</f>
        <v>166.42333333333335</v>
      </c>
      <c r="H6" s="1408">
        <f ca="1">'Analisi Spese Generiche Carta'!S7+'Analisi Spese Generiche Carta'!S11+'Analisi Spese Generiche Conto'!R8</f>
        <v>217.64333333333335</v>
      </c>
    </row>
    <row r="7" spans="1:8" x14ac:dyDescent="0.25">
      <c r="A7" s="694" t="s">
        <v>412</v>
      </c>
      <c r="B7" s="1396">
        <f>'Analisi Spese Generiche Carta'!M8+'Analisi Spese Generiche Carta'!M12</f>
        <v>68.338333333333324</v>
      </c>
      <c r="C7" s="1396">
        <f>'Analisi Spese Generiche Carta'!N8+'Analisi Spese Generiche Carta'!N12</f>
        <v>39.53</v>
      </c>
      <c r="D7" s="1396">
        <f>'Analisi Spese Generiche Carta'!O8+'Analisi Spese Generiche Carta'!O12</f>
        <v>52.33250000000001</v>
      </c>
      <c r="E7" s="1396">
        <f>'Analisi Spese Generiche Carta'!P8+'Analisi Spese Generiche Carta'!P12+'Analisi Spese Generiche Conto'!O9+'Analisi Spese Generiche Conto'!O15</f>
        <v>113.97999999999999</v>
      </c>
      <c r="F7" s="1396">
        <f>'Analisi Spese Generiche Carta'!Q8+'Analisi Spese Generiche Carta'!Q12+'Analisi Spese Generiche Conto'!P9+'Analisi Spese Generiche Conto'!P15</f>
        <v>208.6875</v>
      </c>
      <c r="G7" s="1396">
        <f>'Analisi Spese Generiche Carta'!R8+'Analisi Spese Generiche Carta'!R12+'Analisi Spese Generiche Conto'!Q9+'Analisi Spese Generiche Conto'!Q15</f>
        <v>213.57583333333335</v>
      </c>
      <c r="H7" s="1408">
        <f ca="1">'Analisi Spese Generiche Carta'!S8+'Analisi Spese Generiche Carta'!S12+'Analisi Spese Generiche Conto'!R9+'Analisi Spese Generiche Conto'!R15</f>
        <v>34.666666666666664</v>
      </c>
    </row>
    <row r="8" spans="1:8" x14ac:dyDescent="0.25">
      <c r="A8" s="695" t="s">
        <v>415</v>
      </c>
      <c r="B8" s="1396">
        <f>'Analisi Spese Generiche Carta'!M6+'Analisi Spese Generiche Carta'!M9+'Analisi Spese Generiche Carta'!M15+'Analisi Spese Generiche Carta'!M20+'Analisi Spese Generiche Carta'!M22</f>
        <v>178.4041666666667</v>
      </c>
      <c r="C8" s="1396">
        <f>'Analisi Spese Generiche Carta'!N6+'Analisi Spese Generiche Carta'!N9+'Analisi Spese Generiche Carta'!N15+'Analisi Spese Generiche Carta'!N20+'Analisi Spese Generiche Carta'!N22</f>
        <v>285.0575</v>
      </c>
      <c r="D8" s="1396">
        <f>'Analisi Spese Generiche Carta'!O6+'Analisi Spese Generiche Carta'!O9+'Analisi Spese Generiche Carta'!O15+'Analisi Spese Generiche Carta'!O20+'Analisi Spese Generiche Carta'!O22</f>
        <v>73.240833333333327</v>
      </c>
      <c r="E8" s="1396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96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96">
        <f>'Analisi Spese Generiche Carta'!R6+'Analisi Spese Generiche Carta'!R9+'Analisi Spese Generiche Carta'!R15+'Analisi Spese Generiche Carta'!R20+'Analisi Spese Generiche Carta'!R22</f>
        <v>320.93316666666664</v>
      </c>
      <c r="H8" s="1408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 x14ac:dyDescent="0.25">
      <c r="A9" s="696" t="s">
        <v>418</v>
      </c>
      <c r="B9" s="1396">
        <f>BILANCIO!K24+BILANCIO!K58</f>
        <v>223.33333333333334</v>
      </c>
      <c r="C9" s="1396">
        <f>BILANCIO!L24+BILANCIO!L58</f>
        <v>578.07583333333332</v>
      </c>
      <c r="D9" s="1396">
        <f>BILANCIO!M24+BILANCIO!M58</f>
        <v>515.1491666666667</v>
      </c>
      <c r="E9" s="1396">
        <f>BILANCIO!N24+BILANCIO!N58</f>
        <v>429.16666666666663</v>
      </c>
      <c r="F9" s="1396">
        <f>BILANCIO!O24+BILANCIO!O58</f>
        <v>306.24166666666667</v>
      </c>
      <c r="G9" s="1396">
        <f>BILANCIO!P24+BILANCIO!P58</f>
        <v>284.64285714285711</v>
      </c>
      <c r="H9" s="1408">
        <f>BILANCIO!Q24+BILANCIO!Q58</f>
        <v>72</v>
      </c>
    </row>
    <row r="10" spans="1:8" x14ac:dyDescent="0.25">
      <c r="A10" s="806" t="s">
        <v>166</v>
      </c>
      <c r="B10" s="1396">
        <f>'Analisi Spese Generiche Carta'!M26+BILANCIO!K20+BILANCIO!K52+BILANCIO!K61++BILANCIO!K59</f>
        <v>17.2075</v>
      </c>
      <c r="C10" s="1396">
        <f>'Analisi Spese Generiche Carta'!N26+BILANCIO!L20+BILANCIO!L52+BILANCIO!L61++BILANCIO!L59</f>
        <v>24.465833333333329</v>
      </c>
      <c r="D10" s="1396">
        <f>'Analisi Spese Generiche Carta'!O26+BILANCIO!M20+BILANCIO!M52+BILANCIO!M61++BILANCIO!M59</f>
        <v>28.574166666666663</v>
      </c>
      <c r="E10" s="1396">
        <f>'Analisi Spese Generiche Carta'!P26+BILANCIO!N20+BILANCIO!N52+BILANCIO!N61++BILANCIO!N59+'Analisi Spese Generiche Conto'!O11+'Analisi Spese Generiche Conto'!O15</f>
        <v>45.780833333333327</v>
      </c>
      <c r="F10" s="1396">
        <f>'Analisi Spese Generiche Carta'!Q26+BILANCIO!O20+BILANCIO!O52+BILANCIO!O61++BILANCIO!O59+'Analisi Spese Generiche Conto'!P11+'Analisi Spese Generiche Conto'!P15</f>
        <v>33.027333333333317</v>
      </c>
      <c r="G10" s="1396">
        <f>'Analisi Spese Generiche Carta'!R26+BILANCIO!P20+BILANCIO!P52+BILANCIO!P61++BILANCIO!P59</f>
        <v>21.356249999999989</v>
      </c>
      <c r="H10" s="1408">
        <f ca="1">'Analisi Spese Generiche Carta'!S26+BILANCIO!Q20+BILANCIO!Q52+BILANCIO!Q61++BILANCIO!Q59</f>
        <v>15.916666666666666</v>
      </c>
    </row>
    <row r="11" spans="1:8" x14ac:dyDescent="0.25">
      <c r="A11" s="689" t="s">
        <v>786</v>
      </c>
      <c r="B11" s="1396">
        <f>BILANCIO!K25</f>
        <v>0</v>
      </c>
      <c r="C11" s="1396">
        <f>BILANCIO!L25</f>
        <v>53.20000000000001</v>
      </c>
      <c r="D11" s="1396">
        <f>BILANCIO!M25</f>
        <v>7.6000000000000005</v>
      </c>
      <c r="E11" s="1396">
        <f>BILANCIO!N25</f>
        <v>0</v>
      </c>
      <c r="F11" s="1396">
        <f>BILANCIO!O25</f>
        <v>49.072499999999998</v>
      </c>
      <c r="G11" s="1396">
        <f>BILANCIO!P25</f>
        <v>44.044166666666662</v>
      </c>
      <c r="H11" s="1408">
        <f>BILANCIO!Q25</f>
        <v>134.86666666666667</v>
      </c>
    </row>
    <row r="12" spans="1:8" x14ac:dyDescent="0.25">
      <c r="A12" s="1404" t="s">
        <v>397</v>
      </c>
      <c r="B12" s="1405">
        <f t="shared" ref="B12:H12" si="0">SUM(B2:B11)</f>
        <v>2906.5720000000001</v>
      </c>
      <c r="C12" s="1405">
        <f t="shared" si="0"/>
        <v>2770.0891666666662</v>
      </c>
      <c r="D12" s="1405">
        <f t="shared" si="0"/>
        <v>4499.2825000000003</v>
      </c>
      <c r="E12" s="1405">
        <f t="shared" si="0"/>
        <v>2984.5191666666669</v>
      </c>
      <c r="F12" s="1405">
        <f t="shared" si="0"/>
        <v>3030.4506666666675</v>
      </c>
      <c r="G12" s="1405">
        <f t="shared" si="0"/>
        <v>3061.4947738095234</v>
      </c>
      <c r="H12" s="1409">
        <f t="shared" ca="1" si="0"/>
        <v>2704.9022673696613</v>
      </c>
    </row>
    <row r="13" spans="1:8" x14ac:dyDescent="0.25">
      <c r="A13" s="3" t="s">
        <v>808</v>
      </c>
      <c r="B13" s="1396">
        <f>(BILANCIO!K27+BILANCIO!K31)-B12</f>
        <v>727.26883333333353</v>
      </c>
      <c r="C13" s="1396">
        <f>(BILANCIO!L27+BILANCIO!L31)-C12</f>
        <v>530.68000000000075</v>
      </c>
      <c r="D13" s="1396">
        <f>(BILANCIO!M27+BILANCIO!M31)-D12</f>
        <v>1014.0066666666653</v>
      </c>
      <c r="E13" s="1406">
        <f>(BILANCIO!N27+BILANCIO!N31)-E12</f>
        <v>-285.29166666666652</v>
      </c>
      <c r="F13" s="1406">
        <f>(BILANCIO!O27+BILANCIO!O31)-F12</f>
        <v>-146.80233333333399</v>
      </c>
      <c r="G13" s="1406">
        <f>(BILANCIO!P27+BILANCIO!P31)-G12</f>
        <v>-102.43160714285659</v>
      </c>
      <c r="H13" s="1408">
        <f ca="1">(BILANCIO!Q27+BILANCIO!Q31)-H12</f>
        <v>195.29950000000053</v>
      </c>
    </row>
    <row r="14" spans="1:8" x14ac:dyDescent="0.25">
      <c r="A14" s="3"/>
      <c r="B14" s="1396"/>
      <c r="C14" s="1396"/>
      <c r="D14" s="1396"/>
      <c r="E14" s="1396"/>
      <c r="F14" s="1396"/>
      <c r="G14" s="1396"/>
      <c r="H14" s="1408"/>
    </row>
    <row r="15" spans="1:8" x14ac:dyDescent="0.25">
      <c r="A15" s="3" t="s">
        <v>779</v>
      </c>
      <c r="B15" s="1396">
        <f>BILANCIO!K11</f>
        <v>2223.8333333333335</v>
      </c>
      <c r="C15" s="1396">
        <f>BILANCIO!L11</f>
        <v>2219</v>
      </c>
      <c r="D15" s="1396">
        <f>BILANCIO!M11</f>
        <v>2290.3333333333335</v>
      </c>
      <c r="E15" s="1396">
        <f>BILANCIO!N11</f>
        <v>2289.5</v>
      </c>
      <c r="F15" s="1396">
        <f>BILANCIO!O11</f>
        <v>2508.5833333333335</v>
      </c>
      <c r="G15" s="1396">
        <f>BILANCIO!P11</f>
        <v>2519.5833333333335</v>
      </c>
      <c r="H15" s="1408">
        <f>BILANCIO!Q11</f>
        <v>2494.0833333333335</v>
      </c>
    </row>
    <row r="16" spans="1:8" x14ac:dyDescent="0.25">
      <c r="A16" s="3" t="s">
        <v>780</v>
      </c>
      <c r="B16" s="1396">
        <f>BILANCIO!K28+BILANCIO!K29+BILANCIO!K12</f>
        <v>632.67666666666662</v>
      </c>
      <c r="C16" s="1396">
        <f>BILANCIO!L28+BILANCIO!L29+BILANCIO!L12</f>
        <v>1207.6666666666667</v>
      </c>
      <c r="D16" s="1396">
        <f>BILANCIO!M28+BILANCIO!M29+BILANCIO!M12</f>
        <v>3143.3575000000001</v>
      </c>
      <c r="E16" s="1396">
        <f>BILANCIO!N28+BILANCIO!N29+BILANCIO!N12</f>
        <v>353.97916666666669</v>
      </c>
      <c r="F16" s="1396">
        <f>BILANCIO!O28+BILANCIO!O29+BILANCIO!O12</f>
        <v>814.45749999999998</v>
      </c>
      <c r="G16" s="1396">
        <f>BILANCIO!P28+BILANCIO!P29+BILANCIO!P12</f>
        <v>700.11166666666668</v>
      </c>
      <c r="H16" s="1408">
        <f>BILANCIO!Q28+BILANCIO!Q29+BILANCIO!Q12</f>
        <v>544.25916666666672</v>
      </c>
    </row>
    <row r="17" spans="1:8" x14ac:dyDescent="0.25">
      <c r="A17" s="3" t="s">
        <v>781</v>
      </c>
      <c r="B17" s="1406">
        <f t="shared" ref="B17:H17" si="1">(B15+B16)-(B12+B13)</f>
        <v>-777.33083333333343</v>
      </c>
      <c r="C17" s="1396">
        <f t="shared" si="1"/>
        <v>125.89750000000004</v>
      </c>
      <c r="D17" s="1406">
        <f t="shared" si="1"/>
        <v>-79.598333333331539</v>
      </c>
      <c r="E17" s="1406">
        <f t="shared" si="1"/>
        <v>-55.748333333333903</v>
      </c>
      <c r="F17" s="1396">
        <f t="shared" si="1"/>
        <v>439.39249999999993</v>
      </c>
      <c r="G17" s="1396">
        <f t="shared" si="1"/>
        <v>260.63183333333336</v>
      </c>
      <c r="H17" s="1410">
        <f t="shared" ca="1" si="1"/>
        <v>138.14073263033833</v>
      </c>
    </row>
    <row r="18" spans="1:8" x14ac:dyDescent="0.25">
      <c r="A18" s="3" t="s">
        <v>815</v>
      </c>
      <c r="B18" s="1396">
        <f t="shared" ref="B18:H18" si="2">B15-(B2+B3+B4+B5+B6+B11)</f>
        <v>-195.45533333333333</v>
      </c>
      <c r="C18" s="1396">
        <f t="shared" si="2"/>
        <v>376.03999999999996</v>
      </c>
      <c r="D18" s="1396">
        <f t="shared" si="2"/>
        <v>-1539.6524999999997</v>
      </c>
      <c r="E18" s="1396">
        <f t="shared" si="2"/>
        <v>13.413333333332957</v>
      </c>
      <c r="F18" s="1396">
        <f t="shared" si="2"/>
        <v>234.86166666666622</v>
      </c>
      <c r="G18" s="1396">
        <f t="shared" si="2"/>
        <v>298.59666666666726</v>
      </c>
      <c r="H18" s="1408">
        <f t="shared" ca="1" si="2"/>
        <v>369.26306596367203</v>
      </c>
    </row>
    <row r="19" spans="1:8" x14ac:dyDescent="0.25">
      <c r="A19" s="3" t="s">
        <v>1222</v>
      </c>
      <c r="B19" s="1407">
        <f t="shared" ref="B19:H19" si="3">IFERROR(B17/B15,0)</f>
        <v>-0.34954545454545455</v>
      </c>
      <c r="C19" s="1407">
        <f t="shared" si="3"/>
        <v>5.6736142406489429E-2</v>
      </c>
      <c r="D19" s="1407">
        <f t="shared" si="3"/>
        <v>-3.4754038713432488E-2</v>
      </c>
      <c r="E19" s="1407">
        <f t="shared" si="3"/>
        <v>-2.434956686321638E-2</v>
      </c>
      <c r="F19" s="1407">
        <f t="shared" si="3"/>
        <v>0.17515563232900372</v>
      </c>
      <c r="G19" s="1407">
        <f t="shared" si="3"/>
        <v>0.10344243426492476</v>
      </c>
      <c r="H19" s="1407">
        <f t="shared" ca="1" si="3"/>
        <v>5.5387376509875366E-2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L19" sqref="L19"/>
    </sheetView>
  </sheetViews>
  <sheetFormatPr defaultRowHeight="15" x14ac:dyDescent="0.2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 x14ac:dyDescent="0.25">
      <c r="A4" s="1355" t="s">
        <v>450</v>
      </c>
      <c r="B4" s="1355" t="s">
        <v>451</v>
      </c>
      <c r="C4" s="1356"/>
      <c r="D4" s="1356"/>
      <c r="E4" s="1356"/>
      <c r="F4" s="1356"/>
      <c r="G4" s="1356"/>
      <c r="H4" s="1356"/>
      <c r="I4" s="1356"/>
      <c r="J4" s="1301"/>
      <c r="K4" s="731" t="s">
        <v>454</v>
      </c>
      <c r="L4" s="65"/>
      <c r="M4" s="65"/>
      <c r="N4" s="65"/>
      <c r="O4" s="65"/>
      <c r="P4" s="65"/>
      <c r="Q4" s="65"/>
      <c r="R4" s="65"/>
    </row>
    <row r="5" spans="1:18" x14ac:dyDescent="0.25">
      <c r="A5" s="1355" t="s">
        <v>452</v>
      </c>
      <c r="B5" s="1356">
        <v>2020</v>
      </c>
      <c r="C5" s="1356">
        <v>2021</v>
      </c>
      <c r="D5" s="1356">
        <v>2022</v>
      </c>
      <c r="E5" s="1356">
        <v>2023</v>
      </c>
      <c r="F5" s="1356">
        <v>2024</v>
      </c>
      <c r="G5" s="1356">
        <v>2025</v>
      </c>
      <c r="H5" s="1356">
        <v>2026</v>
      </c>
      <c r="I5" s="1356" t="s">
        <v>1178</v>
      </c>
      <c r="J5" s="1301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 x14ac:dyDescent="0.25">
      <c r="A6" s="1363" t="s">
        <v>174</v>
      </c>
      <c r="B6" s="1358"/>
      <c r="C6" s="1358"/>
      <c r="D6" s="1358"/>
      <c r="E6" s="1358"/>
      <c r="F6" s="1358">
        <v>9.99</v>
      </c>
      <c r="G6" s="1358">
        <v>18.97</v>
      </c>
      <c r="H6" s="1358"/>
      <c r="I6" s="1358">
        <v>28.96</v>
      </c>
      <c r="J6" s="1320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 x14ac:dyDescent="0.25">
      <c r="A7" s="1365" t="s">
        <v>77</v>
      </c>
      <c r="B7" s="1358"/>
      <c r="C7" s="1358"/>
      <c r="D7" s="1358">
        <v>62.04</v>
      </c>
      <c r="E7" s="1358">
        <v>17.13</v>
      </c>
      <c r="F7" s="1358">
        <v>13.7</v>
      </c>
      <c r="G7" s="1358">
        <v>103.91999999999999</v>
      </c>
      <c r="H7" s="1358"/>
      <c r="I7" s="1358">
        <v>196.79</v>
      </c>
      <c r="J7" s="1320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 x14ac:dyDescent="0.25">
      <c r="A8" s="1367" t="s">
        <v>70</v>
      </c>
      <c r="B8" s="1358"/>
      <c r="C8" s="1358"/>
      <c r="D8" s="1358"/>
      <c r="E8" s="1358"/>
      <c r="F8" s="1358">
        <v>60.28</v>
      </c>
      <c r="G8" s="1358">
        <v>76.39</v>
      </c>
      <c r="H8" s="1358"/>
      <c r="I8" s="1358">
        <v>136.67000000000002</v>
      </c>
      <c r="J8" s="1320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 x14ac:dyDescent="0.25">
      <c r="A9" s="1366" t="s">
        <v>111</v>
      </c>
      <c r="B9" s="1358"/>
      <c r="C9" s="1358"/>
      <c r="D9" s="1358"/>
      <c r="E9" s="1358"/>
      <c r="F9" s="1358">
        <v>125.2</v>
      </c>
      <c r="G9" s="1358"/>
      <c r="H9" s="1358"/>
      <c r="I9" s="1358">
        <v>125.2</v>
      </c>
      <c r="J9" s="1320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 x14ac:dyDescent="0.25">
      <c r="A10" s="1369" t="s">
        <v>93</v>
      </c>
      <c r="B10" s="1358">
        <v>240</v>
      </c>
      <c r="C10" s="1358">
        <v>40</v>
      </c>
      <c r="D10" s="1358"/>
      <c r="E10" s="1358"/>
      <c r="F10" s="1358">
        <v>203</v>
      </c>
      <c r="G10" s="1358">
        <v>602.70000000000005</v>
      </c>
      <c r="H10" s="1358"/>
      <c r="I10" s="1358">
        <v>1085.7</v>
      </c>
      <c r="J10" s="1320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 x14ac:dyDescent="0.25">
      <c r="A11" s="1364" t="s">
        <v>375</v>
      </c>
      <c r="B11" s="1358">
        <v>48.5</v>
      </c>
      <c r="C11" s="1358">
        <v>250</v>
      </c>
      <c r="D11" s="1358"/>
      <c r="E11" s="1358">
        <v>171.8</v>
      </c>
      <c r="F11" s="1358"/>
      <c r="G11" s="1358">
        <v>26.34</v>
      </c>
      <c r="H11" s="1358"/>
      <c r="I11" s="1358">
        <v>496.64</v>
      </c>
      <c r="J11" s="1320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 x14ac:dyDescent="0.25">
      <c r="A12" s="1368" t="s">
        <v>81</v>
      </c>
      <c r="B12" s="1358">
        <v>11003</v>
      </c>
      <c r="C12" s="1358">
        <v>1188.5</v>
      </c>
      <c r="D12" s="1358">
        <v>19104.39</v>
      </c>
      <c r="E12" s="1358"/>
      <c r="F12" s="1358">
        <v>29.49</v>
      </c>
      <c r="G12" s="1358">
        <v>334.62</v>
      </c>
      <c r="H12" s="1358"/>
      <c r="I12" s="1358">
        <v>31660</v>
      </c>
      <c r="J12" s="1320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 x14ac:dyDescent="0.25">
      <c r="A13" s="1362" t="s">
        <v>74</v>
      </c>
      <c r="B13" s="1358"/>
      <c r="C13" s="1358"/>
      <c r="D13" s="1358">
        <v>470</v>
      </c>
      <c r="E13" s="1358">
        <v>770.02</v>
      </c>
      <c r="F13" s="1358">
        <v>638.09999999999991</v>
      </c>
      <c r="G13" s="1358"/>
      <c r="H13" s="1358"/>
      <c r="I13" s="1358">
        <v>1878.12</v>
      </c>
      <c r="J13" s="1320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 x14ac:dyDescent="0.25">
      <c r="A14" s="1364" t="s">
        <v>166</v>
      </c>
      <c r="B14" s="1358"/>
      <c r="C14" s="1358"/>
      <c r="D14" s="1358">
        <v>464.6</v>
      </c>
      <c r="E14" s="1358">
        <v>695.13000000000011</v>
      </c>
      <c r="F14" s="1358">
        <v>965.72</v>
      </c>
      <c r="G14" s="1358">
        <v>216.94</v>
      </c>
      <c r="H14" s="1358">
        <v>139.24</v>
      </c>
      <c r="I14" s="1358">
        <v>2481.63</v>
      </c>
      <c r="J14" s="1320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 x14ac:dyDescent="0.25">
      <c r="A15" s="1366" t="s">
        <v>91</v>
      </c>
      <c r="B15" s="1358"/>
      <c r="C15" s="1358"/>
      <c r="D15" s="1358"/>
      <c r="E15" s="1358"/>
      <c r="F15" s="1358">
        <v>78.5</v>
      </c>
      <c r="G15" s="1358">
        <v>350.23</v>
      </c>
      <c r="H15" s="1358"/>
      <c r="I15" s="1358">
        <v>428.73</v>
      </c>
      <c r="J15" s="1320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 x14ac:dyDescent="0.25">
      <c r="A16" s="1369" t="s">
        <v>137</v>
      </c>
      <c r="B16" s="1358"/>
      <c r="C16" s="1358"/>
      <c r="D16" s="1358"/>
      <c r="E16" s="1358">
        <v>19</v>
      </c>
      <c r="F16" s="1358">
        <v>441.56999999999994</v>
      </c>
      <c r="G16" s="1358">
        <v>4.75</v>
      </c>
      <c r="H16" s="1358"/>
      <c r="I16" s="1358">
        <v>465.31999999999994</v>
      </c>
      <c r="J16" s="1320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 x14ac:dyDescent="0.25">
      <c r="A17" s="1360" t="s">
        <v>69</v>
      </c>
      <c r="B17" s="1358"/>
      <c r="C17" s="1358"/>
      <c r="D17" s="1358"/>
      <c r="E17" s="1358"/>
      <c r="F17" s="1358">
        <v>41.3</v>
      </c>
      <c r="G17" s="1358">
        <v>387.4</v>
      </c>
      <c r="H17" s="1358">
        <v>225.2</v>
      </c>
      <c r="I17" s="1358">
        <v>653.9</v>
      </c>
      <c r="J17" s="1320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 x14ac:dyDescent="0.25">
      <c r="A18" s="1360" t="s">
        <v>741</v>
      </c>
      <c r="B18" s="1358"/>
      <c r="C18" s="1358"/>
      <c r="D18" s="1358"/>
      <c r="E18" s="1358"/>
      <c r="F18" s="1358">
        <v>0</v>
      </c>
      <c r="G18" s="1358"/>
      <c r="H18" s="1358"/>
      <c r="I18" s="1358">
        <v>0</v>
      </c>
      <c r="J18" s="1320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 x14ac:dyDescent="0.25">
      <c r="A19" s="1357" t="s">
        <v>1178</v>
      </c>
      <c r="B19" s="1358">
        <v>11291.5</v>
      </c>
      <c r="C19" s="1358">
        <v>1478.5</v>
      </c>
      <c r="D19" s="1358">
        <v>20101.03</v>
      </c>
      <c r="E19" s="1358">
        <v>1673.0800000000002</v>
      </c>
      <c r="F19" s="1358">
        <v>2606.8500000000004</v>
      </c>
      <c r="G19" s="1358">
        <v>2122.2600000000002</v>
      </c>
      <c r="H19" s="1358">
        <v>364.44</v>
      </c>
      <c r="I19" s="1358">
        <v>39637.660000000003</v>
      </c>
      <c r="J19" s="1320"/>
      <c r="K19" s="639"/>
      <c r="L19" s="639"/>
      <c r="M19" s="639">
        <f t="shared" ref="M19:R19" si="3">C19/12</f>
        <v>123.20833333333333</v>
      </c>
      <c r="N19" s="639">
        <f t="shared" si="3"/>
        <v>1675.0858333333333</v>
      </c>
      <c r="O19" s="639">
        <f t="shared" si="3"/>
        <v>139.42333333333335</v>
      </c>
      <c r="P19" s="639">
        <f t="shared" si="3"/>
        <v>217.23750000000004</v>
      </c>
      <c r="Q19" s="639">
        <f t="shared" si="3"/>
        <v>176.85500000000002</v>
      </c>
      <c r="R19" s="639">
        <f t="shared" si="3"/>
        <v>30.37</v>
      </c>
    </row>
    <row r="20" spans="1:18" x14ac:dyDescent="0.25">
      <c r="A20" s="697" t="s">
        <v>395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 x14ac:dyDescent="0.25">
      <c r="A21" s="698" t="s">
        <v>399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 x14ac:dyDescent="0.25">
      <c r="A22" s="699" t="s">
        <v>402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 x14ac:dyDescent="0.25">
      <c r="A23" s="700" t="s">
        <v>405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 x14ac:dyDescent="0.25">
      <c r="A24" s="701" t="s">
        <v>409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 x14ac:dyDescent="0.25">
      <c r="A25" s="702" t="s">
        <v>412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 x14ac:dyDescent="0.25">
      <c r="A26" s="703" t="s">
        <v>415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 x14ac:dyDescent="0.25">
      <c r="A27" s="704" t="s">
        <v>418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 x14ac:dyDescent="0.25">
      <c r="A28" s="724" t="s">
        <v>166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58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409" activePane="bottomLeft" state="frozen"/>
      <selection pane="bottomLeft" activeCell="F415" sqref="F415"/>
    </sheetView>
  </sheetViews>
  <sheetFormatPr defaultColWidth="9.140625" defaultRowHeight="15" x14ac:dyDescent="0.2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 x14ac:dyDescent="0.25">
      <c r="A1"/>
      <c r="B1"/>
    </row>
    <row r="2" spans="1:48" x14ac:dyDescent="0.25">
      <c r="A2"/>
      <c r="B2"/>
      <c r="C2"/>
      <c r="D2"/>
      <c r="E2"/>
      <c r="F2"/>
      <c r="G2"/>
      <c r="H2"/>
      <c r="I2"/>
    </row>
    <row r="3" spans="1:48" x14ac:dyDescent="0.25">
      <c r="A3" s="1355" t="s">
        <v>450</v>
      </c>
      <c r="B3" s="1355" t="s">
        <v>451</v>
      </c>
      <c r="C3" s="1356"/>
      <c r="D3" s="1356"/>
      <c r="E3" s="1356"/>
      <c r="F3" s="1356"/>
      <c r="G3" s="1356"/>
      <c r="H3" s="1356"/>
      <c r="I3" s="1356"/>
      <c r="J3" s="1356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x14ac:dyDescent="0.25">
      <c r="A4" s="1355" t="s">
        <v>452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x14ac:dyDescent="0.25">
      <c r="A5" s="1357" t="s">
        <v>108</v>
      </c>
      <c r="B5" s="1358">
        <v>629.2399999999999</v>
      </c>
      <c r="C5" s="1358">
        <v>1786.8600000000001</v>
      </c>
      <c r="D5" s="1358">
        <v>2016.7900000000002</v>
      </c>
      <c r="E5" s="1358">
        <v>643.92000000000019</v>
      </c>
      <c r="F5" s="1358">
        <v>857.57000000000016</v>
      </c>
      <c r="G5" s="1358">
        <v>1108.7199999999998</v>
      </c>
      <c r="H5" s="1358">
        <v>2288.8980000000001</v>
      </c>
      <c r="I5" s="1358">
        <v>867.43599999999981</v>
      </c>
      <c r="J5" s="1358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x14ac:dyDescent="0.25">
      <c r="A6" s="1357" t="s">
        <v>110</v>
      </c>
      <c r="B6" s="1358">
        <v>334.04</v>
      </c>
      <c r="C6" s="1358">
        <v>689</v>
      </c>
      <c r="D6" s="1358">
        <v>341.27</v>
      </c>
      <c r="E6" s="1358"/>
      <c r="F6" s="1358">
        <v>350.78</v>
      </c>
      <c r="G6" s="1358">
        <v>1453.52</v>
      </c>
      <c r="H6" s="1358">
        <v>1951.1100000000001</v>
      </c>
      <c r="I6" s="1358"/>
      <c r="J6" s="1358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x14ac:dyDescent="0.25">
      <c r="A7" s="1357" t="s">
        <v>164</v>
      </c>
      <c r="B7" s="1358">
        <v>364.02</v>
      </c>
      <c r="C7" s="1358">
        <v>1456.42</v>
      </c>
      <c r="D7" s="1358">
        <v>696.93999999999994</v>
      </c>
      <c r="E7" s="1358">
        <v>367.65999999999997</v>
      </c>
      <c r="F7" s="1358"/>
      <c r="G7" s="1358">
        <v>64.56</v>
      </c>
      <c r="H7" s="1358">
        <v>155.93</v>
      </c>
      <c r="I7" s="1358">
        <v>3.65</v>
      </c>
      <c r="J7" s="1358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x14ac:dyDescent="0.25">
      <c r="A8" s="1357" t="s">
        <v>171</v>
      </c>
      <c r="B8" s="1358">
        <v>175.3</v>
      </c>
      <c r="C8" s="1358">
        <v>68.3</v>
      </c>
      <c r="D8" s="1358">
        <v>227.5</v>
      </c>
      <c r="E8" s="1358">
        <v>123.5</v>
      </c>
      <c r="F8" s="1358">
        <v>204.7</v>
      </c>
      <c r="G8" s="1358">
        <v>180.10999999999999</v>
      </c>
      <c r="H8" s="1358">
        <v>802.15</v>
      </c>
      <c r="I8" s="1358">
        <v>185.9</v>
      </c>
      <c r="J8" s="1358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x14ac:dyDescent="0.25">
      <c r="A9" s="1357" t="s">
        <v>76</v>
      </c>
      <c r="B9" s="1358"/>
      <c r="C9" s="1358"/>
      <c r="D9" s="1358"/>
      <c r="E9" s="1358">
        <v>334.79999999999995</v>
      </c>
      <c r="F9" s="1358">
        <v>758.95999999999992</v>
      </c>
      <c r="G9" s="1358">
        <v>293.07</v>
      </c>
      <c r="H9" s="1358">
        <v>368.05</v>
      </c>
      <c r="I9" s="1358">
        <v>43.660000000000004</v>
      </c>
      <c r="J9" s="1358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x14ac:dyDescent="0.25">
      <c r="A10" s="1357" t="s">
        <v>67</v>
      </c>
      <c r="B10" s="1358">
        <v>32</v>
      </c>
      <c r="C10" s="1358">
        <v>96.600000000000009</v>
      </c>
      <c r="D10" s="1358">
        <v>144.99999999999994</v>
      </c>
      <c r="E10" s="1358">
        <v>151.4</v>
      </c>
      <c r="F10" s="1358">
        <v>211.8</v>
      </c>
      <c r="G10" s="1358">
        <v>334.9</v>
      </c>
      <c r="H10" s="1358">
        <v>681.5</v>
      </c>
      <c r="I10" s="1358">
        <v>128.5</v>
      </c>
      <c r="J10" s="1358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x14ac:dyDescent="0.25">
      <c r="A11" s="1357" t="s">
        <v>173</v>
      </c>
      <c r="B11" s="1358"/>
      <c r="C11" s="1358"/>
      <c r="D11" s="1358"/>
      <c r="E11" s="1358"/>
      <c r="F11" s="1358"/>
      <c r="G11" s="1358">
        <v>6.99</v>
      </c>
      <c r="H11" s="1358">
        <v>1155</v>
      </c>
      <c r="I11" s="1358">
        <v>514.83999999999992</v>
      </c>
      <c r="J11" s="1358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x14ac:dyDescent="0.25">
      <c r="A12" s="1357" t="s">
        <v>998</v>
      </c>
      <c r="B12" s="1358"/>
      <c r="C12" s="1358"/>
      <c r="D12" s="1358">
        <v>26.59</v>
      </c>
      <c r="E12" s="1358">
        <v>350.10999999999996</v>
      </c>
      <c r="F12" s="1358">
        <v>426.07999999999993</v>
      </c>
      <c r="G12" s="1358">
        <v>682.85000000000014</v>
      </c>
      <c r="H12" s="1358">
        <v>76.38</v>
      </c>
      <c r="I12" s="1358"/>
      <c r="J12" s="1358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x14ac:dyDescent="0.25">
      <c r="A13" s="1357" t="s">
        <v>83</v>
      </c>
      <c r="B13" s="1358"/>
      <c r="C13" s="1358"/>
      <c r="D13" s="1358">
        <v>125.28</v>
      </c>
      <c r="E13" s="1358">
        <v>117.22999999999998</v>
      </c>
      <c r="F13" s="1358">
        <v>222.88000000000002</v>
      </c>
      <c r="G13" s="1358">
        <v>386.78</v>
      </c>
      <c r="H13" s="1358">
        <v>422.29999999999995</v>
      </c>
      <c r="I13" s="1358">
        <v>204.94</v>
      </c>
      <c r="J13" s="1358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x14ac:dyDescent="0.25">
      <c r="A14" s="1357" t="s">
        <v>79</v>
      </c>
      <c r="B14" s="1358"/>
      <c r="C14" s="1358">
        <v>36.89</v>
      </c>
      <c r="D14" s="1358">
        <v>163.22999999999999</v>
      </c>
      <c r="E14" s="1358">
        <v>184.98999999999998</v>
      </c>
      <c r="F14" s="1358">
        <v>266.13</v>
      </c>
      <c r="G14" s="1358">
        <v>304.64000000000004</v>
      </c>
      <c r="H14" s="1358">
        <v>345.96999999999997</v>
      </c>
      <c r="I14" s="1358">
        <v>75.33</v>
      </c>
      <c r="J14" s="1358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x14ac:dyDescent="0.25">
      <c r="A15" s="1357" t="s">
        <v>129</v>
      </c>
      <c r="B15" s="1358">
        <v>20.149999999999999</v>
      </c>
      <c r="C15" s="1358"/>
      <c r="D15" s="1358"/>
      <c r="E15" s="1358"/>
      <c r="F15" s="1358"/>
      <c r="G15" s="1358">
        <v>470.43</v>
      </c>
      <c r="H15" s="1358">
        <v>586.55999999999995</v>
      </c>
      <c r="I15" s="1358"/>
      <c r="J15" s="1358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x14ac:dyDescent="0.25">
      <c r="A16" s="1357" t="s">
        <v>111</v>
      </c>
      <c r="B16" s="1358">
        <v>790.03</v>
      </c>
      <c r="C16" s="1358"/>
      <c r="D16" s="1358"/>
      <c r="E16" s="1358"/>
      <c r="F16" s="1358"/>
      <c r="G16" s="1358"/>
      <c r="H16" s="1358"/>
      <c r="I16" s="1358"/>
      <c r="J16" s="1358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x14ac:dyDescent="0.25">
      <c r="A17" s="1357" t="s">
        <v>278</v>
      </c>
      <c r="B17" s="1358"/>
      <c r="C17" s="1358">
        <v>354</v>
      </c>
      <c r="D17" s="1358">
        <v>243</v>
      </c>
      <c r="E17" s="1358">
        <v>132</v>
      </c>
      <c r="F17" s="1358"/>
      <c r="G17" s="1358"/>
      <c r="H17" s="1358"/>
      <c r="I17" s="1358"/>
      <c r="J17" s="1358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x14ac:dyDescent="0.25">
      <c r="A18" s="1357" t="s">
        <v>136</v>
      </c>
      <c r="B18" s="1358">
        <v>44.95</v>
      </c>
      <c r="C18" s="1358">
        <v>243.56</v>
      </c>
      <c r="D18" s="1358">
        <v>89.9</v>
      </c>
      <c r="E18" s="1358"/>
      <c r="F18" s="1358"/>
      <c r="G18" s="1358">
        <v>149.75</v>
      </c>
      <c r="H18" s="1358">
        <v>102.77</v>
      </c>
      <c r="I18" s="1358">
        <v>59.8</v>
      </c>
      <c r="J18" s="1358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x14ac:dyDescent="0.25">
      <c r="A19" s="1357" t="s">
        <v>877</v>
      </c>
      <c r="B19" s="1358"/>
      <c r="C19" s="1358"/>
      <c r="D19" s="1358"/>
      <c r="E19" s="1358"/>
      <c r="F19" s="1358"/>
      <c r="G19" s="1358"/>
      <c r="H19" s="1358">
        <v>646.91</v>
      </c>
      <c r="I19" s="1358"/>
      <c r="J19" s="1358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x14ac:dyDescent="0.25">
      <c r="A20" s="1357" t="s">
        <v>280</v>
      </c>
      <c r="B20" s="1358"/>
      <c r="C20" s="1358">
        <v>503.33</v>
      </c>
      <c r="D20" s="1358"/>
      <c r="E20" s="1358">
        <v>121.5</v>
      </c>
      <c r="F20" s="1358"/>
      <c r="G20" s="1358"/>
      <c r="H20" s="1358"/>
      <c r="I20" s="1358"/>
      <c r="J20" s="1358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x14ac:dyDescent="0.25">
      <c r="A21" s="1357" t="s">
        <v>138</v>
      </c>
      <c r="B21" s="1358"/>
      <c r="C21" s="1358"/>
      <c r="D21" s="1358"/>
      <c r="E21" s="1358"/>
      <c r="F21" s="1358">
        <v>22</v>
      </c>
      <c r="G21" s="1358">
        <v>136.5</v>
      </c>
      <c r="H21" s="1358">
        <v>361</v>
      </c>
      <c r="I21" s="1358">
        <v>96</v>
      </c>
      <c r="J21" s="1358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x14ac:dyDescent="0.25">
      <c r="A22" s="1357" t="s">
        <v>140</v>
      </c>
      <c r="B22" s="1358"/>
      <c r="C22" s="1358">
        <v>119.4</v>
      </c>
      <c r="D22" s="1358"/>
      <c r="E22" s="1358">
        <v>88.2</v>
      </c>
      <c r="F22" s="1358">
        <v>126.99000000000001</v>
      </c>
      <c r="G22" s="1358">
        <v>196.78</v>
      </c>
      <c r="H22" s="1358">
        <v>78.400000000000006</v>
      </c>
      <c r="I22" s="1358"/>
      <c r="J22" s="1358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x14ac:dyDescent="0.25">
      <c r="A23" s="1357" t="s">
        <v>113</v>
      </c>
      <c r="B23" s="1358"/>
      <c r="C23" s="1358"/>
      <c r="D23" s="1358"/>
      <c r="E23" s="1358">
        <v>33</v>
      </c>
      <c r="F23" s="1358">
        <v>198</v>
      </c>
      <c r="G23" s="1358">
        <v>198</v>
      </c>
      <c r="H23" s="1358">
        <v>99</v>
      </c>
      <c r="I23" s="1358">
        <v>66</v>
      </c>
      <c r="J23" s="1358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x14ac:dyDescent="0.25">
      <c r="A24" s="1357" t="s">
        <v>289</v>
      </c>
      <c r="B24" s="1358"/>
      <c r="C24" s="1358"/>
      <c r="D24" s="1358">
        <v>199.24</v>
      </c>
      <c r="E24" s="1358">
        <v>90.47999999999999</v>
      </c>
      <c r="F24" s="1358"/>
      <c r="G24" s="1358"/>
      <c r="H24" s="1358">
        <v>293.74</v>
      </c>
      <c r="I24" s="1358"/>
      <c r="J24" s="1358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x14ac:dyDescent="0.25">
      <c r="A25" s="1357" t="s">
        <v>71</v>
      </c>
      <c r="B25" s="1358"/>
      <c r="C25" s="1358"/>
      <c r="D25" s="1358"/>
      <c r="E25" s="1358">
        <v>310</v>
      </c>
      <c r="F25" s="1358"/>
      <c r="G25" s="1358">
        <v>260</v>
      </c>
      <c r="H25" s="1358"/>
      <c r="I25" s="1358"/>
      <c r="J25" s="1358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x14ac:dyDescent="0.25">
      <c r="A26" s="1357" t="s">
        <v>122</v>
      </c>
      <c r="B26" s="1358"/>
      <c r="C26" s="1358"/>
      <c r="D26" s="1358"/>
      <c r="E26" s="1358">
        <v>51.32</v>
      </c>
      <c r="F26" s="1358"/>
      <c r="G26" s="1358">
        <v>161.51</v>
      </c>
      <c r="H26" s="1358">
        <v>267.8</v>
      </c>
      <c r="I26" s="1358">
        <v>71.37</v>
      </c>
      <c r="J26" s="1358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 x14ac:dyDescent="0.25">
      <c r="A27" s="1357" t="s">
        <v>329</v>
      </c>
      <c r="B27" s="1358"/>
      <c r="C27" s="1358">
        <v>119.99000000000001</v>
      </c>
      <c r="D27" s="1358">
        <v>54.99</v>
      </c>
      <c r="E27" s="1358"/>
      <c r="F27" s="1358">
        <v>142.43</v>
      </c>
      <c r="G27" s="1358">
        <v>103.99</v>
      </c>
      <c r="H27" s="1358">
        <v>53.33</v>
      </c>
      <c r="I27" s="1358"/>
      <c r="J27" s="1358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 x14ac:dyDescent="0.25">
      <c r="A28" s="1357" t="s">
        <v>154</v>
      </c>
      <c r="B28" s="1358"/>
      <c r="C28" s="1358"/>
      <c r="D28" s="1358">
        <v>121.66</v>
      </c>
      <c r="E28" s="1358">
        <v>102.80000000000001</v>
      </c>
      <c r="F28" s="1358">
        <v>30.299999999999997</v>
      </c>
      <c r="G28" s="1358">
        <v>46.5</v>
      </c>
      <c r="H28" s="1358">
        <v>60.499999999999993</v>
      </c>
      <c r="I28" s="1358">
        <v>24.4</v>
      </c>
      <c r="J28" s="1358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 x14ac:dyDescent="0.25">
      <c r="A29" s="1357" t="s">
        <v>230</v>
      </c>
      <c r="B29" s="1358"/>
      <c r="C29" s="1358"/>
      <c r="D29" s="1358"/>
      <c r="E29" s="1358"/>
      <c r="F29" s="1358">
        <v>380</v>
      </c>
      <c r="G29" s="1358"/>
      <c r="H29" s="1358"/>
      <c r="I29" s="1358"/>
      <c r="J29" s="1358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 x14ac:dyDescent="0.25">
      <c r="A30" s="1357" t="s">
        <v>370</v>
      </c>
      <c r="B30" s="1358"/>
      <c r="C30" s="1358"/>
      <c r="D30" s="1358"/>
      <c r="E30" s="1358"/>
      <c r="F30" s="1358"/>
      <c r="G30" s="1358"/>
      <c r="H30" s="1358">
        <v>370</v>
      </c>
      <c r="I30" s="1358"/>
      <c r="J30" s="1358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 x14ac:dyDescent="0.25">
      <c r="A31" s="1357" t="s">
        <v>139</v>
      </c>
      <c r="B31" s="1358"/>
      <c r="C31" s="1358">
        <v>126</v>
      </c>
      <c r="D31" s="1358"/>
      <c r="E31" s="1358">
        <v>64.7</v>
      </c>
      <c r="F31" s="1358">
        <v>66.8</v>
      </c>
      <c r="G31" s="1358">
        <v>71</v>
      </c>
      <c r="H31" s="1358">
        <v>33.9</v>
      </c>
      <c r="I31" s="1358"/>
      <c r="J31" s="1358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 x14ac:dyDescent="0.25">
      <c r="A32" s="1357" t="s">
        <v>356</v>
      </c>
      <c r="B32" s="1358">
        <v>343.29</v>
      </c>
      <c r="C32" s="1358"/>
      <c r="D32" s="1358"/>
      <c r="E32" s="1358"/>
      <c r="F32" s="1358"/>
      <c r="G32" s="1358"/>
      <c r="H32" s="1358"/>
      <c r="I32" s="1358"/>
      <c r="J32" s="1358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x14ac:dyDescent="0.25">
      <c r="A33" s="1357" t="s">
        <v>224</v>
      </c>
      <c r="B33" s="1358"/>
      <c r="C33" s="1358"/>
      <c r="D33" s="1358"/>
      <c r="E33" s="1358"/>
      <c r="F33" s="1358">
        <v>322</v>
      </c>
      <c r="G33" s="1358"/>
      <c r="H33" s="1358"/>
      <c r="I33" s="1358"/>
      <c r="J33" s="1358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 x14ac:dyDescent="0.25">
      <c r="A34" s="1357" t="s">
        <v>73</v>
      </c>
      <c r="B34" s="1358"/>
      <c r="C34" s="1358"/>
      <c r="D34" s="1358">
        <v>32</v>
      </c>
      <c r="E34" s="1358">
        <v>75</v>
      </c>
      <c r="F34" s="1358"/>
      <c r="G34" s="1358">
        <v>92</v>
      </c>
      <c r="H34" s="1358">
        <v>46</v>
      </c>
      <c r="I34" s="1358">
        <v>47</v>
      </c>
      <c r="J34" s="1358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 x14ac:dyDescent="0.25">
      <c r="A35" s="1357" t="s">
        <v>234</v>
      </c>
      <c r="B35" s="1358">
        <v>40.24</v>
      </c>
      <c r="C35" s="1358">
        <v>148.19</v>
      </c>
      <c r="D35" s="1358"/>
      <c r="E35" s="1358"/>
      <c r="F35" s="1358">
        <v>30.88</v>
      </c>
      <c r="G35" s="1358"/>
      <c r="H35" s="1358">
        <v>48.99</v>
      </c>
      <c r="I35" s="1358"/>
      <c r="J35" s="1358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 x14ac:dyDescent="0.25">
      <c r="A36" s="1357" t="s">
        <v>1056</v>
      </c>
      <c r="B36" s="1358">
        <v>170.58</v>
      </c>
      <c r="C36" s="1358">
        <v>8.49</v>
      </c>
      <c r="D36" s="1358">
        <v>15.07</v>
      </c>
      <c r="E36" s="1358">
        <v>64.88</v>
      </c>
      <c r="F36" s="1358"/>
      <c r="G36" s="1358"/>
      <c r="H36" s="1358">
        <v>1.89</v>
      </c>
      <c r="I36" s="1358"/>
      <c r="J36" s="1358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 x14ac:dyDescent="0.25">
      <c r="A37" s="1357" t="s">
        <v>78</v>
      </c>
      <c r="B37" s="1358"/>
      <c r="C37" s="1358"/>
      <c r="D37" s="1358"/>
      <c r="E37" s="1358">
        <v>12.49</v>
      </c>
      <c r="F37" s="1358"/>
      <c r="G37" s="1358">
        <v>216.98</v>
      </c>
      <c r="H37" s="1358">
        <v>26.05</v>
      </c>
      <c r="I37" s="1358"/>
      <c r="J37" s="1358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 x14ac:dyDescent="0.25">
      <c r="A38" s="1357" t="s">
        <v>222</v>
      </c>
      <c r="B38" s="1358"/>
      <c r="C38" s="1358"/>
      <c r="D38" s="1358"/>
      <c r="E38" s="1358"/>
      <c r="F38" s="1358">
        <v>238.9</v>
      </c>
      <c r="G38" s="1358"/>
      <c r="H38" s="1358"/>
      <c r="I38" s="1358"/>
      <c r="J38" s="1358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 x14ac:dyDescent="0.25">
      <c r="A39" s="1357" t="s">
        <v>221</v>
      </c>
      <c r="B39" s="1358">
        <v>14.5</v>
      </c>
      <c r="C39" s="1358"/>
      <c r="D39" s="1358"/>
      <c r="E39" s="1358"/>
      <c r="F39" s="1358">
        <v>70</v>
      </c>
      <c r="G39" s="1358">
        <v>89</v>
      </c>
      <c r="H39" s="1358"/>
      <c r="I39" s="1358">
        <v>65</v>
      </c>
      <c r="J39" s="1358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 x14ac:dyDescent="0.25">
      <c r="A40" s="1357" t="s">
        <v>120</v>
      </c>
      <c r="B40" s="1358"/>
      <c r="C40" s="1358"/>
      <c r="D40" s="1358"/>
      <c r="E40" s="1358">
        <v>36.79</v>
      </c>
      <c r="F40" s="1358">
        <v>114.4</v>
      </c>
      <c r="G40" s="1358">
        <v>80.990000000000009</v>
      </c>
      <c r="H40" s="1358"/>
      <c r="I40" s="1358"/>
      <c r="J40" s="1358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 x14ac:dyDescent="0.25">
      <c r="A41" s="1357" t="s">
        <v>86</v>
      </c>
      <c r="B41" s="1358"/>
      <c r="C41" s="1358"/>
      <c r="D41" s="1358">
        <v>20</v>
      </c>
      <c r="E41" s="1358">
        <v>8</v>
      </c>
      <c r="F41" s="1358">
        <v>110</v>
      </c>
      <c r="G41" s="1358">
        <v>48</v>
      </c>
      <c r="H41" s="1358">
        <v>45</v>
      </c>
      <c r="I41" s="1358"/>
      <c r="J41" s="1358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357" t="s">
        <v>298</v>
      </c>
      <c r="B42" s="1358"/>
      <c r="C42" s="1358"/>
      <c r="D42" s="1358">
        <v>91.73</v>
      </c>
      <c r="E42" s="1358">
        <v>127.4</v>
      </c>
      <c r="F42" s="1358"/>
      <c r="G42" s="1358"/>
      <c r="H42" s="1358">
        <v>9.99</v>
      </c>
      <c r="I42" s="1358"/>
      <c r="J42" s="1358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357" t="s">
        <v>347</v>
      </c>
      <c r="B43" s="1358"/>
      <c r="C43" s="1358">
        <v>229.01</v>
      </c>
      <c r="D43" s="1358"/>
      <c r="E43" s="1358"/>
      <c r="F43" s="1358"/>
      <c r="G43" s="1358"/>
      <c r="H43" s="1358"/>
      <c r="I43" s="1358"/>
      <c r="J43" s="1358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357" t="s">
        <v>326</v>
      </c>
      <c r="B44" s="1358"/>
      <c r="C44" s="1358"/>
      <c r="D44" s="1358">
        <v>207.33</v>
      </c>
      <c r="E44" s="1358"/>
      <c r="F44" s="1358"/>
      <c r="G44" s="1358"/>
      <c r="H44" s="1358"/>
      <c r="I44" s="1358"/>
      <c r="J44" s="1358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357" t="s">
        <v>124</v>
      </c>
      <c r="B45" s="1358"/>
      <c r="C45" s="1358"/>
      <c r="D45" s="1358"/>
      <c r="E45" s="1358">
        <v>164</v>
      </c>
      <c r="F45" s="1358"/>
      <c r="G45" s="1358">
        <v>42</v>
      </c>
      <c r="H45" s="1358"/>
      <c r="I45" s="1358"/>
      <c r="J45" s="1358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357" t="s">
        <v>1089</v>
      </c>
      <c r="B46" s="1358"/>
      <c r="C46" s="1358"/>
      <c r="D46" s="1358"/>
      <c r="E46" s="1358"/>
      <c r="F46" s="1358">
        <v>54.5</v>
      </c>
      <c r="G46" s="1358">
        <v>25.2</v>
      </c>
      <c r="H46" s="1358">
        <v>124.60000000000001</v>
      </c>
      <c r="I46" s="1358"/>
      <c r="J46" s="1358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357" t="s">
        <v>1186</v>
      </c>
      <c r="B47" s="1358"/>
      <c r="C47" s="1358"/>
      <c r="D47" s="1358"/>
      <c r="E47" s="1358"/>
      <c r="F47" s="1358"/>
      <c r="G47" s="1358"/>
      <c r="H47" s="1358"/>
      <c r="I47" s="1358">
        <v>203.43</v>
      </c>
      <c r="J47" s="1358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357" t="s">
        <v>189</v>
      </c>
      <c r="B48" s="1358">
        <v>69.989999999999995</v>
      </c>
      <c r="C48" s="1358">
        <v>9.98</v>
      </c>
      <c r="D48" s="1358">
        <v>19.989999999999998</v>
      </c>
      <c r="E48" s="1358"/>
      <c r="F48" s="1358">
        <v>44.99</v>
      </c>
      <c r="G48" s="1358"/>
      <c r="H48" s="1358">
        <v>57.99</v>
      </c>
      <c r="I48" s="1358"/>
      <c r="J48" s="1358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357" t="s">
        <v>350</v>
      </c>
      <c r="B49" s="1358"/>
      <c r="C49" s="1358">
        <v>201.68</v>
      </c>
      <c r="D49" s="1358"/>
      <c r="E49" s="1358"/>
      <c r="F49" s="1358"/>
      <c r="G49" s="1358"/>
      <c r="H49" s="1358"/>
      <c r="I49" s="1358"/>
      <c r="J49" s="1358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357" t="s">
        <v>323</v>
      </c>
      <c r="B50" s="1358"/>
      <c r="C50" s="1358"/>
      <c r="D50" s="1358">
        <v>200</v>
      </c>
      <c r="E50" s="1358"/>
      <c r="F50" s="1358"/>
      <c r="G50" s="1358"/>
      <c r="H50" s="1358"/>
      <c r="I50" s="1358"/>
      <c r="J50" s="1358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357" t="s">
        <v>190</v>
      </c>
      <c r="B51" s="1358">
        <v>12.9</v>
      </c>
      <c r="C51" s="1358"/>
      <c r="D51" s="1358">
        <v>136.85</v>
      </c>
      <c r="E51" s="1358"/>
      <c r="F51" s="1358">
        <v>15.9</v>
      </c>
      <c r="G51" s="1358">
        <v>25.9</v>
      </c>
      <c r="H51" s="1358">
        <v>8</v>
      </c>
      <c r="I51" s="1358"/>
      <c r="J51" s="1358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357" t="s">
        <v>109</v>
      </c>
      <c r="B52" s="1358"/>
      <c r="C52" s="1358"/>
      <c r="D52" s="1358"/>
      <c r="E52" s="1358">
        <v>121.5</v>
      </c>
      <c r="F52" s="1358">
        <v>10</v>
      </c>
      <c r="G52" s="1358">
        <v>49</v>
      </c>
      <c r="H52" s="1358">
        <v>19</v>
      </c>
      <c r="I52" s="1358"/>
      <c r="J52" s="1358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357" t="s">
        <v>121</v>
      </c>
      <c r="B53" s="1358"/>
      <c r="C53" s="1358"/>
      <c r="D53" s="1358">
        <v>4.5999999999999996</v>
      </c>
      <c r="E53" s="1358">
        <v>20.599999999999991</v>
      </c>
      <c r="F53" s="1358">
        <v>51.799999999999891</v>
      </c>
      <c r="G53" s="1358">
        <v>54.749999999999886</v>
      </c>
      <c r="H53" s="1358">
        <v>56.049999999999898</v>
      </c>
      <c r="I53" s="1358">
        <v>10.700000000000003</v>
      </c>
      <c r="J53" s="1358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357" t="s">
        <v>202</v>
      </c>
      <c r="B54" s="1358"/>
      <c r="C54" s="1358">
        <v>88.4</v>
      </c>
      <c r="D54" s="1358">
        <v>25.9</v>
      </c>
      <c r="E54" s="1358">
        <v>34.9</v>
      </c>
      <c r="F54" s="1358">
        <v>21.63</v>
      </c>
      <c r="G54" s="1358"/>
      <c r="H54" s="1358">
        <v>26.5</v>
      </c>
      <c r="I54" s="1358"/>
      <c r="J54" s="1358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357" t="s">
        <v>317</v>
      </c>
      <c r="B55" s="1358"/>
      <c r="C55" s="1358">
        <v>84.5</v>
      </c>
      <c r="D55" s="1358">
        <v>106.5</v>
      </c>
      <c r="E55" s="1358"/>
      <c r="F55" s="1358"/>
      <c r="G55" s="1358"/>
      <c r="H55" s="1358"/>
      <c r="I55" s="1358"/>
      <c r="J55" s="1358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357" t="s">
        <v>361</v>
      </c>
      <c r="B56" s="1358">
        <v>190.17000000000002</v>
      </c>
      <c r="C56" s="1358"/>
      <c r="D56" s="1358"/>
      <c r="E56" s="1358"/>
      <c r="F56" s="1358"/>
      <c r="G56" s="1358"/>
      <c r="H56" s="1358"/>
      <c r="I56" s="1358"/>
      <c r="J56" s="1358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357" t="s">
        <v>211</v>
      </c>
      <c r="B57" s="1358"/>
      <c r="C57" s="1358"/>
      <c r="D57" s="1358"/>
      <c r="E57" s="1358"/>
      <c r="F57" s="1358">
        <v>50</v>
      </c>
      <c r="G57" s="1358">
        <v>50</v>
      </c>
      <c r="H57" s="1358">
        <v>87</v>
      </c>
      <c r="I57" s="1358"/>
      <c r="J57" s="1358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357" t="s">
        <v>311</v>
      </c>
      <c r="B58" s="1358">
        <v>21.15</v>
      </c>
      <c r="C58" s="1358"/>
      <c r="D58" s="1358">
        <v>145.4</v>
      </c>
      <c r="E58" s="1358"/>
      <c r="F58" s="1358"/>
      <c r="G58" s="1358"/>
      <c r="H58" s="1358"/>
      <c r="I58" s="1358">
        <v>19.8</v>
      </c>
      <c r="J58" s="1358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357" t="s">
        <v>362</v>
      </c>
      <c r="B59" s="1358">
        <v>181.8</v>
      </c>
      <c r="C59" s="1358"/>
      <c r="D59" s="1358"/>
      <c r="E59" s="1358"/>
      <c r="F59" s="1358"/>
      <c r="G59" s="1358"/>
      <c r="H59" s="1358"/>
      <c r="I59" s="1358"/>
      <c r="J59" s="1358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357" t="s">
        <v>177</v>
      </c>
      <c r="B60" s="1358"/>
      <c r="C60" s="1358"/>
      <c r="D60" s="1358">
        <v>40</v>
      </c>
      <c r="E60" s="1358">
        <v>64</v>
      </c>
      <c r="F60" s="1358">
        <v>23</v>
      </c>
      <c r="G60" s="1358">
        <v>31</v>
      </c>
      <c r="H60" s="1358">
        <v>21</v>
      </c>
      <c r="I60" s="1358"/>
      <c r="J60" s="1358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357" t="s">
        <v>331</v>
      </c>
      <c r="B61" s="1358"/>
      <c r="C61" s="1358"/>
      <c r="D61" s="1358">
        <v>178.6</v>
      </c>
      <c r="E61" s="1358"/>
      <c r="F61" s="1358"/>
      <c r="G61" s="1358"/>
      <c r="H61" s="1358"/>
      <c r="I61" s="1358"/>
      <c r="J61" s="1358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357" t="s">
        <v>1054</v>
      </c>
      <c r="B62" s="1358"/>
      <c r="C62" s="1358"/>
      <c r="D62" s="1358"/>
      <c r="E62" s="1358">
        <v>31</v>
      </c>
      <c r="F62" s="1358"/>
      <c r="G62" s="1358">
        <v>144</v>
      </c>
      <c r="H62" s="1358"/>
      <c r="I62" s="1358"/>
      <c r="J62" s="1358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357" t="s">
        <v>302</v>
      </c>
      <c r="B63" s="1358">
        <v>36.39</v>
      </c>
      <c r="C63" s="1358">
        <v>37.840000000000003</v>
      </c>
      <c r="D63" s="1358">
        <v>30.14</v>
      </c>
      <c r="E63" s="1358"/>
      <c r="F63" s="1358"/>
      <c r="G63" s="1358">
        <v>30.18</v>
      </c>
      <c r="H63" s="1358">
        <v>39.93</v>
      </c>
      <c r="I63" s="1358"/>
      <c r="J63" s="1358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357" t="s">
        <v>321</v>
      </c>
      <c r="B64" s="1358"/>
      <c r="C64" s="1358"/>
      <c r="D64" s="1358">
        <v>171.2</v>
      </c>
      <c r="E64" s="1358"/>
      <c r="F64" s="1358"/>
      <c r="G64" s="1358"/>
      <c r="H64" s="1358"/>
      <c r="I64" s="1358"/>
      <c r="J64" s="1358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357" t="s">
        <v>909</v>
      </c>
      <c r="B65" s="1358"/>
      <c r="C65" s="1358"/>
      <c r="D65" s="1358"/>
      <c r="E65" s="1358"/>
      <c r="F65" s="1358"/>
      <c r="G65" s="1358"/>
      <c r="H65" s="1358">
        <v>170.44</v>
      </c>
      <c r="I65" s="1358"/>
      <c r="J65" s="1358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357" t="s">
        <v>218</v>
      </c>
      <c r="B66" s="1358"/>
      <c r="C66" s="1358">
        <v>71.92</v>
      </c>
      <c r="D66" s="1358"/>
      <c r="E66" s="1358">
        <v>47.09</v>
      </c>
      <c r="F66" s="1358">
        <v>48.3</v>
      </c>
      <c r="G66" s="1358"/>
      <c r="H66" s="1358"/>
      <c r="I66" s="1358"/>
      <c r="J66" s="1358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357" t="s">
        <v>1024</v>
      </c>
      <c r="B67" s="1358"/>
      <c r="C67" s="1358"/>
      <c r="D67" s="1358"/>
      <c r="E67" s="1358"/>
      <c r="F67" s="1358"/>
      <c r="G67" s="1358">
        <v>165</v>
      </c>
      <c r="H67" s="1358"/>
      <c r="I67" s="1358"/>
      <c r="J67" s="1358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357" t="s">
        <v>1068</v>
      </c>
      <c r="B68" s="1358"/>
      <c r="C68" s="1358"/>
      <c r="D68" s="1358"/>
      <c r="E68" s="1358"/>
      <c r="F68" s="1358"/>
      <c r="G68" s="1358"/>
      <c r="H68" s="1358">
        <v>161.19999999999999</v>
      </c>
      <c r="I68" s="1358"/>
      <c r="J68" s="1358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357" t="s">
        <v>324</v>
      </c>
      <c r="B69" s="1358"/>
      <c r="C69" s="1358"/>
      <c r="D69" s="1358">
        <v>150</v>
      </c>
      <c r="E69" s="1358"/>
      <c r="F69" s="1358"/>
      <c r="G69" s="1358"/>
      <c r="H69" s="1358"/>
      <c r="I69" s="1358"/>
      <c r="J69" s="1358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357" t="s">
        <v>1021</v>
      </c>
      <c r="B70" s="1358"/>
      <c r="C70" s="1358"/>
      <c r="D70" s="1358"/>
      <c r="E70" s="1358"/>
      <c r="F70" s="1358"/>
      <c r="G70" s="1358">
        <v>75</v>
      </c>
      <c r="H70" s="1358">
        <v>75</v>
      </c>
      <c r="I70" s="1358"/>
      <c r="J70" s="1358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357" t="s">
        <v>999</v>
      </c>
      <c r="B71" s="1358"/>
      <c r="C71" s="1358"/>
      <c r="D71" s="1358"/>
      <c r="E71" s="1358"/>
      <c r="F71" s="1358"/>
      <c r="G71" s="1358">
        <v>108.96000000000001</v>
      </c>
      <c r="H71" s="1358">
        <v>40.98</v>
      </c>
      <c r="I71" s="1358"/>
      <c r="J71" s="1358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357" t="s">
        <v>363</v>
      </c>
      <c r="B72" s="1358">
        <v>148.91</v>
      </c>
      <c r="C72" s="1358"/>
      <c r="D72" s="1358"/>
      <c r="E72" s="1358"/>
      <c r="F72" s="1358"/>
      <c r="G72" s="1358"/>
      <c r="H72" s="1358"/>
      <c r="I72" s="1358"/>
      <c r="J72" s="1358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357" t="s">
        <v>338</v>
      </c>
      <c r="B73" s="1358"/>
      <c r="C73" s="1358">
        <v>78.55</v>
      </c>
      <c r="D73" s="1358"/>
      <c r="E73" s="1358"/>
      <c r="F73" s="1358"/>
      <c r="G73" s="1358"/>
      <c r="H73" s="1358">
        <v>67.5</v>
      </c>
      <c r="I73" s="1358"/>
      <c r="J73" s="1358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357" t="s">
        <v>1079</v>
      </c>
      <c r="B74" s="1358"/>
      <c r="C74" s="1358"/>
      <c r="D74" s="1358"/>
      <c r="E74" s="1358"/>
      <c r="F74" s="1358"/>
      <c r="G74" s="1358"/>
      <c r="H74" s="1358">
        <v>141</v>
      </c>
      <c r="I74" s="1358"/>
      <c r="J74" s="1358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357" t="s">
        <v>325</v>
      </c>
      <c r="B75" s="1358"/>
      <c r="C75" s="1358"/>
      <c r="D75" s="1358">
        <v>132</v>
      </c>
      <c r="E75" s="1358"/>
      <c r="F75" s="1358"/>
      <c r="G75" s="1358"/>
      <c r="H75" s="1358"/>
      <c r="I75" s="1358"/>
      <c r="J75" s="1358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357" t="s">
        <v>1016</v>
      </c>
      <c r="B76" s="1358"/>
      <c r="C76" s="1358"/>
      <c r="D76" s="1358"/>
      <c r="E76" s="1358"/>
      <c r="F76" s="1358">
        <v>86.54</v>
      </c>
      <c r="G76" s="1358">
        <v>43.27</v>
      </c>
      <c r="H76" s="1358"/>
      <c r="I76" s="1358"/>
      <c r="J76" s="1358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357" t="s">
        <v>318</v>
      </c>
      <c r="B77" s="1358"/>
      <c r="C77" s="1358">
        <v>60.95</v>
      </c>
      <c r="D77" s="1358">
        <v>66.59</v>
      </c>
      <c r="E77" s="1358"/>
      <c r="F77" s="1358"/>
      <c r="G77" s="1358"/>
      <c r="H77" s="1358"/>
      <c r="I77" s="1358"/>
      <c r="J77" s="1358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357" t="s">
        <v>300</v>
      </c>
      <c r="B78" s="1358">
        <v>102.3</v>
      </c>
      <c r="C78" s="1358"/>
      <c r="D78" s="1358"/>
      <c r="E78" s="1358">
        <v>24.5</v>
      </c>
      <c r="F78" s="1358"/>
      <c r="G78" s="1358"/>
      <c r="H78" s="1358"/>
      <c r="I78" s="1358"/>
      <c r="J78" s="1358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357" t="s">
        <v>1129</v>
      </c>
      <c r="B79" s="1358"/>
      <c r="C79" s="1358"/>
      <c r="D79" s="1358"/>
      <c r="E79" s="1358"/>
      <c r="F79" s="1358"/>
      <c r="G79" s="1358"/>
      <c r="H79" s="1358">
        <v>87.4</v>
      </c>
      <c r="I79" s="1358">
        <v>39</v>
      </c>
      <c r="J79" s="1358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357" t="s">
        <v>246</v>
      </c>
      <c r="B80" s="1358"/>
      <c r="C80" s="1358"/>
      <c r="D80" s="1358"/>
      <c r="E80" s="1358"/>
      <c r="F80" s="1358">
        <v>22</v>
      </c>
      <c r="G80" s="1358"/>
      <c r="H80" s="1358">
        <v>60.5</v>
      </c>
      <c r="I80" s="1358">
        <v>42</v>
      </c>
      <c r="J80" s="1358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357" t="s">
        <v>232</v>
      </c>
      <c r="B81" s="1358"/>
      <c r="C81" s="1358">
        <v>13.099999999999998</v>
      </c>
      <c r="D81" s="1358">
        <v>5.0999999999999996</v>
      </c>
      <c r="E81" s="1358">
        <v>8.5</v>
      </c>
      <c r="F81" s="1358">
        <v>22.299999999999997</v>
      </c>
      <c r="G81" s="1358">
        <v>19.899999999999999</v>
      </c>
      <c r="H81" s="1358">
        <v>1.7</v>
      </c>
      <c r="I81" s="1358">
        <v>46.599999999999994</v>
      </c>
      <c r="J81" s="1358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357" t="s">
        <v>322</v>
      </c>
      <c r="B82" s="1358"/>
      <c r="C82" s="1358"/>
      <c r="D82" s="1358">
        <v>115.19999999999999</v>
      </c>
      <c r="E82" s="1358"/>
      <c r="F82" s="1358"/>
      <c r="G82" s="1358"/>
      <c r="H82" s="1358"/>
      <c r="I82" s="1358"/>
      <c r="J82" s="1358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357" t="s">
        <v>306</v>
      </c>
      <c r="B83" s="1358"/>
      <c r="C83" s="1358"/>
      <c r="D83" s="1358">
        <v>114.18</v>
      </c>
      <c r="E83" s="1358"/>
      <c r="F83" s="1358"/>
      <c r="G83" s="1358"/>
      <c r="H83" s="1358"/>
      <c r="I83" s="1358"/>
      <c r="J83" s="1358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357" t="s">
        <v>115</v>
      </c>
      <c r="B84" s="1358">
        <v>13</v>
      </c>
      <c r="C84" s="1358"/>
      <c r="D84" s="1358"/>
      <c r="E84" s="1358"/>
      <c r="F84" s="1358">
        <v>10.100000000000001</v>
      </c>
      <c r="G84" s="1358">
        <v>59.589999999999996</v>
      </c>
      <c r="H84" s="1358">
        <v>23.6</v>
      </c>
      <c r="I84" s="1358">
        <v>7</v>
      </c>
      <c r="J84" s="1358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357" t="s">
        <v>193</v>
      </c>
      <c r="B85" s="1358"/>
      <c r="C85" s="1358">
        <v>24.9</v>
      </c>
      <c r="D85" s="1358"/>
      <c r="E85" s="1358"/>
      <c r="F85" s="1358">
        <v>37.9</v>
      </c>
      <c r="G85" s="1358"/>
      <c r="H85" s="1358">
        <v>50.3</v>
      </c>
      <c r="I85" s="1358"/>
      <c r="J85" s="1358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357" t="s">
        <v>890</v>
      </c>
      <c r="B86" s="1358"/>
      <c r="C86" s="1358"/>
      <c r="D86" s="1358"/>
      <c r="E86" s="1358"/>
      <c r="F86" s="1358"/>
      <c r="G86" s="1358"/>
      <c r="H86" s="1358">
        <v>109.5</v>
      </c>
      <c r="I86" s="1358"/>
      <c r="J86" s="1358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357" t="s">
        <v>251</v>
      </c>
      <c r="B87" s="1358"/>
      <c r="C87" s="1358"/>
      <c r="D87" s="1358">
        <v>21.5</v>
      </c>
      <c r="E87" s="1358">
        <v>66.5</v>
      </c>
      <c r="F87" s="1358">
        <v>21</v>
      </c>
      <c r="G87" s="1358"/>
      <c r="H87" s="1358"/>
      <c r="I87" s="1358"/>
      <c r="J87" s="1358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357" t="s">
        <v>328</v>
      </c>
      <c r="B88" s="1358"/>
      <c r="C88" s="1358">
        <v>23.5</v>
      </c>
      <c r="D88" s="1358">
        <v>85.4</v>
      </c>
      <c r="E88" s="1358"/>
      <c r="F88" s="1358"/>
      <c r="G88" s="1358"/>
      <c r="H88" s="1358"/>
      <c r="I88" s="1358"/>
      <c r="J88" s="1358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357" t="s">
        <v>192</v>
      </c>
      <c r="B89" s="1358"/>
      <c r="C89" s="1358"/>
      <c r="D89" s="1358"/>
      <c r="E89" s="1358"/>
      <c r="F89" s="1358">
        <v>107</v>
      </c>
      <c r="G89" s="1358"/>
      <c r="H89" s="1358"/>
      <c r="I89" s="1358"/>
      <c r="J89" s="1358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357" t="s">
        <v>359</v>
      </c>
      <c r="B90" s="1358">
        <v>25.18</v>
      </c>
      <c r="C90" s="1358"/>
      <c r="D90" s="1358"/>
      <c r="E90" s="1358"/>
      <c r="F90" s="1358">
        <v>46.65</v>
      </c>
      <c r="G90" s="1358">
        <v>34.299999999999997</v>
      </c>
      <c r="H90" s="1358"/>
      <c r="I90" s="1358"/>
      <c r="J90" s="1358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357" t="s">
        <v>1002</v>
      </c>
      <c r="B91" s="1358"/>
      <c r="C91" s="1358"/>
      <c r="D91" s="1358"/>
      <c r="E91" s="1358"/>
      <c r="F91" s="1358">
        <v>50.699999999999996</v>
      </c>
      <c r="G91" s="1358"/>
      <c r="H91" s="1358">
        <v>53.38</v>
      </c>
      <c r="I91" s="1358"/>
      <c r="J91" s="1358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357" t="s">
        <v>1162</v>
      </c>
      <c r="B92" s="1358"/>
      <c r="C92" s="1358"/>
      <c r="D92" s="1358"/>
      <c r="E92" s="1358"/>
      <c r="F92" s="1358"/>
      <c r="G92" s="1358"/>
      <c r="H92" s="1358"/>
      <c r="I92" s="1358">
        <v>104</v>
      </c>
      <c r="J92" s="1358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357" t="s">
        <v>1237</v>
      </c>
      <c r="B93" s="1358"/>
      <c r="C93" s="1358"/>
      <c r="D93" s="1358"/>
      <c r="E93" s="1358"/>
      <c r="F93" s="1358"/>
      <c r="G93" s="1358"/>
      <c r="H93" s="1358"/>
      <c r="I93" s="1358">
        <v>103</v>
      </c>
      <c r="J93" s="1358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357" t="s">
        <v>197</v>
      </c>
      <c r="B94" s="1358"/>
      <c r="C94" s="1358"/>
      <c r="D94" s="1358"/>
      <c r="E94" s="1358">
        <v>56.1</v>
      </c>
      <c r="F94" s="1358">
        <v>22.36</v>
      </c>
      <c r="G94" s="1358"/>
      <c r="H94" s="1358">
        <v>24.14</v>
      </c>
      <c r="I94" s="1358"/>
      <c r="J94" s="1358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357" t="s">
        <v>1140</v>
      </c>
      <c r="B95" s="1358"/>
      <c r="C95" s="1358"/>
      <c r="D95" s="1358"/>
      <c r="E95" s="1358"/>
      <c r="F95" s="1358"/>
      <c r="G95" s="1358"/>
      <c r="H95" s="1358">
        <v>98.82</v>
      </c>
      <c r="I95" s="1358"/>
      <c r="J95" s="1358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357" t="s">
        <v>351</v>
      </c>
      <c r="B96" s="1358">
        <v>55.5</v>
      </c>
      <c r="C96" s="1358">
        <v>42</v>
      </c>
      <c r="D96" s="1358"/>
      <c r="E96" s="1358"/>
      <c r="F96" s="1358"/>
      <c r="G96" s="1358"/>
      <c r="H96" s="1358"/>
      <c r="I96" s="1358"/>
      <c r="J96" s="1358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357" t="s">
        <v>1057</v>
      </c>
      <c r="B97" s="1358"/>
      <c r="C97" s="1358"/>
      <c r="D97" s="1358"/>
      <c r="E97" s="1358"/>
      <c r="F97" s="1358"/>
      <c r="G97" s="1358">
        <v>67.48</v>
      </c>
      <c r="H97" s="1358">
        <v>29.49</v>
      </c>
      <c r="I97" s="1358"/>
      <c r="J97" s="1358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357" t="s">
        <v>996</v>
      </c>
      <c r="B98" s="1358"/>
      <c r="C98" s="1358"/>
      <c r="D98" s="1358"/>
      <c r="E98" s="1358">
        <v>15.32</v>
      </c>
      <c r="F98" s="1358">
        <v>35.739999999999995</v>
      </c>
      <c r="G98" s="1358">
        <v>18.23</v>
      </c>
      <c r="H98" s="1358">
        <v>26.69</v>
      </c>
      <c r="I98" s="1358"/>
      <c r="J98" s="1358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357" t="s">
        <v>275</v>
      </c>
      <c r="B99" s="1358"/>
      <c r="C99" s="1358"/>
      <c r="D99" s="1358"/>
      <c r="E99" s="1358">
        <v>92</v>
      </c>
      <c r="F99" s="1358"/>
      <c r="G99" s="1358"/>
      <c r="H99" s="1358"/>
      <c r="I99" s="1358"/>
      <c r="J99" s="1358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357" t="s">
        <v>743</v>
      </c>
      <c r="B100" s="1358"/>
      <c r="C100" s="1358"/>
      <c r="D100" s="1358"/>
      <c r="E100" s="1358"/>
      <c r="F100" s="1358"/>
      <c r="G100" s="1358">
        <v>92</v>
      </c>
      <c r="H100" s="1358"/>
      <c r="I100" s="1358"/>
      <c r="J100" s="1358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357" t="s">
        <v>312</v>
      </c>
      <c r="B101" s="1358"/>
      <c r="C101" s="1358"/>
      <c r="D101" s="1358">
        <v>91.7</v>
      </c>
      <c r="E101" s="1358"/>
      <c r="F101" s="1358"/>
      <c r="G101" s="1358"/>
      <c r="H101" s="1358"/>
      <c r="I101" s="1358"/>
      <c r="J101" s="1358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357" t="s">
        <v>293</v>
      </c>
      <c r="B102" s="1358"/>
      <c r="C102" s="1358"/>
      <c r="D102" s="1358"/>
      <c r="E102" s="1358">
        <v>10</v>
      </c>
      <c r="F102" s="1358"/>
      <c r="G102" s="1358"/>
      <c r="H102" s="1358">
        <v>79</v>
      </c>
      <c r="I102" s="1358"/>
      <c r="J102" s="1358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357" t="s">
        <v>175</v>
      </c>
      <c r="B103" s="1358">
        <v>18.299999999999997</v>
      </c>
      <c r="C103" s="1358"/>
      <c r="D103" s="1358"/>
      <c r="E103" s="1358">
        <v>32.700000000000003</v>
      </c>
      <c r="F103" s="1358">
        <v>9</v>
      </c>
      <c r="G103" s="1358">
        <v>26.700000000000003</v>
      </c>
      <c r="H103" s="1358"/>
      <c r="I103" s="1358"/>
      <c r="J103" s="1358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357" t="s">
        <v>817</v>
      </c>
      <c r="B104" s="1358"/>
      <c r="C104" s="1358"/>
      <c r="D104" s="1358"/>
      <c r="E104" s="1358"/>
      <c r="F104" s="1358"/>
      <c r="G104" s="1358"/>
      <c r="H104" s="1358">
        <v>85.2</v>
      </c>
      <c r="I104" s="1358"/>
      <c r="J104" s="1358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357" t="s">
        <v>916</v>
      </c>
      <c r="B105" s="1358"/>
      <c r="C105" s="1358"/>
      <c r="D105" s="1358"/>
      <c r="E105" s="1358"/>
      <c r="F105" s="1358"/>
      <c r="G105" s="1358"/>
      <c r="H105" s="1358">
        <v>85</v>
      </c>
      <c r="I105" s="1358"/>
      <c r="J105" s="1358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357" t="s">
        <v>899</v>
      </c>
      <c r="B106" s="1358"/>
      <c r="C106" s="1358"/>
      <c r="D106" s="1358"/>
      <c r="E106" s="1358"/>
      <c r="F106" s="1358"/>
      <c r="G106" s="1358"/>
      <c r="H106" s="1358">
        <v>84.9</v>
      </c>
      <c r="I106" s="1358"/>
      <c r="J106" s="1358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357" t="s">
        <v>1005</v>
      </c>
      <c r="B107" s="1358"/>
      <c r="C107" s="1358"/>
      <c r="D107" s="1358"/>
      <c r="E107" s="1358"/>
      <c r="F107" s="1358"/>
      <c r="G107" s="1358">
        <v>20</v>
      </c>
      <c r="H107" s="1358">
        <v>20</v>
      </c>
      <c r="I107" s="1358">
        <v>44</v>
      </c>
      <c r="J107" s="1358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357" t="s">
        <v>861</v>
      </c>
      <c r="B108" s="1358"/>
      <c r="C108" s="1358"/>
      <c r="D108" s="1358"/>
      <c r="E108" s="1358"/>
      <c r="F108" s="1358"/>
      <c r="G108" s="1358"/>
      <c r="H108" s="1358">
        <v>83</v>
      </c>
      <c r="I108" s="1358"/>
      <c r="J108" s="1358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357" t="s">
        <v>178</v>
      </c>
      <c r="B109" s="1358"/>
      <c r="C109" s="1358"/>
      <c r="D109" s="1358"/>
      <c r="E109" s="1358"/>
      <c r="F109" s="1358"/>
      <c r="G109" s="1358">
        <v>82.6</v>
      </c>
      <c r="H109" s="1358"/>
      <c r="I109" s="1358"/>
      <c r="J109" s="1358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357" t="s">
        <v>343</v>
      </c>
      <c r="B110" s="1358"/>
      <c r="C110" s="1358">
        <v>81.91</v>
      </c>
      <c r="D110" s="1358"/>
      <c r="E110" s="1358"/>
      <c r="F110" s="1358"/>
      <c r="G110" s="1358"/>
      <c r="H110" s="1358"/>
      <c r="I110" s="1358"/>
      <c r="J110" s="1358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357" t="s">
        <v>906</v>
      </c>
      <c r="B111" s="1358"/>
      <c r="C111" s="1358"/>
      <c r="D111" s="1358"/>
      <c r="E111" s="1358"/>
      <c r="F111" s="1358"/>
      <c r="G111" s="1358"/>
      <c r="H111" s="1358">
        <v>80.069999999999993</v>
      </c>
      <c r="I111" s="1358"/>
      <c r="J111" s="1358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357" t="s">
        <v>1115</v>
      </c>
      <c r="B112" s="1358"/>
      <c r="C112" s="1358"/>
      <c r="D112" s="1358"/>
      <c r="E112" s="1358"/>
      <c r="F112" s="1358"/>
      <c r="G112" s="1358"/>
      <c r="H112" s="1358">
        <v>80</v>
      </c>
      <c r="I112" s="1358"/>
      <c r="J112" s="1358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357" t="s">
        <v>1003</v>
      </c>
      <c r="B113" s="1358"/>
      <c r="C113" s="1358"/>
      <c r="D113" s="1358"/>
      <c r="E113" s="1358"/>
      <c r="F113" s="1358"/>
      <c r="G113" s="1358">
        <v>20</v>
      </c>
      <c r="H113" s="1358">
        <v>60</v>
      </c>
      <c r="I113" s="1358"/>
      <c r="J113" s="1358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357" t="s">
        <v>229</v>
      </c>
      <c r="B114" s="1358"/>
      <c r="C114" s="1358"/>
      <c r="D114" s="1358"/>
      <c r="E114" s="1358"/>
      <c r="F114" s="1358">
        <v>79.7</v>
      </c>
      <c r="G114" s="1358"/>
      <c r="H114" s="1358"/>
      <c r="I114" s="1358"/>
      <c r="J114" s="1358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357" t="s">
        <v>182</v>
      </c>
      <c r="B115" s="1358"/>
      <c r="C115" s="1358"/>
      <c r="D115" s="1358"/>
      <c r="E115" s="1358"/>
      <c r="F115" s="1358">
        <v>11.5</v>
      </c>
      <c r="G115" s="1358">
        <v>22</v>
      </c>
      <c r="H115" s="1358">
        <v>46</v>
      </c>
      <c r="I115" s="1358"/>
      <c r="J115" s="1358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357" t="s">
        <v>1127</v>
      </c>
      <c r="B116" s="1358"/>
      <c r="C116" s="1358"/>
      <c r="D116" s="1358"/>
      <c r="E116" s="1358"/>
      <c r="F116" s="1358"/>
      <c r="G116" s="1358"/>
      <c r="H116" s="1358">
        <v>79.2</v>
      </c>
      <c r="I116" s="1358"/>
      <c r="J116" s="1358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357" t="s">
        <v>842</v>
      </c>
      <c r="B117" s="1358"/>
      <c r="C117" s="1358"/>
      <c r="D117" s="1358"/>
      <c r="E117" s="1358"/>
      <c r="F117" s="1358"/>
      <c r="G117" s="1358"/>
      <c r="H117" s="1358">
        <v>78</v>
      </c>
      <c r="I117" s="1358"/>
      <c r="J117" s="1358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357" t="s">
        <v>250</v>
      </c>
      <c r="B118" s="1358">
        <v>74.5</v>
      </c>
      <c r="C118" s="1358"/>
      <c r="D118" s="1358"/>
      <c r="E118" s="1358"/>
      <c r="F118" s="1358">
        <v>2.1</v>
      </c>
      <c r="G118" s="1358">
        <v>1.3</v>
      </c>
      <c r="H118" s="1358"/>
      <c r="I118" s="1358"/>
      <c r="J118" s="1358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357" t="s">
        <v>345</v>
      </c>
      <c r="B119" s="1358"/>
      <c r="C119" s="1358">
        <v>75.8</v>
      </c>
      <c r="D119" s="1358"/>
      <c r="E119" s="1358"/>
      <c r="F119" s="1358"/>
      <c r="G119" s="1358"/>
      <c r="H119" s="1358"/>
      <c r="I119" s="1358"/>
      <c r="J119" s="1358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357" t="s">
        <v>875</v>
      </c>
      <c r="B120" s="1358"/>
      <c r="C120" s="1358"/>
      <c r="D120" s="1358"/>
      <c r="E120" s="1358"/>
      <c r="F120" s="1358"/>
      <c r="G120" s="1358"/>
      <c r="H120" s="1358">
        <v>75</v>
      </c>
      <c r="I120" s="1358"/>
      <c r="J120" s="1358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357" t="s">
        <v>764</v>
      </c>
      <c r="B121" s="1358"/>
      <c r="C121" s="1358"/>
      <c r="D121" s="1358"/>
      <c r="E121" s="1358"/>
      <c r="F121" s="1358"/>
      <c r="G121" s="1358">
        <v>75</v>
      </c>
      <c r="H121" s="1358"/>
      <c r="I121" s="1358"/>
      <c r="J121" s="1358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357" t="s">
        <v>354</v>
      </c>
      <c r="B122" s="1358">
        <v>74.959999999999994</v>
      </c>
      <c r="C122" s="1358"/>
      <c r="D122" s="1358"/>
      <c r="E122" s="1358"/>
      <c r="F122" s="1358"/>
      <c r="G122" s="1358"/>
      <c r="H122" s="1358"/>
      <c r="I122" s="1358"/>
      <c r="J122" s="1358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357" t="s">
        <v>821</v>
      </c>
      <c r="B123" s="1358"/>
      <c r="C123" s="1358"/>
      <c r="D123" s="1358"/>
      <c r="E123" s="1358"/>
      <c r="F123" s="1358"/>
      <c r="G123" s="1358"/>
      <c r="H123" s="1358">
        <v>74</v>
      </c>
      <c r="I123" s="1358"/>
      <c r="J123" s="1358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357" t="s">
        <v>196</v>
      </c>
      <c r="B124" s="1358"/>
      <c r="C124" s="1358"/>
      <c r="D124" s="1358"/>
      <c r="E124" s="1358"/>
      <c r="F124" s="1358">
        <v>34</v>
      </c>
      <c r="G124" s="1358">
        <v>39.5</v>
      </c>
      <c r="H124" s="1358"/>
      <c r="I124" s="1358"/>
      <c r="J124" s="1358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357" t="s">
        <v>123</v>
      </c>
      <c r="B125" s="1358"/>
      <c r="C125" s="1358"/>
      <c r="D125" s="1358"/>
      <c r="E125" s="1358"/>
      <c r="F125" s="1358">
        <v>17</v>
      </c>
      <c r="G125" s="1358">
        <v>53.4</v>
      </c>
      <c r="H125" s="1358"/>
      <c r="I125" s="1358"/>
      <c r="J125" s="1358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357" t="s">
        <v>134</v>
      </c>
      <c r="B126" s="1358"/>
      <c r="C126" s="1358"/>
      <c r="D126" s="1358"/>
      <c r="E126" s="1358"/>
      <c r="F126" s="1358"/>
      <c r="G126" s="1358">
        <v>70</v>
      </c>
      <c r="H126" s="1358"/>
      <c r="I126" s="1358"/>
      <c r="J126" s="1358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357" t="s">
        <v>304</v>
      </c>
      <c r="B127" s="1358"/>
      <c r="C127" s="1358"/>
      <c r="D127" s="1358">
        <v>69.98</v>
      </c>
      <c r="E127" s="1358"/>
      <c r="F127" s="1358"/>
      <c r="G127" s="1358"/>
      <c r="H127" s="1358"/>
      <c r="I127" s="1358"/>
      <c r="J127" s="1358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357" t="s">
        <v>1069</v>
      </c>
      <c r="B128" s="1358"/>
      <c r="C128" s="1358"/>
      <c r="D128" s="1358"/>
      <c r="E128" s="1358"/>
      <c r="F128" s="1358"/>
      <c r="G128" s="1358"/>
      <c r="H128" s="1358">
        <v>69.7</v>
      </c>
      <c r="I128" s="1358"/>
      <c r="J128" s="1358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 x14ac:dyDescent="0.25">
      <c r="A129" s="1357" t="s">
        <v>1160</v>
      </c>
      <c r="B129" s="1358"/>
      <c r="C129" s="1358"/>
      <c r="D129" s="1358"/>
      <c r="E129" s="1358"/>
      <c r="F129" s="1358"/>
      <c r="G129" s="1358"/>
      <c r="H129" s="1358"/>
      <c r="I129" s="1358">
        <v>69</v>
      </c>
      <c r="J129" s="1358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 x14ac:dyDescent="0.25">
      <c r="A130" s="1357" t="s">
        <v>199</v>
      </c>
      <c r="B130" s="1358"/>
      <c r="C130" s="1358"/>
      <c r="D130" s="1358"/>
      <c r="E130" s="1358"/>
      <c r="F130" s="1358">
        <v>69</v>
      </c>
      <c r="G130" s="1358"/>
      <c r="H130" s="1358"/>
      <c r="I130" s="1358"/>
      <c r="J130" s="1358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 x14ac:dyDescent="0.25">
      <c r="A131" s="1357" t="s">
        <v>1050</v>
      </c>
      <c r="B131" s="1358"/>
      <c r="C131" s="1358"/>
      <c r="D131" s="1358"/>
      <c r="E131" s="1358">
        <v>7.9</v>
      </c>
      <c r="F131" s="1358">
        <v>39.950000000000003</v>
      </c>
      <c r="G131" s="1358"/>
      <c r="H131" s="1358">
        <v>19.95</v>
      </c>
      <c r="I131" s="1358"/>
      <c r="J131" s="1358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 x14ac:dyDescent="0.25">
      <c r="A132" s="1357" t="s">
        <v>837</v>
      </c>
      <c r="B132" s="1358"/>
      <c r="C132" s="1358"/>
      <c r="D132" s="1358"/>
      <c r="E132" s="1358"/>
      <c r="F132" s="1358"/>
      <c r="G132" s="1358"/>
      <c r="H132" s="1358">
        <v>65</v>
      </c>
      <c r="I132" s="1358"/>
      <c r="J132" s="1358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 x14ac:dyDescent="0.25">
      <c r="A133" s="1357" t="s">
        <v>145</v>
      </c>
      <c r="B133" s="1358"/>
      <c r="C133" s="1358"/>
      <c r="D133" s="1358"/>
      <c r="E133" s="1358"/>
      <c r="F133" s="1358"/>
      <c r="G133" s="1358">
        <v>64.8</v>
      </c>
      <c r="H133" s="1358"/>
      <c r="I133" s="1358"/>
      <c r="J133" s="1358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 x14ac:dyDescent="0.25">
      <c r="A134" s="1357" t="s">
        <v>793</v>
      </c>
      <c r="B134" s="1358"/>
      <c r="C134" s="1358"/>
      <c r="D134" s="1358"/>
      <c r="E134" s="1358"/>
      <c r="F134" s="1358"/>
      <c r="G134" s="1358"/>
      <c r="H134" s="1358">
        <v>64.400000000000006</v>
      </c>
      <c r="I134" s="1358"/>
      <c r="J134" s="1358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 x14ac:dyDescent="0.25">
      <c r="A135" s="1357" t="s">
        <v>1161</v>
      </c>
      <c r="B135" s="1358"/>
      <c r="C135" s="1358"/>
      <c r="D135" s="1358"/>
      <c r="E135" s="1358"/>
      <c r="F135" s="1358"/>
      <c r="G135" s="1358"/>
      <c r="H135" s="1358"/>
      <c r="I135" s="1358">
        <v>64</v>
      </c>
      <c r="J135" s="1358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 x14ac:dyDescent="0.25">
      <c r="A136" s="1357" t="s">
        <v>225</v>
      </c>
      <c r="B136" s="1358"/>
      <c r="C136" s="1358"/>
      <c r="D136" s="1358"/>
      <c r="E136" s="1358"/>
      <c r="F136" s="1358">
        <v>63.4</v>
      </c>
      <c r="G136" s="1358"/>
      <c r="H136" s="1358"/>
      <c r="I136" s="1358"/>
      <c r="J136" s="1358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 x14ac:dyDescent="0.25">
      <c r="A137" s="1357" t="s">
        <v>835</v>
      </c>
      <c r="B137" s="1358"/>
      <c r="C137" s="1358"/>
      <c r="D137" s="1358"/>
      <c r="E137" s="1358"/>
      <c r="F137" s="1358"/>
      <c r="G137" s="1358"/>
      <c r="H137" s="1358">
        <v>63.4</v>
      </c>
      <c r="I137" s="1358"/>
      <c r="J137" s="1358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 x14ac:dyDescent="0.25">
      <c r="A138" s="1357" t="s">
        <v>843</v>
      </c>
      <c r="B138" s="1358"/>
      <c r="C138" s="1358"/>
      <c r="D138" s="1358"/>
      <c r="E138" s="1358"/>
      <c r="F138" s="1358"/>
      <c r="G138" s="1358"/>
      <c r="H138" s="1358">
        <v>63.2</v>
      </c>
      <c r="I138" s="1358"/>
      <c r="J138" s="1358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 x14ac:dyDescent="0.25">
      <c r="A139" s="1357" t="s">
        <v>97</v>
      </c>
      <c r="B139" s="1358"/>
      <c r="C139" s="1358"/>
      <c r="D139" s="1358"/>
      <c r="E139" s="1358"/>
      <c r="F139" s="1358"/>
      <c r="G139" s="1358">
        <v>63.04</v>
      </c>
      <c r="H139" s="1358"/>
      <c r="I139" s="1358"/>
      <c r="J139" s="1358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 x14ac:dyDescent="0.25">
      <c r="A140" s="1357" t="s">
        <v>1181</v>
      </c>
      <c r="B140" s="1358"/>
      <c r="C140" s="1358"/>
      <c r="D140" s="1358"/>
      <c r="E140" s="1358"/>
      <c r="F140" s="1358"/>
      <c r="G140" s="1358"/>
      <c r="H140" s="1358"/>
      <c r="I140" s="1358">
        <v>63</v>
      </c>
      <c r="J140" s="1358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 x14ac:dyDescent="0.25">
      <c r="A141" s="1357" t="s">
        <v>296</v>
      </c>
      <c r="B141" s="1358"/>
      <c r="C141" s="1358"/>
      <c r="D141" s="1358"/>
      <c r="E141" s="1358">
        <v>23.84</v>
      </c>
      <c r="F141" s="1358"/>
      <c r="G141" s="1358"/>
      <c r="H141" s="1358">
        <v>20.45</v>
      </c>
      <c r="I141" s="1358">
        <v>18.48</v>
      </c>
      <c r="J141" s="1358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 x14ac:dyDescent="0.25">
      <c r="A142" s="1357" t="s">
        <v>1185</v>
      </c>
      <c r="B142" s="1358"/>
      <c r="C142" s="1358"/>
      <c r="D142" s="1358"/>
      <c r="E142" s="1358"/>
      <c r="F142" s="1358"/>
      <c r="G142" s="1358"/>
      <c r="H142" s="1358"/>
      <c r="I142" s="1358">
        <v>62.5</v>
      </c>
      <c r="J142" s="1358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 x14ac:dyDescent="0.25">
      <c r="A143" s="1357" t="s">
        <v>305</v>
      </c>
      <c r="B143" s="1358"/>
      <c r="C143" s="1358"/>
      <c r="D143" s="1358">
        <v>62.400000000000006</v>
      </c>
      <c r="E143" s="1358"/>
      <c r="F143" s="1358"/>
      <c r="G143" s="1358"/>
      <c r="H143" s="1358"/>
      <c r="I143" s="1358"/>
      <c r="J143" s="1358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 x14ac:dyDescent="0.25">
      <c r="A144" s="1357" t="s">
        <v>346</v>
      </c>
      <c r="B144" s="1358"/>
      <c r="C144" s="1358">
        <v>62.04</v>
      </c>
      <c r="D144" s="1358"/>
      <c r="E144" s="1358"/>
      <c r="F144" s="1358"/>
      <c r="G144" s="1358"/>
      <c r="H144" s="1358"/>
      <c r="I144" s="1358"/>
      <c r="J144" s="1358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 x14ac:dyDescent="0.25">
      <c r="A145" s="1357" t="s">
        <v>292</v>
      </c>
      <c r="B145" s="1358"/>
      <c r="C145" s="1358"/>
      <c r="D145" s="1358"/>
      <c r="E145" s="1358">
        <v>62</v>
      </c>
      <c r="F145" s="1358"/>
      <c r="G145" s="1358"/>
      <c r="H145" s="1358"/>
      <c r="I145" s="1358"/>
      <c r="J145" s="1358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 x14ac:dyDescent="0.25">
      <c r="A146" s="1357" t="s">
        <v>1001</v>
      </c>
      <c r="B146" s="1358"/>
      <c r="C146" s="1358"/>
      <c r="D146" s="1358"/>
      <c r="E146" s="1358"/>
      <c r="F146" s="1358"/>
      <c r="G146" s="1358"/>
      <c r="H146" s="1358">
        <v>61.68</v>
      </c>
      <c r="I146" s="1358"/>
      <c r="J146" s="1358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 x14ac:dyDescent="0.25">
      <c r="A147" s="1357" t="s">
        <v>856</v>
      </c>
      <c r="B147" s="1358"/>
      <c r="C147" s="1358"/>
      <c r="D147" s="1358"/>
      <c r="E147" s="1358"/>
      <c r="F147" s="1358"/>
      <c r="G147" s="1358"/>
      <c r="H147" s="1358">
        <v>61</v>
      </c>
      <c r="I147" s="1358"/>
      <c r="J147" s="1358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 x14ac:dyDescent="0.25">
      <c r="A148" s="1357" t="s">
        <v>1007</v>
      </c>
      <c r="B148" s="1358"/>
      <c r="C148" s="1358"/>
      <c r="D148" s="1358"/>
      <c r="E148" s="1358"/>
      <c r="F148" s="1358"/>
      <c r="G148" s="1358">
        <v>60</v>
      </c>
      <c r="H148" s="1358"/>
      <c r="I148" s="1358"/>
      <c r="J148" s="1358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 x14ac:dyDescent="0.25">
      <c r="A149" s="1357" t="s">
        <v>235</v>
      </c>
      <c r="B149" s="1358"/>
      <c r="C149" s="1358"/>
      <c r="D149" s="1358"/>
      <c r="E149" s="1358"/>
      <c r="F149" s="1358">
        <v>59</v>
      </c>
      <c r="G149" s="1358"/>
      <c r="H149" s="1358"/>
      <c r="I149" s="1358"/>
      <c r="J149" s="1358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 x14ac:dyDescent="0.25">
      <c r="A150" s="1357" t="s">
        <v>210</v>
      </c>
      <c r="B150" s="1358"/>
      <c r="C150" s="1358"/>
      <c r="D150" s="1358"/>
      <c r="E150" s="1358"/>
      <c r="F150" s="1358">
        <v>58</v>
      </c>
      <c r="G150" s="1358"/>
      <c r="H150" s="1358"/>
      <c r="I150" s="1358"/>
      <c r="J150" s="1358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 x14ac:dyDescent="0.25">
      <c r="A151" s="1357" t="s">
        <v>228</v>
      </c>
      <c r="B151" s="1358"/>
      <c r="C151" s="1358"/>
      <c r="D151" s="1358"/>
      <c r="E151" s="1358"/>
      <c r="F151" s="1358">
        <v>29</v>
      </c>
      <c r="G151" s="1358"/>
      <c r="H151" s="1358"/>
      <c r="I151" s="1358">
        <v>28.8</v>
      </c>
      <c r="J151" s="1358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 x14ac:dyDescent="0.25">
      <c r="A152" s="1357" t="s">
        <v>184</v>
      </c>
      <c r="B152" s="1358"/>
      <c r="C152" s="1358"/>
      <c r="D152" s="1358"/>
      <c r="E152" s="1358"/>
      <c r="F152" s="1358"/>
      <c r="G152" s="1358">
        <v>56</v>
      </c>
      <c r="H152" s="1358"/>
      <c r="I152" s="1358"/>
      <c r="J152" s="1358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 x14ac:dyDescent="0.25">
      <c r="A153" s="1357" t="s">
        <v>844</v>
      </c>
      <c r="B153" s="1358"/>
      <c r="C153" s="1358"/>
      <c r="D153" s="1358"/>
      <c r="E153" s="1358"/>
      <c r="F153" s="1358"/>
      <c r="G153" s="1358"/>
      <c r="H153" s="1358">
        <v>56</v>
      </c>
      <c r="I153" s="1358"/>
      <c r="J153" s="1358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 x14ac:dyDescent="0.25">
      <c r="A154" s="1357" t="s">
        <v>1145</v>
      </c>
      <c r="B154" s="1358"/>
      <c r="C154" s="1358"/>
      <c r="D154" s="1358"/>
      <c r="E154" s="1358"/>
      <c r="F154" s="1358"/>
      <c r="G154" s="1358"/>
      <c r="H154" s="1358">
        <v>55.47</v>
      </c>
      <c r="I154" s="1358"/>
      <c r="J154" s="1358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 x14ac:dyDescent="0.25">
      <c r="A155" s="1357" t="s">
        <v>357</v>
      </c>
      <c r="B155" s="1358">
        <v>55</v>
      </c>
      <c r="C155" s="1358"/>
      <c r="D155" s="1358"/>
      <c r="E155" s="1358"/>
      <c r="F155" s="1358"/>
      <c r="G155" s="1358"/>
      <c r="H155" s="1358"/>
      <c r="I155" s="1358"/>
      <c r="J155" s="1358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 x14ac:dyDescent="0.25">
      <c r="A156" s="1357" t="s">
        <v>759</v>
      </c>
      <c r="B156" s="1358"/>
      <c r="C156" s="1358"/>
      <c r="D156" s="1358"/>
      <c r="E156" s="1358"/>
      <c r="F156" s="1358"/>
      <c r="G156" s="1358">
        <v>55</v>
      </c>
      <c r="H156" s="1358"/>
      <c r="I156" s="1358"/>
      <c r="J156" s="1358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 x14ac:dyDescent="0.25">
      <c r="A157" s="1357" t="s">
        <v>767</v>
      </c>
      <c r="B157" s="1358"/>
      <c r="C157" s="1358"/>
      <c r="D157" s="1358"/>
      <c r="E157" s="1358"/>
      <c r="F157" s="1358"/>
      <c r="G157" s="1358">
        <v>54</v>
      </c>
      <c r="H157" s="1358"/>
      <c r="I157" s="1358"/>
      <c r="J157" s="1358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 x14ac:dyDescent="0.25">
      <c r="A158" s="1357" t="s">
        <v>262</v>
      </c>
      <c r="B158" s="1358"/>
      <c r="C158" s="1358"/>
      <c r="D158" s="1358"/>
      <c r="E158" s="1358">
        <v>26.5</v>
      </c>
      <c r="F158" s="1358"/>
      <c r="G158" s="1358"/>
      <c r="H158" s="1358">
        <v>26</v>
      </c>
      <c r="I158" s="1358"/>
      <c r="J158" s="1358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 x14ac:dyDescent="0.25">
      <c r="A159" s="1357" t="s">
        <v>243</v>
      </c>
      <c r="B159" s="1358"/>
      <c r="C159" s="1358"/>
      <c r="D159" s="1358"/>
      <c r="E159" s="1358"/>
      <c r="F159" s="1358">
        <v>52.5</v>
      </c>
      <c r="G159" s="1358"/>
      <c r="H159" s="1358"/>
      <c r="I159" s="1358"/>
      <c r="J159" s="1358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 x14ac:dyDescent="0.25">
      <c r="A160" s="1357" t="s">
        <v>869</v>
      </c>
      <c r="B160" s="1358"/>
      <c r="C160" s="1358"/>
      <c r="D160" s="1358"/>
      <c r="E160" s="1358"/>
      <c r="F160" s="1358"/>
      <c r="G160" s="1358"/>
      <c r="H160" s="1358">
        <v>52</v>
      </c>
      <c r="I160" s="1358"/>
      <c r="J160" s="1358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 x14ac:dyDescent="0.25">
      <c r="A161" s="1357" t="s">
        <v>341</v>
      </c>
      <c r="B161" s="1358"/>
      <c r="C161" s="1358">
        <v>9.1999999999999993</v>
      </c>
      <c r="D161" s="1358"/>
      <c r="E161" s="1358">
        <v>1.1200000000000001</v>
      </c>
      <c r="F161" s="1358"/>
      <c r="G161" s="1358">
        <v>6.3</v>
      </c>
      <c r="H161" s="1358">
        <v>21.16</v>
      </c>
      <c r="I161" s="1358">
        <v>14.15</v>
      </c>
      <c r="J161" s="1358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 x14ac:dyDescent="0.25">
      <c r="A162" s="1357" t="s">
        <v>310</v>
      </c>
      <c r="B162" s="1358"/>
      <c r="C162" s="1358"/>
      <c r="D162" s="1358">
        <v>51.7</v>
      </c>
      <c r="E162" s="1358"/>
      <c r="F162" s="1358"/>
      <c r="G162" s="1358"/>
      <c r="H162" s="1358"/>
      <c r="I162" s="1358"/>
      <c r="J162" s="1358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 x14ac:dyDescent="0.25">
      <c r="A163" s="1357" t="s">
        <v>339</v>
      </c>
      <c r="B163" s="1358"/>
      <c r="C163" s="1358">
        <v>51.3</v>
      </c>
      <c r="D163" s="1358"/>
      <c r="E163" s="1358"/>
      <c r="F163" s="1358"/>
      <c r="G163" s="1358"/>
      <c r="H163" s="1358"/>
      <c r="I163" s="1358"/>
      <c r="J163" s="1358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 x14ac:dyDescent="0.25">
      <c r="A164" s="1357" t="s">
        <v>873</v>
      </c>
      <c r="B164" s="1358"/>
      <c r="C164" s="1358"/>
      <c r="D164" s="1358"/>
      <c r="E164" s="1358"/>
      <c r="F164" s="1358"/>
      <c r="G164" s="1358"/>
      <c r="H164" s="1358">
        <v>50</v>
      </c>
      <c r="I164" s="1358"/>
      <c r="J164" s="1358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 x14ac:dyDescent="0.25">
      <c r="A165" s="1357" t="s">
        <v>288</v>
      </c>
      <c r="B165" s="1358"/>
      <c r="C165" s="1358"/>
      <c r="D165" s="1358"/>
      <c r="E165" s="1358">
        <v>50</v>
      </c>
      <c r="F165" s="1358"/>
      <c r="G165" s="1358"/>
      <c r="H165" s="1358"/>
      <c r="I165" s="1358"/>
      <c r="J165" s="1358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 x14ac:dyDescent="0.25">
      <c r="A166" s="1357" t="s">
        <v>303</v>
      </c>
      <c r="B166" s="1358"/>
      <c r="C166" s="1358">
        <v>24.99</v>
      </c>
      <c r="D166" s="1358">
        <v>24.99</v>
      </c>
      <c r="E166" s="1358"/>
      <c r="F166" s="1358"/>
      <c r="G166" s="1358"/>
      <c r="H166" s="1358"/>
      <c r="I166" s="1358"/>
      <c r="J166" s="1358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 x14ac:dyDescent="0.25">
      <c r="A167" s="1357" t="s">
        <v>344</v>
      </c>
      <c r="B167" s="1358"/>
      <c r="C167" s="1358">
        <v>19.559999999999999</v>
      </c>
      <c r="D167" s="1358"/>
      <c r="E167" s="1358"/>
      <c r="F167" s="1358"/>
      <c r="G167" s="1358"/>
      <c r="H167" s="1358">
        <v>29.95</v>
      </c>
      <c r="I167" s="1358"/>
      <c r="J167" s="1358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 x14ac:dyDescent="0.25">
      <c r="A168" s="1357" t="s">
        <v>226</v>
      </c>
      <c r="B168" s="1358"/>
      <c r="C168" s="1358"/>
      <c r="D168" s="1358"/>
      <c r="E168" s="1358"/>
      <c r="F168" s="1358">
        <v>49.5</v>
      </c>
      <c r="G168" s="1358"/>
      <c r="H168" s="1358"/>
      <c r="I168" s="1358"/>
      <c r="J168" s="1358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 x14ac:dyDescent="0.25">
      <c r="A169" s="1357" t="s">
        <v>1059</v>
      </c>
      <c r="B169" s="1358"/>
      <c r="C169" s="1358">
        <v>49.49</v>
      </c>
      <c r="D169" s="1358"/>
      <c r="E169" s="1358"/>
      <c r="F169" s="1358"/>
      <c r="G169" s="1358"/>
      <c r="H169" s="1358"/>
      <c r="I169" s="1358"/>
      <c r="J169" s="1358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 x14ac:dyDescent="0.25">
      <c r="A170" s="1357" t="s">
        <v>864</v>
      </c>
      <c r="B170" s="1358"/>
      <c r="C170" s="1358"/>
      <c r="D170" s="1358"/>
      <c r="E170" s="1358"/>
      <c r="F170" s="1358"/>
      <c r="G170" s="1358"/>
      <c r="H170" s="1358">
        <v>48.5</v>
      </c>
      <c r="I170" s="1358"/>
      <c r="J170" s="1358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 x14ac:dyDescent="0.25">
      <c r="A171" s="1357" t="s">
        <v>1130</v>
      </c>
      <c r="B171" s="1358"/>
      <c r="C171" s="1358"/>
      <c r="D171" s="1358"/>
      <c r="E171" s="1358"/>
      <c r="F171" s="1358"/>
      <c r="G171" s="1358"/>
      <c r="H171" s="1358">
        <v>48.1</v>
      </c>
      <c r="I171" s="1358"/>
      <c r="J171" s="1358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 x14ac:dyDescent="0.25">
      <c r="A172" s="1357" t="s">
        <v>828</v>
      </c>
      <c r="B172" s="1358"/>
      <c r="C172" s="1358"/>
      <c r="D172" s="1358"/>
      <c r="E172" s="1358"/>
      <c r="F172" s="1358"/>
      <c r="G172" s="1358"/>
      <c r="H172" s="1358">
        <v>48</v>
      </c>
      <c r="I172" s="1358"/>
      <c r="J172" s="1358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 x14ac:dyDescent="0.25">
      <c r="A173" s="1357" t="s">
        <v>358</v>
      </c>
      <c r="B173" s="1358">
        <v>47.47</v>
      </c>
      <c r="C173" s="1358"/>
      <c r="D173" s="1358"/>
      <c r="E173" s="1358"/>
      <c r="F173" s="1358"/>
      <c r="G173" s="1358"/>
      <c r="H173" s="1358"/>
      <c r="I173" s="1358"/>
      <c r="J173" s="1358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 x14ac:dyDescent="0.25">
      <c r="A174" s="1357" t="s">
        <v>752</v>
      </c>
      <c r="B174" s="1358"/>
      <c r="C174" s="1358"/>
      <c r="D174" s="1358"/>
      <c r="E174" s="1358"/>
      <c r="F174" s="1358"/>
      <c r="G174" s="1358">
        <v>47.3</v>
      </c>
      <c r="H174" s="1358"/>
      <c r="I174" s="1358"/>
      <c r="J174" s="1358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 x14ac:dyDescent="0.25">
      <c r="A175" s="1357" t="s">
        <v>172</v>
      </c>
      <c r="B175" s="1358"/>
      <c r="C175" s="1358"/>
      <c r="D175" s="1358"/>
      <c r="E175" s="1358"/>
      <c r="F175" s="1358"/>
      <c r="G175" s="1358">
        <v>46</v>
      </c>
      <c r="H175" s="1358"/>
      <c r="I175" s="1358"/>
      <c r="J175" s="1358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 x14ac:dyDescent="0.25">
      <c r="A176" s="1357" t="s">
        <v>883</v>
      </c>
      <c r="B176" s="1358"/>
      <c r="C176" s="1358"/>
      <c r="D176" s="1358"/>
      <c r="E176" s="1358"/>
      <c r="F176" s="1358"/>
      <c r="G176" s="1358"/>
      <c r="H176" s="1358">
        <v>46</v>
      </c>
      <c r="I176" s="1358"/>
      <c r="J176" s="1358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 x14ac:dyDescent="0.25">
      <c r="A177" s="1357" t="s">
        <v>153</v>
      </c>
      <c r="B177" s="1358"/>
      <c r="C177" s="1358"/>
      <c r="D177" s="1358"/>
      <c r="E177" s="1358"/>
      <c r="F177" s="1358"/>
      <c r="G177" s="1358">
        <v>46</v>
      </c>
      <c r="H177" s="1358"/>
      <c r="I177" s="1358"/>
      <c r="J177" s="1358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 x14ac:dyDescent="0.25">
      <c r="A178" s="1357" t="s">
        <v>82</v>
      </c>
      <c r="B178" s="1358"/>
      <c r="C178" s="1358"/>
      <c r="D178" s="1358"/>
      <c r="E178" s="1358"/>
      <c r="F178" s="1358">
        <v>31.6</v>
      </c>
      <c r="G178" s="1358">
        <v>14</v>
      </c>
      <c r="H178" s="1358"/>
      <c r="I178" s="1358"/>
      <c r="J178" s="1358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 x14ac:dyDescent="0.25">
      <c r="A179" s="1357" t="s">
        <v>1018</v>
      </c>
      <c r="B179" s="1358"/>
      <c r="C179" s="1358"/>
      <c r="D179" s="1358"/>
      <c r="E179" s="1358"/>
      <c r="F179" s="1358">
        <v>45.349999999999994</v>
      </c>
      <c r="G179" s="1358"/>
      <c r="H179" s="1358"/>
      <c r="I179" s="1358"/>
      <c r="J179" s="1358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 x14ac:dyDescent="0.25">
      <c r="A180" s="1357" t="s">
        <v>240</v>
      </c>
      <c r="B180" s="1358">
        <v>32.4</v>
      </c>
      <c r="C180" s="1358"/>
      <c r="D180" s="1358"/>
      <c r="E180" s="1358"/>
      <c r="F180" s="1358">
        <v>12.6</v>
      </c>
      <c r="G180" s="1358"/>
      <c r="H180" s="1358"/>
      <c r="I180" s="1358"/>
      <c r="J180" s="1358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 x14ac:dyDescent="0.25">
      <c r="A181" s="1357" t="s">
        <v>268</v>
      </c>
      <c r="B181" s="1358"/>
      <c r="C181" s="1358"/>
      <c r="D181" s="1358"/>
      <c r="E181" s="1358">
        <v>45</v>
      </c>
      <c r="F181" s="1358"/>
      <c r="G181" s="1358"/>
      <c r="H181" s="1358"/>
      <c r="I181" s="1358"/>
      <c r="J181" s="1358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 x14ac:dyDescent="0.25">
      <c r="A182" s="1357" t="s">
        <v>283</v>
      </c>
      <c r="B182" s="1358"/>
      <c r="C182" s="1358"/>
      <c r="D182" s="1358"/>
      <c r="E182" s="1358">
        <v>45</v>
      </c>
      <c r="F182" s="1358"/>
      <c r="G182" s="1358"/>
      <c r="H182" s="1358"/>
      <c r="I182" s="1358"/>
      <c r="J182" s="1358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 x14ac:dyDescent="0.25">
      <c r="A183" s="1357" t="s">
        <v>849</v>
      </c>
      <c r="B183" s="1358"/>
      <c r="C183" s="1358"/>
      <c r="D183" s="1358"/>
      <c r="E183" s="1358"/>
      <c r="F183" s="1358"/>
      <c r="G183" s="1358"/>
      <c r="H183" s="1358">
        <v>18</v>
      </c>
      <c r="I183" s="1358">
        <v>26</v>
      </c>
      <c r="J183" s="1358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 x14ac:dyDescent="0.25">
      <c r="A184" s="1357" t="s">
        <v>118</v>
      </c>
      <c r="B184" s="1358"/>
      <c r="C184" s="1358"/>
      <c r="D184" s="1358"/>
      <c r="E184" s="1358"/>
      <c r="F184" s="1358"/>
      <c r="G184" s="1358">
        <v>44</v>
      </c>
      <c r="H184" s="1358"/>
      <c r="I184" s="1358"/>
      <c r="J184" s="1358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 x14ac:dyDescent="0.25">
      <c r="A185" s="1357" t="s">
        <v>754</v>
      </c>
      <c r="B185" s="1358"/>
      <c r="C185" s="1358"/>
      <c r="D185" s="1358"/>
      <c r="E185" s="1358"/>
      <c r="F185" s="1358"/>
      <c r="G185" s="1358">
        <v>43.6</v>
      </c>
      <c r="H185" s="1358"/>
      <c r="I185" s="1358"/>
      <c r="J185" s="1358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 x14ac:dyDescent="0.25">
      <c r="A186" s="1357" t="s">
        <v>279</v>
      </c>
      <c r="B186" s="1358"/>
      <c r="C186" s="1358"/>
      <c r="D186" s="1358">
        <v>19.5</v>
      </c>
      <c r="E186" s="1358">
        <v>23.3</v>
      </c>
      <c r="F186" s="1358"/>
      <c r="G186" s="1358"/>
      <c r="H186" s="1358"/>
      <c r="I186" s="1358"/>
      <c r="J186" s="1358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 x14ac:dyDescent="0.25">
      <c r="A187" s="1357" t="s">
        <v>903</v>
      </c>
      <c r="B187" s="1358"/>
      <c r="C187" s="1358"/>
      <c r="D187" s="1358"/>
      <c r="E187" s="1358"/>
      <c r="F187" s="1358"/>
      <c r="G187" s="1358"/>
      <c r="H187" s="1358">
        <v>42.46</v>
      </c>
      <c r="I187" s="1358"/>
      <c r="J187" s="1358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 x14ac:dyDescent="0.25">
      <c r="A188" s="1357" t="s">
        <v>165</v>
      </c>
      <c r="B188" s="1358"/>
      <c r="C188" s="1358"/>
      <c r="D188" s="1358"/>
      <c r="E188" s="1358"/>
      <c r="F188" s="1358">
        <v>21.77</v>
      </c>
      <c r="G188" s="1358">
        <v>20.190000000000001</v>
      </c>
      <c r="H188" s="1358"/>
      <c r="I188" s="1358"/>
      <c r="J188" s="1358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 x14ac:dyDescent="0.25">
      <c r="A189" s="1357" t="s">
        <v>256</v>
      </c>
      <c r="B189" s="1358"/>
      <c r="C189" s="1358"/>
      <c r="D189" s="1358"/>
      <c r="E189" s="1358"/>
      <c r="F189" s="1358">
        <v>20</v>
      </c>
      <c r="G189" s="1358"/>
      <c r="H189" s="1358"/>
      <c r="I189" s="1358">
        <v>21</v>
      </c>
      <c r="J189" s="1358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 x14ac:dyDescent="0.25">
      <c r="A190" s="1357" t="s">
        <v>1149</v>
      </c>
      <c r="B190" s="1358"/>
      <c r="C190" s="1358"/>
      <c r="D190" s="1358"/>
      <c r="E190" s="1358"/>
      <c r="F190" s="1358"/>
      <c r="G190" s="1358"/>
      <c r="H190" s="1358">
        <v>40</v>
      </c>
      <c r="I190" s="1358"/>
      <c r="J190" s="1358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 x14ac:dyDescent="0.25">
      <c r="A191" s="1357" t="s">
        <v>1121</v>
      </c>
      <c r="B191" s="1358"/>
      <c r="C191" s="1358"/>
      <c r="D191" s="1358"/>
      <c r="E191" s="1358"/>
      <c r="F191" s="1358"/>
      <c r="G191" s="1358"/>
      <c r="H191" s="1358">
        <v>40</v>
      </c>
      <c r="I191" s="1358"/>
      <c r="J191" s="1358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 x14ac:dyDescent="0.25">
      <c r="A192" s="1357" t="s">
        <v>880</v>
      </c>
      <c r="B192" s="1358"/>
      <c r="C192" s="1358"/>
      <c r="D192" s="1358"/>
      <c r="E192" s="1358"/>
      <c r="F192" s="1358"/>
      <c r="G192" s="1358"/>
      <c r="H192" s="1358">
        <v>40</v>
      </c>
      <c r="I192" s="1358"/>
      <c r="J192" s="1358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 x14ac:dyDescent="0.25">
      <c r="A193" s="1357" t="s">
        <v>896</v>
      </c>
      <c r="B193" s="1358"/>
      <c r="C193" s="1358"/>
      <c r="D193" s="1358"/>
      <c r="E193" s="1358"/>
      <c r="F193" s="1358"/>
      <c r="G193" s="1358"/>
      <c r="H193" s="1358">
        <v>40</v>
      </c>
      <c r="I193" s="1358"/>
      <c r="J193" s="1358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 x14ac:dyDescent="0.25">
      <c r="A194" s="1357" t="s">
        <v>858</v>
      </c>
      <c r="B194" s="1358"/>
      <c r="C194" s="1358"/>
      <c r="D194" s="1358"/>
      <c r="E194" s="1358"/>
      <c r="F194" s="1358"/>
      <c r="G194" s="1358"/>
      <c r="H194" s="1358">
        <v>40</v>
      </c>
      <c r="I194" s="1358"/>
      <c r="J194" s="1358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 x14ac:dyDescent="0.25">
      <c r="A195" s="1357" t="s">
        <v>992</v>
      </c>
      <c r="B195" s="1358"/>
      <c r="C195" s="1358"/>
      <c r="D195" s="1358"/>
      <c r="E195" s="1358"/>
      <c r="F195" s="1358"/>
      <c r="G195" s="1358"/>
      <c r="H195" s="1358">
        <v>40</v>
      </c>
      <c r="I195" s="1358"/>
      <c r="J195" s="1358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 x14ac:dyDescent="0.25">
      <c r="A196" s="1357" t="s">
        <v>1006</v>
      </c>
      <c r="B196" s="1358"/>
      <c r="C196" s="1358"/>
      <c r="D196" s="1358"/>
      <c r="E196" s="1358"/>
      <c r="F196" s="1358"/>
      <c r="G196" s="1358">
        <v>40</v>
      </c>
      <c r="H196" s="1358"/>
      <c r="I196" s="1358"/>
      <c r="J196" s="1358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 x14ac:dyDescent="0.25">
      <c r="A197" s="1357" t="s">
        <v>1184</v>
      </c>
      <c r="B197" s="1358"/>
      <c r="C197" s="1358"/>
      <c r="D197" s="1358"/>
      <c r="E197" s="1358"/>
      <c r="F197" s="1358"/>
      <c r="G197" s="1358"/>
      <c r="H197" s="1358"/>
      <c r="I197" s="1358">
        <v>40</v>
      </c>
      <c r="J197" s="1358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 x14ac:dyDescent="0.25">
      <c r="A198" s="1357" t="s">
        <v>263</v>
      </c>
      <c r="B198" s="1358"/>
      <c r="C198" s="1358"/>
      <c r="D198" s="1358"/>
      <c r="E198" s="1358">
        <v>39.879999999999995</v>
      </c>
      <c r="F198" s="1358"/>
      <c r="G198" s="1358"/>
      <c r="H198" s="1358"/>
      <c r="I198" s="1358"/>
      <c r="J198" s="1358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 x14ac:dyDescent="0.25">
      <c r="A199" s="1357" t="s">
        <v>333</v>
      </c>
      <c r="B199" s="1358"/>
      <c r="C199" s="1358">
        <v>31.230000000000004</v>
      </c>
      <c r="D199" s="1358">
        <v>8.24</v>
      </c>
      <c r="E199" s="1358"/>
      <c r="F199" s="1358"/>
      <c r="G199" s="1358"/>
      <c r="H199" s="1358"/>
      <c r="I199" s="1358"/>
      <c r="J199" s="1358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 x14ac:dyDescent="0.25">
      <c r="A200" s="1357" t="s">
        <v>905</v>
      </c>
      <c r="B200" s="1358"/>
      <c r="C200" s="1358"/>
      <c r="D200" s="1358"/>
      <c r="E200" s="1358"/>
      <c r="F200" s="1358"/>
      <c r="G200" s="1358"/>
      <c r="H200" s="1358">
        <v>39.200000000000003</v>
      </c>
      <c r="I200" s="1358"/>
      <c r="J200" s="1358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 x14ac:dyDescent="0.25">
      <c r="A201" s="1357" t="s">
        <v>157</v>
      </c>
      <c r="B201" s="1358"/>
      <c r="C201" s="1358"/>
      <c r="D201" s="1358"/>
      <c r="E201" s="1358"/>
      <c r="F201" s="1358"/>
      <c r="G201" s="1358">
        <v>38.9</v>
      </c>
      <c r="H201" s="1358"/>
      <c r="I201" s="1358"/>
      <c r="J201" s="1358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 x14ac:dyDescent="0.25">
      <c r="A202" s="1357" t="s">
        <v>360</v>
      </c>
      <c r="B202" s="1358">
        <v>38.86</v>
      </c>
      <c r="C202" s="1358"/>
      <c r="D202" s="1358"/>
      <c r="E202" s="1358"/>
      <c r="F202" s="1358"/>
      <c r="G202" s="1358"/>
      <c r="H202" s="1358"/>
      <c r="I202" s="1358"/>
      <c r="J202" s="1358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 x14ac:dyDescent="0.25">
      <c r="A203" s="1357" t="s">
        <v>862</v>
      </c>
      <c r="B203" s="1358"/>
      <c r="C203" s="1358"/>
      <c r="D203" s="1358"/>
      <c r="E203" s="1358"/>
      <c r="F203" s="1358"/>
      <c r="G203" s="1358"/>
      <c r="H203" s="1358">
        <v>38.5</v>
      </c>
      <c r="I203" s="1358"/>
      <c r="J203" s="1358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 x14ac:dyDescent="0.25">
      <c r="A204" s="1357" t="s">
        <v>170</v>
      </c>
      <c r="B204" s="1358"/>
      <c r="C204" s="1358"/>
      <c r="D204" s="1358">
        <v>12.85</v>
      </c>
      <c r="E204" s="1358"/>
      <c r="F204" s="1358"/>
      <c r="G204" s="1358">
        <v>25.5</v>
      </c>
      <c r="H204" s="1358"/>
      <c r="I204" s="1358"/>
      <c r="J204" s="1358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 x14ac:dyDescent="0.25">
      <c r="A205" s="1357" t="s">
        <v>128</v>
      </c>
      <c r="B205" s="1358"/>
      <c r="C205" s="1358"/>
      <c r="D205" s="1358"/>
      <c r="E205" s="1358"/>
      <c r="F205" s="1358"/>
      <c r="G205" s="1358">
        <v>38</v>
      </c>
      <c r="H205" s="1358"/>
      <c r="I205" s="1358"/>
      <c r="J205" s="1358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 x14ac:dyDescent="0.25">
      <c r="A206" s="1357" t="s">
        <v>132</v>
      </c>
      <c r="B206" s="1358"/>
      <c r="C206" s="1358"/>
      <c r="D206" s="1358"/>
      <c r="E206" s="1358"/>
      <c r="F206" s="1358"/>
      <c r="G206" s="1358">
        <v>37.5</v>
      </c>
      <c r="H206" s="1358"/>
      <c r="I206" s="1358"/>
      <c r="J206" s="1358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 x14ac:dyDescent="0.25">
      <c r="A207" s="1357" t="s">
        <v>84</v>
      </c>
      <c r="B207" s="1358"/>
      <c r="C207" s="1358"/>
      <c r="D207" s="1358"/>
      <c r="E207" s="1358"/>
      <c r="F207" s="1358"/>
      <c r="G207" s="1358">
        <v>37.200000000000003</v>
      </c>
      <c r="H207" s="1358"/>
      <c r="I207" s="1358"/>
      <c r="J207" s="1358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 x14ac:dyDescent="0.25">
      <c r="A208" s="1357" t="s">
        <v>1147</v>
      </c>
      <c r="B208" s="1358"/>
      <c r="C208" s="1358"/>
      <c r="D208" s="1358"/>
      <c r="E208" s="1358"/>
      <c r="F208" s="1358"/>
      <c r="G208" s="1358"/>
      <c r="H208" s="1358">
        <v>37</v>
      </c>
      <c r="I208" s="1358"/>
      <c r="J208" s="1358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 x14ac:dyDescent="0.25">
      <c r="A209" s="1357" t="s">
        <v>979</v>
      </c>
      <c r="B209" s="1358"/>
      <c r="C209" s="1358"/>
      <c r="D209" s="1358"/>
      <c r="E209" s="1358"/>
      <c r="F209" s="1358"/>
      <c r="G209" s="1358"/>
      <c r="H209" s="1358">
        <v>37</v>
      </c>
      <c r="I209" s="1358"/>
      <c r="J209" s="1358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 x14ac:dyDescent="0.25">
      <c r="A210" s="1357" t="s">
        <v>1142</v>
      </c>
      <c r="B210" s="1358"/>
      <c r="C210" s="1358"/>
      <c r="D210" s="1358"/>
      <c r="E210" s="1358"/>
      <c r="F210" s="1358"/>
      <c r="G210" s="1358"/>
      <c r="H210" s="1358">
        <v>36.799999999999997</v>
      </c>
      <c r="I210" s="1358"/>
      <c r="J210" s="1358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 x14ac:dyDescent="0.25">
      <c r="A211" s="1357" t="s">
        <v>865</v>
      </c>
      <c r="B211" s="1358"/>
      <c r="C211" s="1358"/>
      <c r="D211" s="1358"/>
      <c r="E211" s="1358"/>
      <c r="F211" s="1358"/>
      <c r="G211" s="1358"/>
      <c r="H211" s="1358">
        <v>36.56</v>
      </c>
      <c r="I211" s="1358"/>
      <c r="J211" s="1358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 x14ac:dyDescent="0.25">
      <c r="A212" s="1357" t="s">
        <v>208</v>
      </c>
      <c r="B212" s="1358"/>
      <c r="C212" s="1358"/>
      <c r="D212" s="1358"/>
      <c r="E212" s="1358"/>
      <c r="F212" s="1358">
        <v>36.1</v>
      </c>
      <c r="G212" s="1358"/>
      <c r="H212" s="1358"/>
      <c r="I212" s="1358"/>
      <c r="J212" s="1358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 x14ac:dyDescent="0.25">
      <c r="A213" s="1357" t="s">
        <v>290</v>
      </c>
      <c r="B213" s="1358"/>
      <c r="C213" s="1358"/>
      <c r="D213" s="1358"/>
      <c r="E213" s="1358">
        <v>36</v>
      </c>
      <c r="F213" s="1358"/>
      <c r="G213" s="1358"/>
      <c r="H213" s="1358"/>
      <c r="I213" s="1358"/>
      <c r="J213" s="1358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 x14ac:dyDescent="0.25">
      <c r="A214" s="1357" t="s">
        <v>87</v>
      </c>
      <c r="B214" s="1358"/>
      <c r="C214" s="1358"/>
      <c r="D214" s="1358"/>
      <c r="E214" s="1358"/>
      <c r="F214" s="1358"/>
      <c r="G214" s="1358">
        <v>36</v>
      </c>
      <c r="H214" s="1358"/>
      <c r="I214" s="1358"/>
      <c r="J214" s="1358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 x14ac:dyDescent="0.25">
      <c r="A215" s="1357" t="s">
        <v>252</v>
      </c>
      <c r="B215" s="1358"/>
      <c r="C215" s="1358"/>
      <c r="D215" s="1358"/>
      <c r="E215" s="1358"/>
      <c r="F215" s="1358">
        <v>36</v>
      </c>
      <c r="G215" s="1358"/>
      <c r="H215" s="1358"/>
      <c r="I215" s="1358"/>
      <c r="J215" s="1358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 x14ac:dyDescent="0.25">
      <c r="A216" s="1357" t="s">
        <v>1122</v>
      </c>
      <c r="B216" s="1358"/>
      <c r="C216" s="1358"/>
      <c r="D216" s="1358"/>
      <c r="E216" s="1358"/>
      <c r="F216" s="1358"/>
      <c r="G216" s="1358"/>
      <c r="H216" s="1358">
        <v>36</v>
      </c>
      <c r="I216" s="1358"/>
      <c r="J216" s="1358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 x14ac:dyDescent="0.25">
      <c r="A217" s="1357" t="s">
        <v>872</v>
      </c>
      <c r="B217" s="1358"/>
      <c r="C217" s="1358"/>
      <c r="D217" s="1358"/>
      <c r="E217" s="1358"/>
      <c r="F217" s="1358"/>
      <c r="G217" s="1358"/>
      <c r="H217" s="1358">
        <v>35</v>
      </c>
      <c r="I217" s="1358"/>
      <c r="J217" s="1358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 x14ac:dyDescent="0.25">
      <c r="A218" s="1357" t="s">
        <v>179</v>
      </c>
      <c r="B218" s="1358"/>
      <c r="C218" s="1358"/>
      <c r="D218" s="1358"/>
      <c r="E218" s="1358"/>
      <c r="F218" s="1358"/>
      <c r="G218" s="1358">
        <v>35</v>
      </c>
      <c r="H218" s="1358"/>
      <c r="I218" s="1358"/>
      <c r="J218" s="1358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 x14ac:dyDescent="0.25">
      <c r="A219" s="1357" t="s">
        <v>216</v>
      </c>
      <c r="B219" s="1358"/>
      <c r="C219" s="1358"/>
      <c r="D219" s="1358"/>
      <c r="E219" s="1358"/>
      <c r="F219" s="1358">
        <v>34</v>
      </c>
      <c r="G219" s="1358"/>
      <c r="H219" s="1358"/>
      <c r="I219" s="1358"/>
      <c r="J219" s="1358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 x14ac:dyDescent="0.25">
      <c r="A220" s="1357" t="s">
        <v>217</v>
      </c>
      <c r="B220" s="1358"/>
      <c r="C220" s="1358"/>
      <c r="D220" s="1358"/>
      <c r="E220" s="1358"/>
      <c r="F220" s="1358">
        <v>34</v>
      </c>
      <c r="G220" s="1358"/>
      <c r="H220" s="1358"/>
      <c r="I220" s="1358"/>
      <c r="J220" s="1358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 x14ac:dyDescent="0.25">
      <c r="A221" s="1357" t="s">
        <v>1060</v>
      </c>
      <c r="B221" s="1358"/>
      <c r="C221" s="1358"/>
      <c r="D221" s="1358"/>
      <c r="E221" s="1358"/>
      <c r="F221" s="1358"/>
      <c r="G221" s="1358"/>
      <c r="H221" s="1358">
        <v>34</v>
      </c>
      <c r="I221" s="1358"/>
      <c r="J221" s="1358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 x14ac:dyDescent="0.25">
      <c r="A222" s="1357" t="s">
        <v>1146</v>
      </c>
      <c r="B222" s="1358"/>
      <c r="C222" s="1358"/>
      <c r="D222" s="1358"/>
      <c r="E222" s="1358"/>
      <c r="F222" s="1358"/>
      <c r="G222" s="1358"/>
      <c r="H222" s="1358">
        <v>33.9</v>
      </c>
      <c r="I222" s="1358"/>
      <c r="J222" s="1358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 x14ac:dyDescent="0.25">
      <c r="A223" s="1357" t="s">
        <v>1155</v>
      </c>
      <c r="B223" s="1358"/>
      <c r="C223" s="1358"/>
      <c r="D223" s="1358"/>
      <c r="E223" s="1358"/>
      <c r="F223" s="1358"/>
      <c r="G223" s="1358"/>
      <c r="H223" s="1358"/>
      <c r="I223" s="1358">
        <v>33.5</v>
      </c>
      <c r="J223" s="1358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 x14ac:dyDescent="0.25">
      <c r="A224" s="1357" t="s">
        <v>914</v>
      </c>
      <c r="B224" s="1358"/>
      <c r="C224" s="1358"/>
      <c r="D224" s="1358"/>
      <c r="E224" s="1358"/>
      <c r="F224" s="1358"/>
      <c r="G224" s="1358"/>
      <c r="H224" s="1358">
        <v>33.33</v>
      </c>
      <c r="I224" s="1358"/>
      <c r="J224" s="1358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 x14ac:dyDescent="0.25">
      <c r="A225" s="1357" t="s">
        <v>319</v>
      </c>
      <c r="B225" s="1358"/>
      <c r="C225" s="1358"/>
      <c r="D225" s="1358">
        <v>33</v>
      </c>
      <c r="E225" s="1358"/>
      <c r="F225" s="1358"/>
      <c r="G225" s="1358"/>
      <c r="H225" s="1358"/>
      <c r="I225" s="1358"/>
      <c r="J225" s="1358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 x14ac:dyDescent="0.25">
      <c r="A226" s="1357" t="s">
        <v>1143</v>
      </c>
      <c r="B226" s="1358"/>
      <c r="C226" s="1358"/>
      <c r="D226" s="1358"/>
      <c r="E226" s="1358"/>
      <c r="F226" s="1358"/>
      <c r="G226" s="1358"/>
      <c r="H226" s="1358">
        <v>33</v>
      </c>
      <c r="I226" s="1358"/>
      <c r="J226" s="1358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 x14ac:dyDescent="0.25">
      <c r="A227" s="1357" t="s">
        <v>1070</v>
      </c>
      <c r="B227" s="1358"/>
      <c r="C227" s="1358"/>
      <c r="D227" s="1358"/>
      <c r="E227" s="1358"/>
      <c r="F227" s="1358"/>
      <c r="G227" s="1358"/>
      <c r="H227" s="1358">
        <v>32.799999999999997</v>
      </c>
      <c r="I227" s="1358"/>
      <c r="J227" s="1358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 x14ac:dyDescent="0.25">
      <c r="A228" s="1357" t="s">
        <v>1123</v>
      </c>
      <c r="B228" s="1358"/>
      <c r="C228" s="1358"/>
      <c r="D228" s="1358"/>
      <c r="E228" s="1358"/>
      <c r="F228" s="1358"/>
      <c r="G228" s="1358"/>
      <c r="H228" s="1358">
        <v>32.5</v>
      </c>
      <c r="I228" s="1358"/>
      <c r="J228" s="1358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 x14ac:dyDescent="0.25">
      <c r="A229" s="1357" t="s">
        <v>316</v>
      </c>
      <c r="B229" s="1358"/>
      <c r="C229" s="1358"/>
      <c r="D229" s="1358">
        <v>32.08</v>
      </c>
      <c r="E229" s="1358"/>
      <c r="F229" s="1358"/>
      <c r="G229" s="1358"/>
      <c r="H229" s="1358"/>
      <c r="I229" s="1358"/>
      <c r="J229" s="1358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 x14ac:dyDescent="0.25">
      <c r="A230" s="1357" t="s">
        <v>332</v>
      </c>
      <c r="B230" s="1358"/>
      <c r="C230" s="1358"/>
      <c r="D230" s="1358">
        <v>32</v>
      </c>
      <c r="E230" s="1358"/>
      <c r="F230" s="1358"/>
      <c r="G230" s="1358"/>
      <c r="H230" s="1358"/>
      <c r="I230" s="1358"/>
      <c r="J230" s="1358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 x14ac:dyDescent="0.25">
      <c r="A231" s="1357" t="s">
        <v>90</v>
      </c>
      <c r="B231" s="1358"/>
      <c r="C231" s="1358"/>
      <c r="D231" s="1358"/>
      <c r="E231" s="1358"/>
      <c r="F231" s="1358"/>
      <c r="G231" s="1358">
        <v>31.51</v>
      </c>
      <c r="H231" s="1358"/>
      <c r="I231" s="1358"/>
      <c r="J231" s="1358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 x14ac:dyDescent="0.25">
      <c r="A232" s="1357" t="s">
        <v>285</v>
      </c>
      <c r="B232" s="1358"/>
      <c r="C232" s="1358"/>
      <c r="D232" s="1358"/>
      <c r="E232" s="1358">
        <v>31.5</v>
      </c>
      <c r="F232" s="1358"/>
      <c r="G232" s="1358"/>
      <c r="H232" s="1358"/>
      <c r="I232" s="1358"/>
      <c r="J232" s="1358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 x14ac:dyDescent="0.25">
      <c r="A233" s="1357" t="s">
        <v>320</v>
      </c>
      <c r="B233" s="1358"/>
      <c r="C233" s="1358"/>
      <c r="D233" s="1358">
        <v>31.5</v>
      </c>
      <c r="E233" s="1358"/>
      <c r="F233" s="1358"/>
      <c r="G233" s="1358"/>
      <c r="H233" s="1358"/>
      <c r="I233" s="1358"/>
      <c r="J233" s="1358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 x14ac:dyDescent="0.25">
      <c r="A234" s="1357" t="s">
        <v>95</v>
      </c>
      <c r="B234" s="1358"/>
      <c r="C234" s="1358"/>
      <c r="D234" s="1358"/>
      <c r="E234" s="1358"/>
      <c r="F234" s="1358"/>
      <c r="G234" s="1358">
        <v>31.2</v>
      </c>
      <c r="H234" s="1358"/>
      <c r="I234" s="1358"/>
      <c r="J234" s="1358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 x14ac:dyDescent="0.25">
      <c r="A235" s="1357" t="s">
        <v>237</v>
      </c>
      <c r="B235" s="1358"/>
      <c r="C235" s="1358"/>
      <c r="D235" s="1358"/>
      <c r="E235" s="1358">
        <v>23.5</v>
      </c>
      <c r="F235" s="1358">
        <v>7.5</v>
      </c>
      <c r="G235" s="1358"/>
      <c r="H235" s="1358"/>
      <c r="I235" s="1358"/>
      <c r="J235" s="1358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 x14ac:dyDescent="0.25">
      <c r="A236" s="1357" t="s">
        <v>254</v>
      </c>
      <c r="B236" s="1358"/>
      <c r="C236" s="1358"/>
      <c r="D236" s="1358"/>
      <c r="E236" s="1358">
        <v>8</v>
      </c>
      <c r="F236" s="1358">
        <v>23</v>
      </c>
      <c r="G236" s="1358"/>
      <c r="H236" s="1358"/>
      <c r="I236" s="1358"/>
      <c r="J236" s="1358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 x14ac:dyDescent="0.25">
      <c r="A237" s="1357" t="s">
        <v>769</v>
      </c>
      <c r="B237" s="1358"/>
      <c r="C237" s="1358"/>
      <c r="D237" s="1358"/>
      <c r="E237" s="1358"/>
      <c r="F237" s="1358"/>
      <c r="G237" s="1358">
        <v>30.8</v>
      </c>
      <c r="H237" s="1358"/>
      <c r="I237" s="1358"/>
      <c r="J237" s="1358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 x14ac:dyDescent="0.25">
      <c r="A238" s="1357" t="s">
        <v>205</v>
      </c>
      <c r="B238" s="1358"/>
      <c r="C238" s="1358"/>
      <c r="D238" s="1358"/>
      <c r="E238" s="1358"/>
      <c r="F238" s="1358">
        <v>30.45</v>
      </c>
      <c r="G238" s="1358"/>
      <c r="H238" s="1358"/>
      <c r="I238" s="1358"/>
      <c r="J238" s="1358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 x14ac:dyDescent="0.25">
      <c r="A239" s="1357" t="s">
        <v>213</v>
      </c>
      <c r="B239" s="1358"/>
      <c r="C239" s="1358"/>
      <c r="D239" s="1358"/>
      <c r="E239" s="1358"/>
      <c r="F239" s="1358">
        <v>30.19</v>
      </c>
      <c r="G239" s="1358"/>
      <c r="H239" s="1358"/>
      <c r="I239" s="1358"/>
      <c r="J239" s="1358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 x14ac:dyDescent="0.25">
      <c r="A240" s="1357" t="s">
        <v>1023</v>
      </c>
      <c r="B240" s="1358"/>
      <c r="C240" s="1358"/>
      <c r="D240" s="1358"/>
      <c r="E240" s="1358"/>
      <c r="F240" s="1358"/>
      <c r="G240" s="1358"/>
      <c r="H240" s="1358">
        <v>30</v>
      </c>
      <c r="I240" s="1358"/>
      <c r="J240" s="1358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 x14ac:dyDescent="0.25">
      <c r="A241" s="1357" t="s">
        <v>1118</v>
      </c>
      <c r="B241" s="1358"/>
      <c r="C241" s="1358"/>
      <c r="D241" s="1358"/>
      <c r="E241" s="1358"/>
      <c r="F241" s="1358"/>
      <c r="G241" s="1358"/>
      <c r="H241" s="1358">
        <v>30</v>
      </c>
      <c r="I241" s="1358"/>
      <c r="J241" s="1358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 x14ac:dyDescent="0.25">
      <c r="A242" s="1357" t="s">
        <v>1017</v>
      </c>
      <c r="B242" s="1358"/>
      <c r="C242" s="1358">
        <v>7.99</v>
      </c>
      <c r="D242" s="1358"/>
      <c r="E242" s="1358"/>
      <c r="F242" s="1358">
        <v>20.98</v>
      </c>
      <c r="G242" s="1358">
        <v>1</v>
      </c>
      <c r="H242" s="1358"/>
      <c r="I242" s="1358"/>
      <c r="J242" s="1358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 x14ac:dyDescent="0.25">
      <c r="A243" s="1357" t="s">
        <v>161</v>
      </c>
      <c r="B243" s="1358"/>
      <c r="C243" s="1358"/>
      <c r="D243" s="1358"/>
      <c r="E243" s="1358"/>
      <c r="F243" s="1358"/>
      <c r="G243" s="1358">
        <v>29.95</v>
      </c>
      <c r="H243" s="1358"/>
      <c r="I243" s="1358"/>
      <c r="J243" s="1358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 x14ac:dyDescent="0.25">
      <c r="A244" s="1357" t="s">
        <v>342</v>
      </c>
      <c r="B244" s="1358"/>
      <c r="C244" s="1358">
        <v>29.8</v>
      </c>
      <c r="D244" s="1358"/>
      <c r="E244" s="1358"/>
      <c r="F244" s="1358"/>
      <c r="G244" s="1358"/>
      <c r="H244" s="1358"/>
      <c r="I244" s="1358"/>
      <c r="J244" s="1358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 x14ac:dyDescent="0.25">
      <c r="A245" s="1357" t="s">
        <v>238</v>
      </c>
      <c r="B245" s="1358"/>
      <c r="C245" s="1358"/>
      <c r="D245" s="1358"/>
      <c r="E245" s="1358"/>
      <c r="F245" s="1358">
        <v>29.6</v>
      </c>
      <c r="G245" s="1358"/>
      <c r="H245" s="1358"/>
      <c r="I245" s="1358"/>
      <c r="J245" s="1358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 x14ac:dyDescent="0.25">
      <c r="A246" s="1357" t="s">
        <v>1009</v>
      </c>
      <c r="B246" s="1358"/>
      <c r="C246" s="1358"/>
      <c r="D246" s="1358"/>
      <c r="E246" s="1358"/>
      <c r="F246" s="1358">
        <v>8.49</v>
      </c>
      <c r="G246" s="1358">
        <v>8.49</v>
      </c>
      <c r="H246" s="1358">
        <v>12.49</v>
      </c>
      <c r="I246" s="1358"/>
      <c r="J246" s="1358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 x14ac:dyDescent="0.25">
      <c r="A247" s="1357" t="s">
        <v>214</v>
      </c>
      <c r="B247" s="1358"/>
      <c r="C247" s="1358"/>
      <c r="D247" s="1358"/>
      <c r="E247" s="1358"/>
      <c r="F247" s="1358">
        <v>29</v>
      </c>
      <c r="G247" s="1358"/>
      <c r="H247" s="1358"/>
      <c r="I247" s="1358"/>
      <c r="J247" s="1358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 x14ac:dyDescent="0.25">
      <c r="A248" s="1357" t="s">
        <v>98</v>
      </c>
      <c r="B248" s="1358"/>
      <c r="C248" s="1358"/>
      <c r="D248" s="1358"/>
      <c r="E248" s="1358"/>
      <c r="F248" s="1358"/>
      <c r="G248" s="1358">
        <v>29</v>
      </c>
      <c r="H248" s="1358"/>
      <c r="I248" s="1358"/>
      <c r="J248" s="1358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 x14ac:dyDescent="0.25">
      <c r="A249" s="1357" t="s">
        <v>763</v>
      </c>
      <c r="B249" s="1358"/>
      <c r="C249" s="1358"/>
      <c r="D249" s="1358"/>
      <c r="E249" s="1358"/>
      <c r="F249" s="1358"/>
      <c r="G249" s="1358">
        <v>28.6</v>
      </c>
      <c r="H249" s="1358"/>
      <c r="I249" s="1358"/>
      <c r="J249" s="1358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 x14ac:dyDescent="0.25">
      <c r="A250" s="1357" t="s">
        <v>820</v>
      </c>
      <c r="B250" s="1358"/>
      <c r="C250" s="1358"/>
      <c r="D250" s="1358"/>
      <c r="E250" s="1358"/>
      <c r="F250" s="1358"/>
      <c r="G250" s="1358"/>
      <c r="H250" s="1358">
        <v>28</v>
      </c>
      <c r="I250" s="1358"/>
      <c r="J250" s="1358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 x14ac:dyDescent="0.25">
      <c r="A251" s="1357" t="s">
        <v>272</v>
      </c>
      <c r="B251" s="1358"/>
      <c r="C251" s="1358"/>
      <c r="D251" s="1358"/>
      <c r="E251" s="1358">
        <v>27.99</v>
      </c>
      <c r="F251" s="1358"/>
      <c r="G251" s="1358"/>
      <c r="H251" s="1358"/>
      <c r="I251" s="1358"/>
      <c r="J251" s="1358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 x14ac:dyDescent="0.25">
      <c r="A252" s="1357" t="s">
        <v>336</v>
      </c>
      <c r="B252" s="1358"/>
      <c r="C252" s="1358">
        <v>27.99</v>
      </c>
      <c r="D252" s="1358"/>
      <c r="E252" s="1358"/>
      <c r="F252" s="1358"/>
      <c r="G252" s="1358"/>
      <c r="H252" s="1358"/>
      <c r="I252" s="1358"/>
      <c r="J252" s="1358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 x14ac:dyDescent="0.25">
      <c r="A253" s="1357" t="s">
        <v>1144</v>
      </c>
      <c r="B253" s="1358"/>
      <c r="C253" s="1358"/>
      <c r="D253" s="1358"/>
      <c r="E253" s="1358"/>
      <c r="F253" s="1358"/>
      <c r="G253" s="1358"/>
      <c r="H253" s="1358">
        <v>27.5</v>
      </c>
      <c r="I253" s="1358"/>
      <c r="J253" s="1358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 x14ac:dyDescent="0.25">
      <c r="A254" s="1357" t="s">
        <v>201</v>
      </c>
      <c r="B254" s="1358"/>
      <c r="C254" s="1358"/>
      <c r="D254" s="1358"/>
      <c r="E254" s="1358"/>
      <c r="F254" s="1358">
        <v>27.19</v>
      </c>
      <c r="G254" s="1358"/>
      <c r="H254" s="1358"/>
      <c r="I254" s="1358"/>
      <c r="J254" s="1358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 x14ac:dyDescent="0.25">
      <c r="A255" s="1357" t="s">
        <v>271</v>
      </c>
      <c r="B255" s="1358"/>
      <c r="C255" s="1358"/>
      <c r="D255" s="1358"/>
      <c r="E255" s="1358">
        <v>27.12</v>
      </c>
      <c r="F255" s="1358"/>
      <c r="G255" s="1358"/>
      <c r="H255" s="1358"/>
      <c r="I255" s="1358"/>
      <c r="J255" s="1358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 x14ac:dyDescent="0.25">
      <c r="A256" s="1357" t="s">
        <v>261</v>
      </c>
      <c r="B256" s="1358"/>
      <c r="C256" s="1358"/>
      <c r="D256" s="1358"/>
      <c r="E256" s="1358">
        <v>27</v>
      </c>
      <c r="F256" s="1358"/>
      <c r="G256" s="1358"/>
      <c r="H256" s="1358"/>
      <c r="I256" s="1358"/>
      <c r="J256" s="1358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 x14ac:dyDescent="0.25">
      <c r="A257" s="1357" t="s">
        <v>286</v>
      </c>
      <c r="B257" s="1358"/>
      <c r="C257" s="1358"/>
      <c r="D257" s="1358"/>
      <c r="E257" s="1358">
        <v>27</v>
      </c>
      <c r="F257" s="1358"/>
      <c r="G257" s="1358"/>
      <c r="H257" s="1358"/>
      <c r="I257" s="1358"/>
      <c r="J257" s="1358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 x14ac:dyDescent="0.25">
      <c r="A258" s="1357" t="s">
        <v>340</v>
      </c>
      <c r="B258" s="1358"/>
      <c r="C258" s="1358">
        <v>27</v>
      </c>
      <c r="D258" s="1358"/>
      <c r="E258" s="1358"/>
      <c r="F258" s="1358"/>
      <c r="G258" s="1358"/>
      <c r="H258" s="1358"/>
      <c r="I258" s="1358"/>
      <c r="J258" s="1358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 x14ac:dyDescent="0.25">
      <c r="A259" s="1357" t="s">
        <v>187</v>
      </c>
      <c r="B259" s="1358"/>
      <c r="C259" s="1358"/>
      <c r="D259" s="1358"/>
      <c r="E259" s="1358"/>
      <c r="F259" s="1358">
        <v>27</v>
      </c>
      <c r="G259" s="1358"/>
      <c r="H259" s="1358"/>
      <c r="I259" s="1358"/>
      <c r="J259" s="1358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 x14ac:dyDescent="0.25">
      <c r="A260" s="1357" t="s">
        <v>748</v>
      </c>
      <c r="B260" s="1358"/>
      <c r="C260" s="1358"/>
      <c r="D260" s="1358"/>
      <c r="E260" s="1358"/>
      <c r="F260" s="1358"/>
      <c r="G260" s="1358">
        <v>26.8</v>
      </c>
      <c r="H260" s="1358"/>
      <c r="I260" s="1358"/>
      <c r="J260" s="1358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 x14ac:dyDescent="0.25">
      <c r="A261" s="1357" t="s">
        <v>910</v>
      </c>
      <c r="B261" s="1358"/>
      <c r="C261" s="1358"/>
      <c r="D261" s="1358"/>
      <c r="E261" s="1358"/>
      <c r="F261" s="1358"/>
      <c r="G261" s="1358"/>
      <c r="H261" s="1358">
        <v>26.25</v>
      </c>
      <c r="I261" s="1358"/>
      <c r="J261" s="1358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 x14ac:dyDescent="0.25">
      <c r="A262" s="1357" t="s">
        <v>882</v>
      </c>
      <c r="B262" s="1358"/>
      <c r="C262" s="1358"/>
      <c r="D262" s="1358"/>
      <c r="E262" s="1358"/>
      <c r="F262" s="1358"/>
      <c r="G262" s="1358"/>
      <c r="H262" s="1358">
        <v>26</v>
      </c>
      <c r="I262" s="1358"/>
      <c r="J262" s="1358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 x14ac:dyDescent="0.25">
      <c r="A263" s="1357" t="s">
        <v>313</v>
      </c>
      <c r="B263" s="1358"/>
      <c r="C263" s="1358"/>
      <c r="D263" s="1358">
        <v>26</v>
      </c>
      <c r="E263" s="1358"/>
      <c r="F263" s="1358"/>
      <c r="G263" s="1358"/>
      <c r="H263" s="1358"/>
      <c r="I263" s="1358"/>
      <c r="J263" s="1358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 x14ac:dyDescent="0.25">
      <c r="A264" s="1357" t="s">
        <v>1173</v>
      </c>
      <c r="B264" s="1358"/>
      <c r="C264" s="1358"/>
      <c r="D264" s="1358"/>
      <c r="E264" s="1358"/>
      <c r="F264" s="1358"/>
      <c r="G264" s="1358"/>
      <c r="H264" s="1358"/>
      <c r="I264" s="1358">
        <v>25.82</v>
      </c>
      <c r="J264" s="1358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 x14ac:dyDescent="0.25">
      <c r="A265" s="1357" t="s">
        <v>133</v>
      </c>
      <c r="B265" s="1358"/>
      <c r="C265" s="1358"/>
      <c r="D265" s="1358"/>
      <c r="E265" s="1358"/>
      <c r="F265" s="1358"/>
      <c r="G265" s="1358">
        <v>25.5</v>
      </c>
      <c r="H265" s="1358"/>
      <c r="I265" s="1358"/>
      <c r="J265" s="1358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 x14ac:dyDescent="0.25">
      <c r="A266" s="1357" t="s">
        <v>1022</v>
      </c>
      <c r="B266" s="1358"/>
      <c r="C266" s="1358"/>
      <c r="D266" s="1358"/>
      <c r="E266" s="1358"/>
      <c r="F266" s="1358"/>
      <c r="G266" s="1358"/>
      <c r="H266" s="1358">
        <v>25</v>
      </c>
      <c r="I266" s="1358"/>
      <c r="J266" s="1358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 x14ac:dyDescent="0.25">
      <c r="A267" s="1357" t="s">
        <v>818</v>
      </c>
      <c r="B267" s="1358"/>
      <c r="C267" s="1358"/>
      <c r="D267" s="1358"/>
      <c r="E267" s="1358"/>
      <c r="F267" s="1358"/>
      <c r="G267" s="1358"/>
      <c r="H267" s="1358">
        <v>25</v>
      </c>
      <c r="I267" s="1358"/>
      <c r="J267" s="1358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 x14ac:dyDescent="0.25">
      <c r="A268" s="1357" t="s">
        <v>242</v>
      </c>
      <c r="B268" s="1358"/>
      <c r="C268" s="1358"/>
      <c r="D268" s="1358"/>
      <c r="E268" s="1358"/>
      <c r="F268" s="1358">
        <v>25</v>
      </c>
      <c r="G268" s="1358"/>
      <c r="H268" s="1358"/>
      <c r="I268" s="1358"/>
      <c r="J268" s="1358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 x14ac:dyDescent="0.25">
      <c r="A269" s="1357" t="s">
        <v>212</v>
      </c>
      <c r="B269" s="1358"/>
      <c r="C269" s="1358"/>
      <c r="D269" s="1358"/>
      <c r="E269" s="1358"/>
      <c r="F269" s="1358">
        <v>25</v>
      </c>
      <c r="G269" s="1358"/>
      <c r="H269" s="1358"/>
      <c r="I269" s="1358"/>
      <c r="J269" s="1358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 x14ac:dyDescent="0.25">
      <c r="A270" s="1357" t="s">
        <v>186</v>
      </c>
      <c r="B270" s="1358"/>
      <c r="C270" s="1358"/>
      <c r="D270" s="1358"/>
      <c r="E270" s="1358"/>
      <c r="F270" s="1358"/>
      <c r="G270" s="1358">
        <v>24.2</v>
      </c>
      <c r="H270" s="1358"/>
      <c r="I270" s="1358"/>
      <c r="J270" s="1358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 x14ac:dyDescent="0.25">
      <c r="A271" s="1357" t="s">
        <v>1171</v>
      </c>
      <c r="B271" s="1358"/>
      <c r="C271" s="1358"/>
      <c r="D271" s="1358"/>
      <c r="E271" s="1358"/>
      <c r="F271" s="1358"/>
      <c r="G271" s="1358"/>
      <c r="H271" s="1358"/>
      <c r="I271" s="1358">
        <v>24</v>
      </c>
      <c r="J271" s="1358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 x14ac:dyDescent="0.25">
      <c r="A272" s="1357" t="s">
        <v>259</v>
      </c>
      <c r="B272" s="1358"/>
      <c r="C272" s="1358"/>
      <c r="D272" s="1358"/>
      <c r="E272" s="1358">
        <v>24</v>
      </c>
      <c r="F272" s="1358"/>
      <c r="G272" s="1358"/>
      <c r="H272" s="1358"/>
      <c r="I272" s="1358"/>
      <c r="J272" s="1358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 x14ac:dyDescent="0.25">
      <c r="A273" s="1357" t="s">
        <v>990</v>
      </c>
      <c r="B273" s="1358"/>
      <c r="C273" s="1358"/>
      <c r="D273" s="1358"/>
      <c r="E273" s="1358"/>
      <c r="F273" s="1358"/>
      <c r="G273" s="1358"/>
      <c r="H273" s="1358">
        <v>24</v>
      </c>
      <c r="I273" s="1358"/>
      <c r="J273" s="1358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 x14ac:dyDescent="0.25">
      <c r="A274" s="1357" t="s">
        <v>1198</v>
      </c>
      <c r="B274" s="1358"/>
      <c r="C274" s="1358"/>
      <c r="D274" s="1358"/>
      <c r="E274" s="1358"/>
      <c r="F274" s="1358"/>
      <c r="G274" s="1358"/>
      <c r="H274" s="1358"/>
      <c r="I274" s="1358">
        <v>23.18</v>
      </c>
      <c r="J274" s="1358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 x14ac:dyDescent="0.25">
      <c r="A275" s="1357" t="s">
        <v>1152</v>
      </c>
      <c r="B275" s="1358"/>
      <c r="C275" s="1358"/>
      <c r="D275" s="1358"/>
      <c r="E275" s="1358"/>
      <c r="F275" s="1358"/>
      <c r="G275" s="1358"/>
      <c r="H275" s="1358">
        <v>22.6</v>
      </c>
      <c r="I275" s="1358"/>
      <c r="J275" s="1358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 x14ac:dyDescent="0.25">
      <c r="A276" s="1357" t="s">
        <v>876</v>
      </c>
      <c r="B276" s="1358"/>
      <c r="C276" s="1358"/>
      <c r="D276" s="1358"/>
      <c r="E276" s="1358"/>
      <c r="F276" s="1358"/>
      <c r="G276" s="1358"/>
      <c r="H276" s="1358">
        <v>22.2</v>
      </c>
      <c r="I276" s="1358"/>
      <c r="J276" s="1358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 x14ac:dyDescent="0.25">
      <c r="A277" s="1357" t="s">
        <v>1084</v>
      </c>
      <c r="B277" s="1358"/>
      <c r="C277" s="1358"/>
      <c r="D277" s="1358"/>
      <c r="E277" s="1358"/>
      <c r="F277" s="1358"/>
      <c r="G277" s="1358"/>
      <c r="H277" s="1358">
        <v>22</v>
      </c>
      <c r="I277" s="1358"/>
      <c r="J277" s="1358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 x14ac:dyDescent="0.25">
      <c r="A278" s="1357" t="s">
        <v>260</v>
      </c>
      <c r="B278" s="1358"/>
      <c r="C278" s="1358"/>
      <c r="D278" s="1358"/>
      <c r="E278" s="1358">
        <v>22</v>
      </c>
      <c r="F278" s="1358"/>
      <c r="G278" s="1358"/>
      <c r="H278" s="1358"/>
      <c r="I278" s="1358"/>
      <c r="J278" s="1358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 x14ac:dyDescent="0.25">
      <c r="A279" s="1357" t="s">
        <v>897</v>
      </c>
      <c r="B279" s="1358"/>
      <c r="C279" s="1358"/>
      <c r="D279" s="1358"/>
      <c r="E279" s="1358"/>
      <c r="F279" s="1358"/>
      <c r="G279" s="1358"/>
      <c r="H279" s="1358">
        <v>21.7</v>
      </c>
      <c r="I279" s="1358"/>
      <c r="J279" s="1358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 x14ac:dyDescent="0.25">
      <c r="A280" s="1357" t="s">
        <v>1180</v>
      </c>
      <c r="B280" s="1358"/>
      <c r="C280" s="1358"/>
      <c r="D280" s="1358"/>
      <c r="E280" s="1358"/>
      <c r="F280" s="1358"/>
      <c r="G280" s="1358"/>
      <c r="H280" s="1358"/>
      <c r="I280" s="1358">
        <v>21</v>
      </c>
      <c r="J280" s="1358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 x14ac:dyDescent="0.25">
      <c r="A281" s="1357" t="s">
        <v>1196</v>
      </c>
      <c r="B281" s="1358"/>
      <c r="C281" s="1358"/>
      <c r="D281" s="1358"/>
      <c r="E281" s="1358"/>
      <c r="F281" s="1358"/>
      <c r="G281" s="1358"/>
      <c r="H281" s="1358"/>
      <c r="I281" s="1358">
        <v>20.95</v>
      </c>
      <c r="J281" s="1358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 x14ac:dyDescent="0.25">
      <c r="A282" s="1357" t="s">
        <v>233</v>
      </c>
      <c r="B282" s="1358"/>
      <c r="C282" s="1358"/>
      <c r="D282" s="1358"/>
      <c r="E282" s="1358"/>
      <c r="F282" s="1358">
        <v>20.9</v>
      </c>
      <c r="G282" s="1358"/>
      <c r="H282" s="1358"/>
      <c r="I282" s="1358"/>
      <c r="J282" s="1358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 x14ac:dyDescent="0.25">
      <c r="A283" s="1357" t="s">
        <v>277</v>
      </c>
      <c r="B283" s="1358"/>
      <c r="C283" s="1358"/>
      <c r="D283" s="1358"/>
      <c r="E283" s="1358">
        <v>20.89</v>
      </c>
      <c r="F283" s="1358"/>
      <c r="G283" s="1358"/>
      <c r="H283" s="1358"/>
      <c r="I283" s="1358"/>
      <c r="J283" s="1358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 x14ac:dyDescent="0.25">
      <c r="A284" s="1357" t="s">
        <v>206</v>
      </c>
      <c r="B284" s="1358"/>
      <c r="C284" s="1358"/>
      <c r="D284" s="1358"/>
      <c r="E284" s="1358"/>
      <c r="F284" s="1358">
        <v>20.399999999999999</v>
      </c>
      <c r="G284" s="1358"/>
      <c r="H284" s="1358"/>
      <c r="I284" s="1358"/>
      <c r="J284" s="1358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 x14ac:dyDescent="0.25">
      <c r="A285" s="1357" t="s">
        <v>892</v>
      </c>
      <c r="B285" s="1358"/>
      <c r="C285" s="1358"/>
      <c r="D285" s="1358"/>
      <c r="E285" s="1358"/>
      <c r="F285" s="1358"/>
      <c r="G285" s="1358"/>
      <c r="H285" s="1358">
        <v>20.18</v>
      </c>
      <c r="I285" s="1358"/>
      <c r="J285" s="1358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 x14ac:dyDescent="0.25">
      <c r="A286" s="1357" t="s">
        <v>125</v>
      </c>
      <c r="B286" s="1358"/>
      <c r="C286" s="1358"/>
      <c r="D286" s="1358"/>
      <c r="E286" s="1358"/>
      <c r="F286" s="1358"/>
      <c r="G286" s="1358">
        <v>20</v>
      </c>
      <c r="H286" s="1358"/>
      <c r="I286" s="1358"/>
      <c r="J286" s="1358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 x14ac:dyDescent="0.25">
      <c r="A287" s="1357" t="s">
        <v>241</v>
      </c>
      <c r="B287" s="1358"/>
      <c r="C287" s="1358"/>
      <c r="D287" s="1358"/>
      <c r="E287" s="1358"/>
      <c r="F287" s="1358">
        <v>20</v>
      </c>
      <c r="G287" s="1358"/>
      <c r="H287" s="1358"/>
      <c r="I287" s="1358"/>
      <c r="J287" s="1358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 x14ac:dyDescent="0.25">
      <c r="A288" s="1357" t="s">
        <v>981</v>
      </c>
      <c r="B288" s="1358"/>
      <c r="C288" s="1358"/>
      <c r="D288" s="1358"/>
      <c r="E288" s="1358"/>
      <c r="F288" s="1358"/>
      <c r="G288" s="1358"/>
      <c r="H288" s="1358">
        <v>20</v>
      </c>
      <c r="I288" s="1358"/>
      <c r="J288" s="1358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 x14ac:dyDescent="0.25">
      <c r="A289" s="1357" t="s">
        <v>1088</v>
      </c>
      <c r="B289" s="1358"/>
      <c r="C289" s="1358"/>
      <c r="D289" s="1358"/>
      <c r="E289" s="1358"/>
      <c r="F289" s="1358"/>
      <c r="G289" s="1358"/>
      <c r="H289" s="1358">
        <v>20</v>
      </c>
      <c r="I289" s="1358"/>
      <c r="J289" s="1358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 x14ac:dyDescent="0.25">
      <c r="A290" s="1357" t="s">
        <v>126</v>
      </c>
      <c r="B290" s="1358"/>
      <c r="C290" s="1358"/>
      <c r="D290" s="1358"/>
      <c r="E290" s="1358"/>
      <c r="F290" s="1358"/>
      <c r="G290" s="1358">
        <v>20</v>
      </c>
      <c r="H290" s="1358"/>
      <c r="I290" s="1358"/>
      <c r="J290" s="1358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 x14ac:dyDescent="0.25">
      <c r="A291" s="1357" t="s">
        <v>181</v>
      </c>
      <c r="B291" s="1358"/>
      <c r="C291" s="1358"/>
      <c r="D291" s="1358"/>
      <c r="E291" s="1358"/>
      <c r="F291" s="1358"/>
      <c r="G291" s="1358">
        <v>20</v>
      </c>
      <c r="H291" s="1358"/>
      <c r="I291" s="1358"/>
      <c r="J291" s="1358">
        <v>20</v>
      </c>
      <c r="K291"/>
      <c r="L291"/>
      <c r="M291"/>
      <c r="N291"/>
    </row>
    <row r="292" spans="1:48" x14ac:dyDescent="0.25">
      <c r="A292" s="1357" t="s">
        <v>294</v>
      </c>
      <c r="B292" s="1358"/>
      <c r="C292" s="1358"/>
      <c r="D292" s="1358"/>
      <c r="E292" s="1358">
        <v>20</v>
      </c>
      <c r="F292" s="1358"/>
      <c r="G292" s="1358"/>
      <c r="H292" s="1358"/>
      <c r="I292" s="1358"/>
      <c r="J292" s="1358">
        <v>20</v>
      </c>
      <c r="K292"/>
      <c r="L292"/>
      <c r="M292"/>
      <c r="N292"/>
    </row>
    <row r="293" spans="1:48" x14ac:dyDescent="0.25">
      <c r="A293" s="1357" t="s">
        <v>744</v>
      </c>
      <c r="B293" s="1358"/>
      <c r="C293" s="1358"/>
      <c r="D293" s="1358"/>
      <c r="E293" s="1358"/>
      <c r="F293" s="1358"/>
      <c r="G293" s="1358">
        <v>19.850000000000001</v>
      </c>
      <c r="H293" s="1358"/>
      <c r="I293" s="1358"/>
      <c r="J293" s="1358">
        <v>19.850000000000001</v>
      </c>
      <c r="K293"/>
      <c r="L293"/>
      <c r="M293"/>
      <c r="N293"/>
    </row>
    <row r="294" spans="1:48" x14ac:dyDescent="0.25">
      <c r="A294" s="1357" t="s">
        <v>1019</v>
      </c>
      <c r="B294" s="1358"/>
      <c r="C294" s="1358"/>
      <c r="D294" s="1358"/>
      <c r="E294" s="1358"/>
      <c r="F294" s="1358">
        <v>19.18</v>
      </c>
      <c r="G294" s="1358"/>
      <c r="H294" s="1358"/>
      <c r="I294" s="1358"/>
      <c r="J294" s="1358">
        <v>19.18</v>
      </c>
      <c r="K294"/>
      <c r="L294"/>
      <c r="M294"/>
      <c r="N294"/>
    </row>
    <row r="295" spans="1:48" x14ac:dyDescent="0.25">
      <c r="A295" s="1357" t="s">
        <v>269</v>
      </c>
      <c r="B295" s="1358"/>
      <c r="C295" s="1358"/>
      <c r="D295" s="1358"/>
      <c r="E295" s="1358">
        <v>19.18</v>
      </c>
      <c r="F295" s="1358"/>
      <c r="G295" s="1358"/>
      <c r="H295" s="1358"/>
      <c r="I295" s="1358"/>
      <c r="J295" s="1358">
        <v>19.18</v>
      </c>
      <c r="K295"/>
      <c r="L295"/>
      <c r="M295"/>
      <c r="N295"/>
    </row>
    <row r="296" spans="1:48" x14ac:dyDescent="0.25">
      <c r="A296" s="1357" t="s">
        <v>257</v>
      </c>
      <c r="B296" s="1358"/>
      <c r="C296" s="1358"/>
      <c r="D296" s="1358"/>
      <c r="E296" s="1358"/>
      <c r="F296" s="1358">
        <v>19</v>
      </c>
      <c r="G296" s="1358"/>
      <c r="H296" s="1358"/>
      <c r="I296" s="1358"/>
      <c r="J296" s="1358">
        <v>19</v>
      </c>
      <c r="K296"/>
      <c r="L296"/>
      <c r="M296"/>
      <c r="N296"/>
    </row>
    <row r="297" spans="1:48" x14ac:dyDescent="0.25">
      <c r="A297" s="1357" t="s">
        <v>1074</v>
      </c>
      <c r="B297" s="1358"/>
      <c r="C297" s="1358"/>
      <c r="D297" s="1358"/>
      <c r="E297" s="1358"/>
      <c r="F297" s="1358"/>
      <c r="G297" s="1358"/>
      <c r="H297" s="1358">
        <v>19</v>
      </c>
      <c r="I297" s="1358"/>
      <c r="J297" s="1358">
        <v>19</v>
      </c>
      <c r="K297"/>
      <c r="L297"/>
      <c r="M297"/>
      <c r="N297"/>
    </row>
    <row r="298" spans="1:48" x14ac:dyDescent="0.25">
      <c r="A298" s="1357" t="s">
        <v>209</v>
      </c>
      <c r="B298" s="1358"/>
      <c r="C298" s="1358"/>
      <c r="D298" s="1358"/>
      <c r="E298" s="1358"/>
      <c r="F298" s="1358">
        <v>18.5</v>
      </c>
      <c r="G298" s="1358"/>
      <c r="H298" s="1358"/>
      <c r="I298" s="1358"/>
      <c r="J298" s="1358">
        <v>18.5</v>
      </c>
      <c r="K298"/>
      <c r="L298"/>
      <c r="M298"/>
      <c r="N298"/>
    </row>
    <row r="299" spans="1:48" x14ac:dyDescent="0.25">
      <c r="A299" s="1357" t="s">
        <v>239</v>
      </c>
      <c r="B299" s="1358"/>
      <c r="C299" s="1358"/>
      <c r="D299" s="1358"/>
      <c r="E299" s="1358"/>
      <c r="F299" s="1358">
        <v>18</v>
      </c>
      <c r="G299" s="1358"/>
      <c r="H299" s="1358"/>
      <c r="I299" s="1358"/>
      <c r="J299" s="1358">
        <v>18</v>
      </c>
      <c r="K299"/>
      <c r="L299"/>
      <c r="M299"/>
      <c r="N299"/>
    </row>
    <row r="300" spans="1:48" x14ac:dyDescent="0.25">
      <c r="A300" s="1357" t="s">
        <v>1117</v>
      </c>
      <c r="B300" s="1358"/>
      <c r="C300" s="1358"/>
      <c r="D300" s="1358"/>
      <c r="E300" s="1358"/>
      <c r="F300" s="1358"/>
      <c r="G300" s="1358"/>
      <c r="H300" s="1358">
        <v>18</v>
      </c>
      <c r="I300" s="1358"/>
      <c r="J300" s="1358">
        <v>18</v>
      </c>
      <c r="K300"/>
      <c r="L300"/>
      <c r="M300"/>
      <c r="N300"/>
    </row>
    <row r="301" spans="1:48" x14ac:dyDescent="0.25">
      <c r="A301" s="1357" t="s">
        <v>301</v>
      </c>
      <c r="B301" s="1358"/>
      <c r="C301" s="1358"/>
      <c r="D301" s="1358"/>
      <c r="E301" s="1358">
        <v>18</v>
      </c>
      <c r="F301" s="1358"/>
      <c r="G301" s="1358"/>
      <c r="H301" s="1358"/>
      <c r="I301" s="1358"/>
      <c r="J301" s="1358">
        <v>18</v>
      </c>
      <c r="K301"/>
      <c r="L301"/>
      <c r="M301"/>
      <c r="N301"/>
    </row>
    <row r="302" spans="1:48" x14ac:dyDescent="0.25">
      <c r="A302" s="1357" t="s">
        <v>274</v>
      </c>
      <c r="B302" s="1358"/>
      <c r="C302" s="1358"/>
      <c r="D302" s="1358"/>
      <c r="E302" s="1358">
        <v>18</v>
      </c>
      <c r="F302" s="1358"/>
      <c r="G302" s="1358"/>
      <c r="H302" s="1358"/>
      <c r="I302" s="1358"/>
      <c r="J302" s="1358">
        <v>18</v>
      </c>
      <c r="K302"/>
      <c r="L302"/>
      <c r="M302"/>
      <c r="N302"/>
    </row>
    <row r="303" spans="1:48" x14ac:dyDescent="0.25">
      <c r="A303" s="1357" t="s">
        <v>904</v>
      </c>
      <c r="B303" s="1358"/>
      <c r="C303" s="1358"/>
      <c r="D303" s="1358"/>
      <c r="E303" s="1358"/>
      <c r="F303" s="1358"/>
      <c r="G303" s="1358"/>
      <c r="H303" s="1358">
        <v>17.600000000000001</v>
      </c>
      <c r="I303" s="1358"/>
      <c r="J303" s="1358">
        <v>17.600000000000001</v>
      </c>
      <c r="K303"/>
      <c r="L303"/>
      <c r="M303"/>
      <c r="N303"/>
    </row>
    <row r="304" spans="1:48" x14ac:dyDescent="0.25">
      <c r="A304" s="1357" t="s">
        <v>868</v>
      </c>
      <c r="B304" s="1358"/>
      <c r="C304" s="1358"/>
      <c r="D304" s="1358"/>
      <c r="E304" s="1358"/>
      <c r="F304" s="1358"/>
      <c r="G304" s="1358"/>
      <c r="H304" s="1358">
        <v>17.600000000000001</v>
      </c>
      <c r="I304" s="1358"/>
      <c r="J304" s="1358">
        <v>17.600000000000001</v>
      </c>
      <c r="K304"/>
      <c r="L304"/>
      <c r="M304"/>
      <c r="N304"/>
    </row>
    <row r="305" spans="1:14" x14ac:dyDescent="0.25">
      <c r="A305" s="1357" t="s">
        <v>150</v>
      </c>
      <c r="B305" s="1358"/>
      <c r="C305" s="1358"/>
      <c r="D305" s="1358"/>
      <c r="E305" s="1358"/>
      <c r="F305" s="1358"/>
      <c r="G305" s="1358">
        <v>16.7</v>
      </c>
      <c r="H305" s="1358"/>
      <c r="I305" s="1358"/>
      <c r="J305" s="1358">
        <v>16.7</v>
      </c>
      <c r="K305"/>
      <c r="L305"/>
      <c r="M305"/>
      <c r="N305"/>
    </row>
    <row r="306" spans="1:14" x14ac:dyDescent="0.25">
      <c r="A306" s="1357" t="s">
        <v>997</v>
      </c>
      <c r="B306" s="1358"/>
      <c r="C306" s="1358"/>
      <c r="D306" s="1358"/>
      <c r="E306" s="1358"/>
      <c r="F306" s="1358"/>
      <c r="G306" s="1358"/>
      <c r="H306" s="1358">
        <v>16.579999999999998</v>
      </c>
      <c r="I306" s="1358"/>
      <c r="J306" s="1358">
        <v>16.579999999999998</v>
      </c>
      <c r="K306"/>
      <c r="L306"/>
      <c r="M306"/>
      <c r="N306"/>
    </row>
    <row r="307" spans="1:14" x14ac:dyDescent="0.25">
      <c r="A307" s="1357" t="s">
        <v>248</v>
      </c>
      <c r="B307" s="1358"/>
      <c r="C307" s="1358"/>
      <c r="D307" s="1358"/>
      <c r="E307" s="1358"/>
      <c r="F307" s="1358">
        <v>16.43</v>
      </c>
      <c r="G307" s="1358"/>
      <c r="H307" s="1358"/>
      <c r="I307" s="1358"/>
      <c r="J307" s="1358">
        <v>16.43</v>
      </c>
      <c r="K307"/>
      <c r="L307"/>
      <c r="M307"/>
      <c r="N307"/>
    </row>
    <row r="308" spans="1:14" x14ac:dyDescent="0.25">
      <c r="A308" s="1357" t="s">
        <v>1008</v>
      </c>
      <c r="B308" s="1358"/>
      <c r="C308" s="1358"/>
      <c r="D308" s="1358"/>
      <c r="E308" s="1358"/>
      <c r="F308" s="1358"/>
      <c r="G308" s="1358">
        <v>16.16</v>
      </c>
      <c r="H308" s="1358"/>
      <c r="I308" s="1358"/>
      <c r="J308" s="1358">
        <v>16.16</v>
      </c>
      <c r="K308"/>
      <c r="L308"/>
      <c r="M308"/>
      <c r="N308"/>
    </row>
    <row r="309" spans="1:14" x14ac:dyDescent="0.25">
      <c r="A309" s="1357" t="s">
        <v>180</v>
      </c>
      <c r="B309" s="1358"/>
      <c r="C309" s="1358"/>
      <c r="D309" s="1358"/>
      <c r="E309" s="1358"/>
      <c r="F309" s="1358"/>
      <c r="G309" s="1358">
        <v>16</v>
      </c>
      <c r="H309" s="1358"/>
      <c r="I309" s="1358"/>
      <c r="J309" s="1358">
        <v>16</v>
      </c>
      <c r="K309"/>
      <c r="L309"/>
      <c r="M309"/>
      <c r="N309"/>
    </row>
    <row r="310" spans="1:14" x14ac:dyDescent="0.25">
      <c r="A310" s="1357" t="s">
        <v>834</v>
      </c>
      <c r="B310" s="1358"/>
      <c r="C310" s="1358"/>
      <c r="D310" s="1358"/>
      <c r="E310" s="1358"/>
      <c r="F310" s="1358"/>
      <c r="G310" s="1358"/>
      <c r="H310" s="1358">
        <v>16</v>
      </c>
      <c r="I310" s="1358"/>
      <c r="J310" s="1358">
        <v>16</v>
      </c>
      <c r="K310"/>
      <c r="L310"/>
      <c r="M310"/>
      <c r="N310"/>
    </row>
    <row r="311" spans="1:14" x14ac:dyDescent="0.25">
      <c r="A311" s="1357" t="s">
        <v>911</v>
      </c>
      <c r="B311" s="1358"/>
      <c r="C311" s="1358"/>
      <c r="D311" s="1358"/>
      <c r="E311" s="1358"/>
      <c r="F311" s="1358"/>
      <c r="G311" s="1358"/>
      <c r="H311" s="1358">
        <v>16</v>
      </c>
      <c r="I311" s="1358"/>
      <c r="J311" s="1358">
        <v>16</v>
      </c>
      <c r="K311"/>
      <c r="L311"/>
      <c r="M311"/>
      <c r="N311"/>
    </row>
    <row r="312" spans="1:14" x14ac:dyDescent="0.25">
      <c r="A312" s="1357" t="s">
        <v>116</v>
      </c>
      <c r="B312" s="1358"/>
      <c r="C312" s="1358"/>
      <c r="D312" s="1358"/>
      <c r="E312" s="1358"/>
      <c r="F312" s="1358">
        <v>10.32</v>
      </c>
      <c r="G312" s="1358">
        <v>5.33</v>
      </c>
      <c r="H312" s="1358"/>
      <c r="I312" s="1358"/>
      <c r="J312" s="1358">
        <v>15.65</v>
      </c>
      <c r="K312"/>
      <c r="L312"/>
      <c r="M312"/>
      <c r="N312"/>
    </row>
    <row r="313" spans="1:14" x14ac:dyDescent="0.25">
      <c r="A313" s="1357" t="s">
        <v>141</v>
      </c>
      <c r="B313" s="1358"/>
      <c r="C313" s="1358"/>
      <c r="D313" s="1358"/>
      <c r="E313" s="1358"/>
      <c r="F313" s="1358">
        <v>15.54</v>
      </c>
      <c r="G313" s="1358"/>
      <c r="H313" s="1358"/>
      <c r="I313" s="1358"/>
      <c r="J313" s="1358">
        <v>15.54</v>
      </c>
      <c r="K313"/>
      <c r="L313"/>
      <c r="M313"/>
      <c r="N313"/>
    </row>
    <row r="314" spans="1:14" x14ac:dyDescent="0.25">
      <c r="A314" s="1357" t="s">
        <v>886</v>
      </c>
      <c r="B314" s="1358"/>
      <c r="C314" s="1358"/>
      <c r="D314" s="1358"/>
      <c r="E314" s="1358"/>
      <c r="F314" s="1358"/>
      <c r="G314" s="1358"/>
      <c r="H314" s="1358">
        <v>15.5</v>
      </c>
      <c r="I314" s="1358"/>
      <c r="J314" s="1358">
        <v>15.5</v>
      </c>
      <c r="K314"/>
      <c r="L314"/>
      <c r="M314"/>
      <c r="N314"/>
    </row>
    <row r="315" spans="1:14" x14ac:dyDescent="0.25">
      <c r="A315" s="1357" t="s">
        <v>253</v>
      </c>
      <c r="B315" s="1358"/>
      <c r="C315" s="1358"/>
      <c r="D315" s="1358"/>
      <c r="E315" s="1358"/>
      <c r="F315" s="1358">
        <v>15</v>
      </c>
      <c r="G315" s="1358"/>
      <c r="H315" s="1358"/>
      <c r="I315" s="1358"/>
      <c r="J315" s="1358">
        <v>15</v>
      </c>
      <c r="K315"/>
      <c r="L315"/>
      <c r="M315"/>
      <c r="N315"/>
    </row>
    <row r="316" spans="1:14" x14ac:dyDescent="0.25">
      <c r="A316" s="1357" t="s">
        <v>902</v>
      </c>
      <c r="B316" s="1358"/>
      <c r="C316" s="1358"/>
      <c r="D316" s="1358"/>
      <c r="E316" s="1358"/>
      <c r="F316" s="1358"/>
      <c r="G316" s="1358"/>
      <c r="H316" s="1358">
        <v>15</v>
      </c>
      <c r="I316" s="1358"/>
      <c r="J316" s="1358">
        <v>15</v>
      </c>
      <c r="K316"/>
      <c r="L316"/>
      <c r="M316"/>
      <c r="N316"/>
    </row>
    <row r="317" spans="1:14" x14ac:dyDescent="0.25">
      <c r="A317" s="1357" t="s">
        <v>353</v>
      </c>
      <c r="B317" s="1358"/>
      <c r="C317" s="1358">
        <v>15</v>
      </c>
      <c r="D317" s="1358"/>
      <c r="E317" s="1358"/>
      <c r="F317" s="1358"/>
      <c r="G317" s="1358"/>
      <c r="H317" s="1358"/>
      <c r="I317" s="1358"/>
      <c r="J317" s="1358">
        <v>15</v>
      </c>
      <c r="K317"/>
      <c r="L317"/>
      <c r="M317"/>
      <c r="N317"/>
    </row>
    <row r="318" spans="1:14" x14ac:dyDescent="0.25">
      <c r="A318" s="1357" t="s">
        <v>281</v>
      </c>
      <c r="B318" s="1358"/>
      <c r="C318" s="1358"/>
      <c r="D318" s="1358"/>
      <c r="E318" s="1358">
        <v>15</v>
      </c>
      <c r="F318" s="1358"/>
      <c r="G318" s="1358"/>
      <c r="H318" s="1358"/>
      <c r="I318" s="1358"/>
      <c r="J318" s="1358">
        <v>15</v>
      </c>
      <c r="K318"/>
      <c r="L318"/>
      <c r="M318"/>
      <c r="N318"/>
    </row>
    <row r="319" spans="1:14" x14ac:dyDescent="0.25">
      <c r="A319" s="1357" t="s">
        <v>355</v>
      </c>
      <c r="B319" s="1358">
        <v>14.98</v>
      </c>
      <c r="C319" s="1358"/>
      <c r="D319" s="1358"/>
      <c r="E319" s="1358"/>
      <c r="F319" s="1358"/>
      <c r="G319" s="1358"/>
      <c r="H319" s="1358"/>
      <c r="I319" s="1358"/>
      <c r="J319" s="1358">
        <v>14.98</v>
      </c>
      <c r="K319"/>
      <c r="L319"/>
      <c r="M319"/>
      <c r="N319"/>
    </row>
    <row r="320" spans="1:14" x14ac:dyDescent="0.25">
      <c r="A320" s="1357" t="s">
        <v>1067</v>
      </c>
      <c r="B320" s="1358"/>
      <c r="C320" s="1358"/>
      <c r="D320" s="1358"/>
      <c r="E320" s="1358"/>
      <c r="F320" s="1358"/>
      <c r="G320" s="1358"/>
      <c r="H320" s="1358">
        <v>14.9</v>
      </c>
      <c r="I320" s="1358"/>
      <c r="J320" s="1358">
        <v>14.9</v>
      </c>
      <c r="K320"/>
      <c r="L320"/>
      <c r="M320"/>
      <c r="N320"/>
    </row>
    <row r="321" spans="1:14" x14ac:dyDescent="0.25">
      <c r="A321" s="1357" t="s">
        <v>994</v>
      </c>
      <c r="B321" s="1358"/>
      <c r="C321" s="1358"/>
      <c r="D321" s="1358"/>
      <c r="E321" s="1358"/>
      <c r="F321" s="1358"/>
      <c r="G321" s="1358"/>
      <c r="H321" s="1358">
        <v>14.8</v>
      </c>
      <c r="I321" s="1358"/>
      <c r="J321" s="1358">
        <v>14.8</v>
      </c>
      <c r="K321"/>
      <c r="L321"/>
      <c r="M321"/>
      <c r="N321"/>
    </row>
    <row r="322" spans="1:14" x14ac:dyDescent="0.25">
      <c r="A322" s="1357" t="s">
        <v>995</v>
      </c>
      <c r="B322" s="1358"/>
      <c r="C322" s="1358"/>
      <c r="D322" s="1358"/>
      <c r="E322" s="1358"/>
      <c r="F322" s="1358"/>
      <c r="G322" s="1358"/>
      <c r="H322" s="1358">
        <v>14.73</v>
      </c>
      <c r="I322" s="1358"/>
      <c r="J322" s="1358">
        <v>14.73</v>
      </c>
      <c r="K322"/>
      <c r="L322"/>
      <c r="M322"/>
      <c r="N322"/>
    </row>
    <row r="323" spans="1:14" x14ac:dyDescent="0.25">
      <c r="A323" s="1357" t="s">
        <v>827</v>
      </c>
      <c r="B323" s="1358"/>
      <c r="C323" s="1358"/>
      <c r="D323" s="1358"/>
      <c r="E323" s="1358"/>
      <c r="F323" s="1358"/>
      <c r="G323" s="1358"/>
      <c r="H323" s="1358">
        <v>14.5</v>
      </c>
      <c r="I323" s="1358"/>
      <c r="J323" s="1358">
        <v>14.5</v>
      </c>
      <c r="K323"/>
      <c r="L323"/>
      <c r="M323"/>
      <c r="N323"/>
    </row>
    <row r="324" spans="1:14" x14ac:dyDescent="0.25">
      <c r="A324" s="1357" t="s">
        <v>158</v>
      </c>
      <c r="B324" s="1358"/>
      <c r="C324" s="1358"/>
      <c r="D324" s="1358"/>
      <c r="E324" s="1358"/>
      <c r="F324" s="1358"/>
      <c r="G324" s="1358">
        <v>7.5</v>
      </c>
      <c r="H324" s="1358">
        <v>7</v>
      </c>
      <c r="I324" s="1358"/>
      <c r="J324" s="1358">
        <v>14.5</v>
      </c>
      <c r="K324"/>
      <c r="L324"/>
      <c r="M324"/>
      <c r="N324"/>
    </row>
    <row r="325" spans="1:14" x14ac:dyDescent="0.25">
      <c r="A325" s="1357" t="s">
        <v>787</v>
      </c>
      <c r="B325" s="1358"/>
      <c r="C325" s="1358"/>
      <c r="D325" s="1358"/>
      <c r="E325" s="1358"/>
      <c r="F325" s="1358"/>
      <c r="G325" s="1358">
        <v>14.4</v>
      </c>
      <c r="H325" s="1358"/>
      <c r="I325" s="1358"/>
      <c r="J325" s="1358">
        <v>14.4</v>
      </c>
      <c r="K325"/>
      <c r="L325"/>
      <c r="M325"/>
      <c r="N325"/>
    </row>
    <row r="326" spans="1:14" x14ac:dyDescent="0.25">
      <c r="A326" s="1357" t="s">
        <v>297</v>
      </c>
      <c r="B326" s="1358"/>
      <c r="C326" s="1358"/>
      <c r="D326" s="1358"/>
      <c r="E326" s="1358">
        <v>13.74</v>
      </c>
      <c r="F326" s="1358"/>
      <c r="G326" s="1358"/>
      <c r="H326" s="1358"/>
      <c r="I326" s="1358"/>
      <c r="J326" s="1358">
        <v>13.74</v>
      </c>
      <c r="K326"/>
      <c r="L326"/>
      <c r="M326"/>
      <c r="N326"/>
    </row>
    <row r="327" spans="1:14" x14ac:dyDescent="0.25">
      <c r="A327" s="1357" t="s">
        <v>105</v>
      </c>
      <c r="B327" s="1358"/>
      <c r="C327" s="1358"/>
      <c r="D327" s="1358"/>
      <c r="E327" s="1358"/>
      <c r="F327" s="1358"/>
      <c r="G327" s="1358">
        <v>13.7</v>
      </c>
      <c r="H327" s="1358"/>
      <c r="I327" s="1358"/>
      <c r="J327" s="1358">
        <v>13.7</v>
      </c>
      <c r="K327"/>
      <c r="L327"/>
      <c r="M327"/>
      <c r="N327"/>
    </row>
    <row r="328" spans="1:14" x14ac:dyDescent="0.25">
      <c r="A328" s="1357" t="s">
        <v>788</v>
      </c>
      <c r="B328" s="1358"/>
      <c r="C328" s="1358"/>
      <c r="D328" s="1358"/>
      <c r="E328" s="1358"/>
      <c r="F328" s="1358"/>
      <c r="G328" s="1358"/>
      <c r="H328" s="1358">
        <v>13.4</v>
      </c>
      <c r="I328" s="1358"/>
      <c r="J328" s="1358">
        <v>13.4</v>
      </c>
      <c r="K328"/>
      <c r="L328"/>
      <c r="M328"/>
      <c r="N328"/>
    </row>
    <row r="329" spans="1:14" x14ac:dyDescent="0.25">
      <c r="A329" s="1357" t="s">
        <v>1073</v>
      </c>
      <c r="B329" s="1358"/>
      <c r="C329" s="1358"/>
      <c r="D329" s="1358"/>
      <c r="E329" s="1358"/>
      <c r="F329" s="1358"/>
      <c r="G329" s="1358"/>
      <c r="H329" s="1358">
        <v>13.1</v>
      </c>
      <c r="I329" s="1358"/>
      <c r="J329" s="1358">
        <v>13.1</v>
      </c>
      <c r="K329"/>
      <c r="L329"/>
      <c r="M329"/>
      <c r="N329"/>
    </row>
    <row r="330" spans="1:14" x14ac:dyDescent="0.25">
      <c r="A330" s="1357" t="s">
        <v>983</v>
      </c>
      <c r="B330" s="1358"/>
      <c r="C330" s="1358"/>
      <c r="D330" s="1358"/>
      <c r="E330" s="1358"/>
      <c r="F330" s="1358"/>
      <c r="G330" s="1358"/>
      <c r="H330" s="1358">
        <v>13.1</v>
      </c>
      <c r="I330" s="1358"/>
      <c r="J330" s="1358">
        <v>13.1</v>
      </c>
      <c r="K330"/>
      <c r="L330"/>
      <c r="M330"/>
      <c r="N330"/>
    </row>
    <row r="331" spans="1:14" x14ac:dyDescent="0.25">
      <c r="A331" s="1357" t="s">
        <v>908</v>
      </c>
      <c r="B331" s="1358"/>
      <c r="C331" s="1358"/>
      <c r="D331" s="1358"/>
      <c r="E331" s="1358"/>
      <c r="F331" s="1358"/>
      <c r="G331" s="1358"/>
      <c r="H331" s="1358">
        <v>13</v>
      </c>
      <c r="I331" s="1358"/>
      <c r="J331" s="1358">
        <v>13</v>
      </c>
      <c r="K331"/>
      <c r="L331"/>
      <c r="M331"/>
      <c r="N331"/>
    </row>
    <row r="332" spans="1:14" x14ac:dyDescent="0.25">
      <c r="A332" s="1357" t="s">
        <v>267</v>
      </c>
      <c r="B332" s="1358"/>
      <c r="C332" s="1358"/>
      <c r="D332" s="1358"/>
      <c r="E332" s="1358">
        <v>12.89</v>
      </c>
      <c r="F332" s="1358"/>
      <c r="G332" s="1358"/>
      <c r="H332" s="1358"/>
      <c r="I332" s="1358"/>
      <c r="J332" s="1358">
        <v>12.89</v>
      </c>
      <c r="K332"/>
      <c r="L332"/>
      <c r="M332"/>
      <c r="N332"/>
    </row>
    <row r="333" spans="1:14" x14ac:dyDescent="0.25">
      <c r="A333" s="1357" t="s">
        <v>117</v>
      </c>
      <c r="B333" s="1358"/>
      <c r="C333" s="1358"/>
      <c r="D333" s="1358"/>
      <c r="E333" s="1358"/>
      <c r="F333" s="1358"/>
      <c r="G333" s="1358">
        <v>12.85</v>
      </c>
      <c r="H333" s="1358"/>
      <c r="I333" s="1358"/>
      <c r="J333" s="1358">
        <v>12.85</v>
      </c>
      <c r="K333"/>
      <c r="L333"/>
      <c r="M333"/>
      <c r="N333"/>
    </row>
    <row r="334" spans="1:14" x14ac:dyDescent="0.25">
      <c r="A334" s="1357" t="s">
        <v>1120</v>
      </c>
      <c r="B334" s="1358"/>
      <c r="C334" s="1358"/>
      <c r="D334" s="1358"/>
      <c r="E334" s="1358"/>
      <c r="F334" s="1358"/>
      <c r="G334" s="1358"/>
      <c r="H334" s="1358">
        <v>12.5</v>
      </c>
      <c r="I334" s="1358"/>
      <c r="J334" s="1358">
        <v>12.5</v>
      </c>
      <c r="K334"/>
      <c r="L334"/>
      <c r="M334"/>
      <c r="N334"/>
    </row>
    <row r="335" spans="1:14" x14ac:dyDescent="0.25">
      <c r="A335" s="1357" t="s">
        <v>753</v>
      </c>
      <c r="B335" s="1358"/>
      <c r="C335" s="1358"/>
      <c r="D335" s="1358"/>
      <c r="E335" s="1358"/>
      <c r="F335" s="1358"/>
      <c r="G335" s="1358">
        <v>12.5</v>
      </c>
      <c r="H335" s="1358"/>
      <c r="I335" s="1358"/>
      <c r="J335" s="1358">
        <v>12.5</v>
      </c>
      <c r="K335"/>
      <c r="L335"/>
      <c r="M335"/>
      <c r="N335"/>
    </row>
    <row r="336" spans="1:14" x14ac:dyDescent="0.25">
      <c r="A336" s="1357" t="s">
        <v>309</v>
      </c>
      <c r="B336" s="1358"/>
      <c r="C336" s="1358"/>
      <c r="D336" s="1358">
        <v>12.3</v>
      </c>
      <c r="E336" s="1358"/>
      <c r="F336" s="1358"/>
      <c r="G336" s="1358"/>
      <c r="H336" s="1358"/>
      <c r="I336" s="1358"/>
      <c r="J336" s="1358">
        <v>12.3</v>
      </c>
      <c r="K336"/>
      <c r="L336"/>
      <c r="M336"/>
      <c r="N336"/>
    </row>
    <row r="337" spans="1:14" x14ac:dyDescent="0.25">
      <c r="A337" s="1357" t="s">
        <v>895</v>
      </c>
      <c r="B337" s="1358"/>
      <c r="C337" s="1358"/>
      <c r="D337" s="1358"/>
      <c r="E337" s="1358"/>
      <c r="F337" s="1358"/>
      <c r="G337" s="1358"/>
      <c r="H337" s="1358">
        <v>12.3</v>
      </c>
      <c r="I337" s="1358"/>
      <c r="J337" s="1358">
        <v>12.3</v>
      </c>
      <c r="K337"/>
      <c r="L337"/>
      <c r="M337"/>
      <c r="N337"/>
    </row>
    <row r="338" spans="1:14" x14ac:dyDescent="0.25">
      <c r="A338" s="1357" t="s">
        <v>96</v>
      </c>
      <c r="B338" s="1358"/>
      <c r="C338" s="1358"/>
      <c r="D338" s="1358"/>
      <c r="E338" s="1358"/>
      <c r="F338" s="1358"/>
      <c r="G338" s="1358">
        <v>12.1</v>
      </c>
      <c r="H338" s="1358"/>
      <c r="I338" s="1358"/>
      <c r="J338" s="1358">
        <v>12.1</v>
      </c>
      <c r="K338"/>
      <c r="L338"/>
      <c r="M338"/>
      <c r="N338"/>
    </row>
    <row r="339" spans="1:14" x14ac:dyDescent="0.25">
      <c r="A339" s="1357" t="s">
        <v>287</v>
      </c>
      <c r="B339" s="1358"/>
      <c r="C339" s="1358"/>
      <c r="D339" s="1358"/>
      <c r="E339" s="1358">
        <v>12</v>
      </c>
      <c r="F339" s="1358"/>
      <c r="G339" s="1358"/>
      <c r="H339" s="1358"/>
      <c r="I339" s="1358"/>
      <c r="J339" s="1358">
        <v>12</v>
      </c>
      <c r="K339"/>
      <c r="L339"/>
      <c r="M339"/>
      <c r="N339"/>
    </row>
    <row r="340" spans="1:14" x14ac:dyDescent="0.25">
      <c r="A340" s="1357" t="s">
        <v>92</v>
      </c>
      <c r="B340" s="1358"/>
      <c r="C340" s="1358"/>
      <c r="D340" s="1358"/>
      <c r="E340" s="1358"/>
      <c r="F340" s="1358"/>
      <c r="G340" s="1358">
        <v>12</v>
      </c>
      <c r="H340" s="1358"/>
      <c r="I340" s="1358"/>
      <c r="J340" s="1358">
        <v>12</v>
      </c>
      <c r="K340"/>
      <c r="L340"/>
      <c r="M340"/>
      <c r="N340"/>
    </row>
    <row r="341" spans="1:14" x14ac:dyDescent="0.25">
      <c r="A341" s="1357" t="s">
        <v>276</v>
      </c>
      <c r="B341" s="1358"/>
      <c r="C341" s="1358"/>
      <c r="D341" s="1358"/>
      <c r="E341" s="1358">
        <v>12</v>
      </c>
      <c r="F341" s="1358"/>
      <c r="G341" s="1358"/>
      <c r="H341" s="1358"/>
      <c r="I341" s="1358"/>
      <c r="J341" s="1358">
        <v>12</v>
      </c>
      <c r="K341"/>
      <c r="L341"/>
      <c r="M341"/>
      <c r="N341"/>
    </row>
    <row r="342" spans="1:14" x14ac:dyDescent="0.25">
      <c r="A342" s="1357" t="s">
        <v>200</v>
      </c>
      <c r="B342" s="1358"/>
      <c r="C342" s="1358"/>
      <c r="D342" s="1358"/>
      <c r="E342" s="1358"/>
      <c r="F342" s="1358">
        <v>12</v>
      </c>
      <c r="G342" s="1358"/>
      <c r="H342" s="1358"/>
      <c r="I342" s="1358"/>
      <c r="J342" s="1358">
        <v>12</v>
      </c>
      <c r="K342"/>
      <c r="L342"/>
      <c r="M342"/>
      <c r="N342"/>
    </row>
    <row r="343" spans="1:14" x14ac:dyDescent="0.25">
      <c r="A343" s="1357" t="s">
        <v>337</v>
      </c>
      <c r="B343" s="1358"/>
      <c r="C343" s="1358">
        <v>12</v>
      </c>
      <c r="D343" s="1358"/>
      <c r="E343" s="1358"/>
      <c r="F343" s="1358"/>
      <c r="G343" s="1358"/>
      <c r="H343" s="1358"/>
      <c r="I343" s="1358"/>
      <c r="J343" s="1358">
        <v>12</v>
      </c>
      <c r="K343"/>
      <c r="L343"/>
      <c r="M343"/>
      <c r="N343"/>
    </row>
    <row r="344" spans="1:14" x14ac:dyDescent="0.25">
      <c r="A344" s="1357" t="s">
        <v>245</v>
      </c>
      <c r="B344" s="1358"/>
      <c r="C344" s="1358"/>
      <c r="D344" s="1358"/>
      <c r="E344" s="1358"/>
      <c r="F344" s="1358">
        <v>12</v>
      </c>
      <c r="G344" s="1358"/>
      <c r="H344" s="1358"/>
      <c r="I344" s="1358"/>
      <c r="J344" s="1358">
        <v>12</v>
      </c>
      <c r="K344"/>
      <c r="L344"/>
      <c r="M344"/>
      <c r="N344"/>
    </row>
    <row r="345" spans="1:14" x14ac:dyDescent="0.25">
      <c r="A345" s="1357" t="s">
        <v>94</v>
      </c>
      <c r="B345" s="1358"/>
      <c r="C345" s="1358"/>
      <c r="D345" s="1358"/>
      <c r="E345" s="1358"/>
      <c r="F345" s="1358"/>
      <c r="G345" s="1358">
        <v>12</v>
      </c>
      <c r="H345" s="1358"/>
      <c r="I345" s="1358"/>
      <c r="J345" s="1358">
        <v>12</v>
      </c>
      <c r="K345"/>
      <c r="L345"/>
      <c r="M345"/>
      <c r="N345"/>
    </row>
    <row r="346" spans="1:14" x14ac:dyDescent="0.25">
      <c r="A346" s="1357" t="s">
        <v>888</v>
      </c>
      <c r="B346" s="1358"/>
      <c r="C346" s="1358"/>
      <c r="D346" s="1358"/>
      <c r="E346" s="1358"/>
      <c r="F346" s="1358"/>
      <c r="G346" s="1358"/>
      <c r="H346" s="1358">
        <v>11.77</v>
      </c>
      <c r="I346" s="1358"/>
      <c r="J346" s="1358">
        <v>11.77</v>
      </c>
      <c r="K346"/>
      <c r="L346"/>
      <c r="M346"/>
      <c r="N346"/>
    </row>
    <row r="347" spans="1:14" x14ac:dyDescent="0.25">
      <c r="A347" s="1357" t="s">
        <v>1020</v>
      </c>
      <c r="B347" s="1358"/>
      <c r="C347" s="1358"/>
      <c r="D347" s="1358"/>
      <c r="E347" s="1358"/>
      <c r="F347" s="1358"/>
      <c r="G347" s="1358">
        <v>11.2</v>
      </c>
      <c r="H347" s="1358"/>
      <c r="I347" s="1358"/>
      <c r="J347" s="1358">
        <v>11.2</v>
      </c>
      <c r="K347"/>
      <c r="L347"/>
      <c r="M347"/>
      <c r="N347"/>
    </row>
    <row r="348" spans="1:14" x14ac:dyDescent="0.25">
      <c r="A348" s="1357" t="s">
        <v>284</v>
      </c>
      <c r="B348" s="1358"/>
      <c r="C348" s="1358"/>
      <c r="D348" s="1358"/>
      <c r="E348" s="1358">
        <v>7.1</v>
      </c>
      <c r="F348" s="1358"/>
      <c r="G348" s="1358"/>
      <c r="H348" s="1358">
        <v>4</v>
      </c>
      <c r="I348" s="1358"/>
      <c r="J348" s="1358">
        <v>11.1</v>
      </c>
      <c r="K348"/>
      <c r="L348"/>
      <c r="M348"/>
      <c r="N348"/>
    </row>
    <row r="349" spans="1:14" x14ac:dyDescent="0.25">
      <c r="A349" s="1357" t="s">
        <v>1116</v>
      </c>
      <c r="B349" s="1358"/>
      <c r="C349" s="1358"/>
      <c r="D349" s="1358"/>
      <c r="E349" s="1358"/>
      <c r="F349" s="1358"/>
      <c r="G349" s="1358"/>
      <c r="H349" s="1358">
        <v>11</v>
      </c>
      <c r="I349" s="1358"/>
      <c r="J349" s="1358">
        <v>11</v>
      </c>
      <c r="K349"/>
      <c r="L349"/>
      <c r="M349"/>
      <c r="N349"/>
    </row>
    <row r="350" spans="1:14" x14ac:dyDescent="0.25">
      <c r="A350" s="1357" t="s">
        <v>334</v>
      </c>
      <c r="B350" s="1358"/>
      <c r="C350" s="1358"/>
      <c r="D350" s="1358">
        <v>10.97</v>
      </c>
      <c r="E350" s="1358"/>
      <c r="F350" s="1358"/>
      <c r="G350" s="1358"/>
      <c r="H350" s="1358"/>
      <c r="I350" s="1358"/>
      <c r="J350" s="1358">
        <v>10.97</v>
      </c>
      <c r="K350"/>
      <c r="L350"/>
      <c r="M350"/>
      <c r="N350"/>
    </row>
    <row r="351" spans="1:14" x14ac:dyDescent="0.25">
      <c r="A351" s="1357" t="s">
        <v>1175</v>
      </c>
      <c r="B351" s="1358"/>
      <c r="C351" s="1358"/>
      <c r="D351" s="1358"/>
      <c r="E351" s="1358"/>
      <c r="F351" s="1358"/>
      <c r="G351" s="1358"/>
      <c r="H351" s="1358"/>
      <c r="I351" s="1358">
        <v>10.5</v>
      </c>
      <c r="J351" s="1358">
        <v>10.5</v>
      </c>
      <c r="K351"/>
      <c r="L351"/>
      <c r="M351"/>
      <c r="N351"/>
    </row>
    <row r="352" spans="1:14" x14ac:dyDescent="0.25">
      <c r="A352" s="1357" t="s">
        <v>99</v>
      </c>
      <c r="B352" s="1358"/>
      <c r="C352" s="1358"/>
      <c r="D352" s="1358"/>
      <c r="E352" s="1358"/>
      <c r="F352" s="1358"/>
      <c r="G352" s="1358">
        <v>10.5</v>
      </c>
      <c r="H352" s="1358"/>
      <c r="I352" s="1358"/>
      <c r="J352" s="1358">
        <v>10.5</v>
      </c>
      <c r="K352"/>
      <c r="L352"/>
      <c r="M352"/>
      <c r="N352"/>
    </row>
    <row r="353" spans="1:14" x14ac:dyDescent="0.25">
      <c r="A353" s="1357" t="s">
        <v>255</v>
      </c>
      <c r="B353" s="1358"/>
      <c r="C353" s="1358"/>
      <c r="D353" s="1358"/>
      <c r="E353" s="1358"/>
      <c r="F353" s="1358">
        <v>10.5</v>
      </c>
      <c r="G353" s="1358"/>
      <c r="H353" s="1358"/>
      <c r="I353" s="1358"/>
      <c r="J353" s="1358">
        <v>10.5</v>
      </c>
      <c r="K353"/>
      <c r="L353"/>
      <c r="M353"/>
      <c r="N353"/>
    </row>
    <row r="354" spans="1:14" x14ac:dyDescent="0.25">
      <c r="A354" s="1357" t="s">
        <v>900</v>
      </c>
      <c r="B354" s="1358"/>
      <c r="C354" s="1358"/>
      <c r="D354" s="1358"/>
      <c r="E354" s="1358"/>
      <c r="F354" s="1358"/>
      <c r="G354" s="1358"/>
      <c r="H354" s="1358">
        <v>10</v>
      </c>
      <c r="I354" s="1358"/>
      <c r="J354" s="1358">
        <v>10</v>
      </c>
      <c r="K354"/>
      <c r="L354"/>
      <c r="M354"/>
      <c r="N354"/>
    </row>
    <row r="355" spans="1:14" x14ac:dyDescent="0.25">
      <c r="A355" s="1357" t="s">
        <v>142</v>
      </c>
      <c r="B355" s="1358"/>
      <c r="C355" s="1358"/>
      <c r="D355" s="1358"/>
      <c r="E355" s="1358"/>
      <c r="F355" s="1358"/>
      <c r="G355" s="1358">
        <v>10</v>
      </c>
      <c r="H355" s="1358"/>
      <c r="I355" s="1358"/>
      <c r="J355" s="1358">
        <v>10</v>
      </c>
      <c r="K355"/>
      <c r="L355"/>
      <c r="M355"/>
      <c r="N355"/>
    </row>
    <row r="356" spans="1:14" x14ac:dyDescent="0.25">
      <c r="A356" s="1357" t="s">
        <v>860</v>
      </c>
      <c r="B356" s="1358"/>
      <c r="C356" s="1358"/>
      <c r="D356" s="1358"/>
      <c r="E356" s="1358"/>
      <c r="F356" s="1358"/>
      <c r="G356" s="1358"/>
      <c r="H356" s="1358">
        <v>10</v>
      </c>
      <c r="I356" s="1358"/>
      <c r="J356" s="1358">
        <v>10</v>
      </c>
      <c r="K356"/>
      <c r="L356"/>
      <c r="M356"/>
      <c r="N356"/>
    </row>
    <row r="357" spans="1:14" x14ac:dyDescent="0.25">
      <c r="A357" s="1357" t="s">
        <v>1176</v>
      </c>
      <c r="B357" s="1358"/>
      <c r="C357" s="1358"/>
      <c r="D357" s="1358"/>
      <c r="E357" s="1358"/>
      <c r="F357" s="1358"/>
      <c r="G357" s="1358"/>
      <c r="H357" s="1358"/>
      <c r="I357" s="1358">
        <v>10</v>
      </c>
      <c r="J357" s="1358">
        <v>10</v>
      </c>
      <c r="K357"/>
      <c r="L357"/>
      <c r="M357"/>
      <c r="N357"/>
    </row>
    <row r="358" spans="1:14" x14ac:dyDescent="0.25">
      <c r="A358" s="1357" t="s">
        <v>244</v>
      </c>
      <c r="B358" s="1358"/>
      <c r="C358" s="1358"/>
      <c r="D358" s="1358"/>
      <c r="E358" s="1358"/>
      <c r="F358" s="1358">
        <v>10</v>
      </c>
      <c r="G358" s="1358"/>
      <c r="H358" s="1358"/>
      <c r="I358" s="1358"/>
      <c r="J358" s="1358">
        <v>10</v>
      </c>
      <c r="K358"/>
      <c r="L358"/>
      <c r="M358"/>
      <c r="N358"/>
    </row>
    <row r="359" spans="1:14" x14ac:dyDescent="0.25">
      <c r="A359" s="1357" t="s">
        <v>236</v>
      </c>
      <c r="B359" s="1358"/>
      <c r="C359" s="1358"/>
      <c r="D359" s="1358"/>
      <c r="E359" s="1358"/>
      <c r="F359" s="1358">
        <v>9.99</v>
      </c>
      <c r="G359" s="1358"/>
      <c r="H359" s="1358"/>
      <c r="I359" s="1358"/>
      <c r="J359" s="1358">
        <v>9.99</v>
      </c>
      <c r="K359"/>
      <c r="L359"/>
      <c r="M359"/>
      <c r="N359"/>
    </row>
    <row r="360" spans="1:14" x14ac:dyDescent="0.25">
      <c r="A360" s="1357" t="s">
        <v>151</v>
      </c>
      <c r="B360" s="1358"/>
      <c r="C360" s="1358"/>
      <c r="D360" s="1358"/>
      <c r="E360" s="1358"/>
      <c r="F360" s="1358"/>
      <c r="G360" s="1358">
        <v>9.99</v>
      </c>
      <c r="H360" s="1358"/>
      <c r="I360" s="1358"/>
      <c r="J360" s="1358">
        <v>9.99</v>
      </c>
      <c r="K360"/>
      <c r="L360"/>
      <c r="M360"/>
      <c r="N360"/>
    </row>
    <row r="361" spans="1:14" x14ac:dyDescent="0.25">
      <c r="A361" s="1357" t="s">
        <v>349</v>
      </c>
      <c r="B361" s="1358"/>
      <c r="C361" s="1358">
        <v>9.99</v>
      </c>
      <c r="D361" s="1358"/>
      <c r="E361" s="1358"/>
      <c r="F361" s="1358"/>
      <c r="G361" s="1358"/>
      <c r="H361" s="1358"/>
      <c r="I361" s="1358"/>
      <c r="J361" s="1358">
        <v>9.99</v>
      </c>
      <c r="K361"/>
      <c r="L361"/>
      <c r="M361"/>
      <c r="N361"/>
    </row>
    <row r="362" spans="1:14" x14ac:dyDescent="0.25">
      <c r="A362" s="1357" t="s">
        <v>307</v>
      </c>
      <c r="B362" s="1358"/>
      <c r="C362" s="1358"/>
      <c r="D362" s="1358">
        <v>9.9700000000000006</v>
      </c>
      <c r="E362" s="1358"/>
      <c r="F362" s="1358"/>
      <c r="G362" s="1358"/>
      <c r="H362" s="1358"/>
      <c r="I362" s="1358"/>
      <c r="J362" s="1358">
        <v>9.9700000000000006</v>
      </c>
      <c r="K362"/>
      <c r="L362"/>
      <c r="M362"/>
      <c r="N362"/>
    </row>
    <row r="363" spans="1:14" x14ac:dyDescent="0.25">
      <c r="A363" s="1357" t="s">
        <v>219</v>
      </c>
      <c r="B363" s="1358"/>
      <c r="C363" s="1358"/>
      <c r="D363" s="1358"/>
      <c r="E363" s="1358"/>
      <c r="F363" s="1358">
        <v>9.81</v>
      </c>
      <c r="G363" s="1358"/>
      <c r="H363" s="1358"/>
      <c r="I363" s="1358"/>
      <c r="J363" s="1358">
        <v>9.81</v>
      </c>
      <c r="K363"/>
      <c r="L363"/>
      <c r="M363"/>
      <c r="N363"/>
    </row>
    <row r="364" spans="1:14" x14ac:dyDescent="0.25">
      <c r="A364" s="1357" t="s">
        <v>273</v>
      </c>
      <c r="B364" s="1358"/>
      <c r="C364" s="1358"/>
      <c r="D364" s="1358"/>
      <c r="E364" s="1358">
        <v>9.73</v>
      </c>
      <c r="F364" s="1358"/>
      <c r="G364" s="1358"/>
      <c r="H364" s="1358"/>
      <c r="I364" s="1358"/>
      <c r="J364" s="1358">
        <v>9.73</v>
      </c>
      <c r="K364"/>
      <c r="L364"/>
      <c r="M364"/>
      <c r="N364"/>
    </row>
    <row r="365" spans="1:14" x14ac:dyDescent="0.25">
      <c r="A365" s="1357" t="s">
        <v>291</v>
      </c>
      <c r="B365" s="1358"/>
      <c r="C365" s="1358"/>
      <c r="D365" s="1358"/>
      <c r="E365" s="1358">
        <v>9.5</v>
      </c>
      <c r="F365" s="1358"/>
      <c r="G365" s="1358"/>
      <c r="H365" s="1358"/>
      <c r="I365" s="1358"/>
      <c r="J365" s="1358">
        <v>9.5</v>
      </c>
      <c r="K365"/>
      <c r="L365"/>
      <c r="M365"/>
      <c r="N365"/>
    </row>
    <row r="366" spans="1:14" x14ac:dyDescent="0.25">
      <c r="A366" s="1357" t="s">
        <v>894</v>
      </c>
      <c r="B366" s="1358"/>
      <c r="C366" s="1358"/>
      <c r="D366" s="1358"/>
      <c r="E366" s="1358"/>
      <c r="F366" s="1358"/>
      <c r="G366" s="1358"/>
      <c r="H366" s="1358">
        <v>9.5</v>
      </c>
      <c r="I366" s="1358"/>
      <c r="J366" s="1358">
        <v>9.5</v>
      </c>
      <c r="K366"/>
      <c r="L366"/>
      <c r="M366"/>
      <c r="N366"/>
    </row>
    <row r="367" spans="1:14" x14ac:dyDescent="0.25">
      <c r="A367" s="1357" t="s">
        <v>352</v>
      </c>
      <c r="B367" s="1358"/>
      <c r="C367" s="1358">
        <v>9</v>
      </c>
      <c r="D367" s="1358"/>
      <c r="E367" s="1358"/>
      <c r="F367" s="1358"/>
      <c r="G367" s="1358"/>
      <c r="H367" s="1358"/>
      <c r="I367" s="1358"/>
      <c r="J367" s="1358">
        <v>9</v>
      </c>
      <c r="K367"/>
      <c r="L367"/>
      <c r="M367"/>
      <c r="N367"/>
    </row>
    <row r="368" spans="1:14" x14ac:dyDescent="0.25">
      <c r="A368" s="1357" t="s">
        <v>146</v>
      </c>
      <c r="B368" s="1358"/>
      <c r="C368" s="1358"/>
      <c r="D368" s="1358"/>
      <c r="E368" s="1358"/>
      <c r="F368" s="1358"/>
      <c r="G368" s="1358">
        <v>8.6300000000000008</v>
      </c>
      <c r="H368" s="1358"/>
      <c r="I368" s="1358"/>
      <c r="J368" s="1358">
        <v>8.6300000000000008</v>
      </c>
      <c r="K368"/>
      <c r="L368"/>
      <c r="M368"/>
      <c r="N368"/>
    </row>
    <row r="369" spans="1:14" x14ac:dyDescent="0.25">
      <c r="A369" s="1357" t="s">
        <v>919</v>
      </c>
      <c r="B369" s="1358"/>
      <c r="C369" s="1358"/>
      <c r="D369" s="1358"/>
      <c r="E369" s="1358"/>
      <c r="F369" s="1358"/>
      <c r="G369" s="1358"/>
      <c r="H369" s="1358">
        <v>8.6</v>
      </c>
      <c r="I369" s="1358"/>
      <c r="J369" s="1358">
        <v>8.6</v>
      </c>
      <c r="K369"/>
      <c r="L369"/>
      <c r="M369"/>
      <c r="N369"/>
    </row>
    <row r="370" spans="1:14" x14ac:dyDescent="0.25">
      <c r="A370" s="1357" t="s">
        <v>264</v>
      </c>
      <c r="B370" s="1358"/>
      <c r="C370" s="1358"/>
      <c r="D370" s="1358"/>
      <c r="E370" s="1358">
        <v>8.39</v>
      </c>
      <c r="F370" s="1358"/>
      <c r="G370" s="1358"/>
      <c r="H370" s="1358"/>
      <c r="I370" s="1358"/>
      <c r="J370" s="1358">
        <v>8.39</v>
      </c>
      <c r="K370"/>
      <c r="L370"/>
      <c r="M370"/>
      <c r="N370"/>
    </row>
    <row r="371" spans="1:14" x14ac:dyDescent="0.25">
      <c r="A371" s="1357" t="s">
        <v>282</v>
      </c>
      <c r="B371" s="1358"/>
      <c r="C371" s="1358"/>
      <c r="D371" s="1358"/>
      <c r="E371" s="1358">
        <v>8</v>
      </c>
      <c r="F371" s="1358"/>
      <c r="G371" s="1358"/>
      <c r="H371" s="1358"/>
      <c r="I371" s="1358"/>
      <c r="J371" s="1358">
        <v>8</v>
      </c>
      <c r="K371"/>
      <c r="L371"/>
      <c r="M371"/>
      <c r="N371"/>
    </row>
    <row r="372" spans="1:14" x14ac:dyDescent="0.25">
      <c r="A372" s="1357" t="s">
        <v>314</v>
      </c>
      <c r="B372" s="1358"/>
      <c r="C372" s="1358"/>
      <c r="D372" s="1358">
        <v>7.99</v>
      </c>
      <c r="E372" s="1358"/>
      <c r="F372" s="1358"/>
      <c r="G372" s="1358"/>
      <c r="H372" s="1358"/>
      <c r="I372" s="1358"/>
      <c r="J372" s="1358">
        <v>7.99</v>
      </c>
      <c r="K372"/>
      <c r="L372"/>
      <c r="M372"/>
      <c r="N372"/>
    </row>
    <row r="373" spans="1:14" x14ac:dyDescent="0.25">
      <c r="A373" s="1357" t="s">
        <v>100</v>
      </c>
      <c r="B373" s="1358"/>
      <c r="C373" s="1358"/>
      <c r="D373" s="1358"/>
      <c r="E373" s="1358"/>
      <c r="F373" s="1358"/>
      <c r="G373" s="1358">
        <v>7.5</v>
      </c>
      <c r="H373" s="1358"/>
      <c r="I373" s="1358"/>
      <c r="J373" s="1358">
        <v>7.5</v>
      </c>
      <c r="K373"/>
      <c r="L373"/>
      <c r="M373"/>
      <c r="N373"/>
    </row>
    <row r="374" spans="1:14" x14ac:dyDescent="0.25">
      <c r="A374" s="1357" t="s">
        <v>901</v>
      </c>
      <c r="B374" s="1358"/>
      <c r="C374" s="1358"/>
      <c r="D374" s="1358"/>
      <c r="E374" s="1358"/>
      <c r="F374" s="1358"/>
      <c r="G374" s="1358"/>
      <c r="H374" s="1358">
        <v>7.5</v>
      </c>
      <c r="I374" s="1358"/>
      <c r="J374" s="1358">
        <v>7.5</v>
      </c>
      <c r="K374"/>
      <c r="L374"/>
      <c r="M374"/>
      <c r="N374"/>
    </row>
    <row r="375" spans="1:14" x14ac:dyDescent="0.25">
      <c r="A375" s="1357" t="s">
        <v>1072</v>
      </c>
      <c r="B375" s="1358"/>
      <c r="C375" s="1358"/>
      <c r="D375" s="1358"/>
      <c r="E375" s="1358"/>
      <c r="F375" s="1358"/>
      <c r="G375" s="1358"/>
      <c r="H375" s="1358">
        <v>7.5</v>
      </c>
      <c r="I375" s="1358"/>
      <c r="J375" s="1358">
        <v>7.5</v>
      </c>
      <c r="K375"/>
      <c r="L375"/>
      <c r="M375"/>
      <c r="N375"/>
    </row>
    <row r="376" spans="1:14" x14ac:dyDescent="0.25">
      <c r="A376" s="1357" t="s">
        <v>308</v>
      </c>
      <c r="B376" s="1358"/>
      <c r="C376" s="1358"/>
      <c r="D376" s="1358">
        <v>7.49</v>
      </c>
      <c r="E376" s="1358"/>
      <c r="F376" s="1358"/>
      <c r="G376" s="1358"/>
      <c r="H376" s="1358"/>
      <c r="I376" s="1358"/>
      <c r="J376" s="1358">
        <v>7.49</v>
      </c>
      <c r="K376"/>
      <c r="L376"/>
      <c r="M376"/>
      <c r="N376"/>
    </row>
    <row r="377" spans="1:14" x14ac:dyDescent="0.25">
      <c r="A377" s="1357" t="s">
        <v>101</v>
      </c>
      <c r="B377" s="1358"/>
      <c r="C377" s="1358"/>
      <c r="D377" s="1358"/>
      <c r="E377" s="1358"/>
      <c r="F377" s="1358"/>
      <c r="G377" s="1358">
        <v>7.4</v>
      </c>
      <c r="H377" s="1358"/>
      <c r="I377" s="1358"/>
      <c r="J377" s="1358">
        <v>7.4</v>
      </c>
      <c r="K377"/>
      <c r="L377"/>
      <c r="M377"/>
      <c r="N377"/>
    </row>
    <row r="378" spans="1:14" x14ac:dyDescent="0.25">
      <c r="A378" s="1357" t="s">
        <v>258</v>
      </c>
      <c r="B378" s="1358"/>
      <c r="C378" s="1358"/>
      <c r="D378" s="1358"/>
      <c r="E378" s="1358"/>
      <c r="F378" s="1358">
        <v>7.3</v>
      </c>
      <c r="G378" s="1358"/>
      <c r="H378" s="1358"/>
      <c r="I378" s="1358"/>
      <c r="J378" s="1358">
        <v>7.3</v>
      </c>
      <c r="K378"/>
      <c r="L378"/>
      <c r="M378"/>
      <c r="N378"/>
    </row>
    <row r="379" spans="1:14" x14ac:dyDescent="0.25">
      <c r="A379" s="1357" t="s">
        <v>247</v>
      </c>
      <c r="B379" s="1358"/>
      <c r="C379" s="1358"/>
      <c r="D379" s="1358"/>
      <c r="E379" s="1358"/>
      <c r="F379" s="1358">
        <v>7.29</v>
      </c>
      <c r="G379" s="1358"/>
      <c r="H379" s="1358"/>
      <c r="I379" s="1358"/>
      <c r="J379" s="1358">
        <v>7.29</v>
      </c>
      <c r="K379"/>
      <c r="L379"/>
      <c r="M379"/>
      <c r="N379"/>
    </row>
    <row r="380" spans="1:14" x14ac:dyDescent="0.25">
      <c r="A380" s="1357" t="s">
        <v>107</v>
      </c>
      <c r="B380" s="1358"/>
      <c r="C380" s="1358"/>
      <c r="D380" s="1358"/>
      <c r="E380" s="1358"/>
      <c r="F380" s="1358"/>
      <c r="G380" s="1358">
        <v>6.9</v>
      </c>
      <c r="H380" s="1358"/>
      <c r="I380" s="1358"/>
      <c r="J380" s="1358">
        <v>6.9</v>
      </c>
      <c r="K380"/>
      <c r="L380"/>
      <c r="M380"/>
      <c r="N380"/>
    </row>
    <row r="381" spans="1:14" x14ac:dyDescent="0.25">
      <c r="A381" s="1357" t="s">
        <v>265</v>
      </c>
      <c r="B381" s="1358"/>
      <c r="C381" s="1358"/>
      <c r="D381" s="1358"/>
      <c r="E381" s="1358">
        <v>6.88</v>
      </c>
      <c r="F381" s="1358"/>
      <c r="G381" s="1358"/>
      <c r="H381" s="1358"/>
      <c r="I381" s="1358"/>
      <c r="J381" s="1358">
        <v>6.88</v>
      </c>
      <c r="K381"/>
      <c r="L381"/>
      <c r="M381"/>
      <c r="N381"/>
    </row>
    <row r="382" spans="1:14" x14ac:dyDescent="0.25">
      <c r="A382" s="1357" t="s">
        <v>194</v>
      </c>
      <c r="B382" s="1358"/>
      <c r="C382" s="1358"/>
      <c r="D382" s="1358"/>
      <c r="E382" s="1358"/>
      <c r="F382" s="1358">
        <v>6.78</v>
      </c>
      <c r="G382" s="1358"/>
      <c r="H382" s="1358"/>
      <c r="I382" s="1358"/>
      <c r="J382" s="1358">
        <v>6.78</v>
      </c>
      <c r="K382"/>
      <c r="L382"/>
      <c r="M382"/>
      <c r="N382"/>
    </row>
    <row r="383" spans="1:14" x14ac:dyDescent="0.25">
      <c r="A383" s="1357" t="s">
        <v>102</v>
      </c>
      <c r="B383" s="1358"/>
      <c r="C383" s="1358"/>
      <c r="D383" s="1358"/>
      <c r="E383" s="1358"/>
      <c r="F383" s="1358"/>
      <c r="G383" s="1358">
        <v>6.5</v>
      </c>
      <c r="H383" s="1358"/>
      <c r="I383" s="1358"/>
      <c r="J383" s="1358">
        <v>6.5</v>
      </c>
      <c r="K383"/>
      <c r="L383"/>
      <c r="M383"/>
      <c r="N383"/>
    </row>
    <row r="384" spans="1:14" x14ac:dyDescent="0.25">
      <c r="A384" s="1357" t="s">
        <v>148</v>
      </c>
      <c r="B384" s="1358"/>
      <c r="C384" s="1358"/>
      <c r="D384" s="1358"/>
      <c r="E384" s="1358"/>
      <c r="F384" s="1358"/>
      <c r="G384" s="1358">
        <v>6.4</v>
      </c>
      <c r="H384" s="1358"/>
      <c r="I384" s="1358"/>
      <c r="J384" s="1358">
        <v>6.4</v>
      </c>
      <c r="K384"/>
      <c r="L384"/>
      <c r="M384"/>
      <c r="N384"/>
    </row>
    <row r="385" spans="1:14" x14ac:dyDescent="0.25">
      <c r="A385" s="1357" t="s">
        <v>893</v>
      </c>
      <c r="B385" s="1358"/>
      <c r="C385" s="1358"/>
      <c r="D385" s="1358"/>
      <c r="E385" s="1358"/>
      <c r="F385" s="1358"/>
      <c r="G385" s="1358"/>
      <c r="H385" s="1358">
        <v>6.16</v>
      </c>
      <c r="I385" s="1358"/>
      <c r="J385" s="1358">
        <v>6.16</v>
      </c>
      <c r="K385"/>
      <c r="L385"/>
      <c r="M385"/>
      <c r="N385"/>
    </row>
    <row r="386" spans="1:14" x14ac:dyDescent="0.25">
      <c r="A386" s="1357" t="s">
        <v>104</v>
      </c>
      <c r="B386" s="1358"/>
      <c r="C386" s="1358"/>
      <c r="D386" s="1358"/>
      <c r="E386" s="1358"/>
      <c r="F386" s="1358"/>
      <c r="G386" s="1358">
        <v>6</v>
      </c>
      <c r="H386" s="1358"/>
      <c r="I386" s="1358"/>
      <c r="J386" s="1358">
        <v>6</v>
      </c>
    </row>
    <row r="387" spans="1:14" x14ac:dyDescent="0.25">
      <c r="A387" s="1357" t="s">
        <v>982</v>
      </c>
      <c r="B387" s="1358"/>
      <c r="C387" s="1358"/>
      <c r="D387" s="1358"/>
      <c r="E387" s="1358"/>
      <c r="F387" s="1358"/>
      <c r="G387" s="1358"/>
      <c r="H387" s="1358">
        <v>6</v>
      </c>
      <c r="I387" s="1358"/>
      <c r="J387" s="1358">
        <v>6</v>
      </c>
    </row>
    <row r="388" spans="1:14" x14ac:dyDescent="0.25">
      <c r="A388" s="1357" t="s">
        <v>198</v>
      </c>
      <c r="B388" s="1358"/>
      <c r="C388" s="1358"/>
      <c r="D388" s="1358"/>
      <c r="E388" s="1358"/>
      <c r="F388" s="1358">
        <v>6</v>
      </c>
      <c r="G388" s="1358"/>
      <c r="H388" s="1358"/>
      <c r="I388" s="1358"/>
      <c r="J388" s="1358">
        <v>6</v>
      </c>
    </row>
    <row r="389" spans="1:14" x14ac:dyDescent="0.25">
      <c r="A389" s="1357" t="s">
        <v>103</v>
      </c>
      <c r="B389" s="1358"/>
      <c r="C389" s="1358"/>
      <c r="D389" s="1358"/>
      <c r="E389" s="1358"/>
      <c r="F389" s="1358"/>
      <c r="G389" s="1358">
        <v>6</v>
      </c>
      <c r="H389" s="1358"/>
      <c r="I389" s="1358"/>
      <c r="J389" s="1358">
        <v>6</v>
      </c>
    </row>
    <row r="390" spans="1:14" x14ac:dyDescent="0.25">
      <c r="A390" s="1357" t="s">
        <v>1076</v>
      </c>
      <c r="B390" s="1358"/>
      <c r="C390" s="1358"/>
      <c r="D390" s="1358"/>
      <c r="E390" s="1358"/>
      <c r="F390" s="1358"/>
      <c r="G390" s="1358"/>
      <c r="H390" s="1358">
        <v>5.9</v>
      </c>
      <c r="I390" s="1358"/>
      <c r="J390" s="1358">
        <v>5.9</v>
      </c>
    </row>
    <row r="391" spans="1:14" x14ac:dyDescent="0.25">
      <c r="A391" s="1357" t="s">
        <v>223</v>
      </c>
      <c r="B391" s="1358"/>
      <c r="C391" s="1358"/>
      <c r="D391" s="1358"/>
      <c r="E391" s="1358"/>
      <c r="F391" s="1358">
        <v>5.85</v>
      </c>
      <c r="G391" s="1358"/>
      <c r="H391" s="1358"/>
      <c r="I391" s="1358"/>
      <c r="J391" s="1358">
        <v>5.85</v>
      </c>
    </row>
    <row r="392" spans="1:14" x14ac:dyDescent="0.25">
      <c r="A392" s="1357" t="s">
        <v>364</v>
      </c>
      <c r="B392" s="1358">
        <v>5.2</v>
      </c>
      <c r="C392" s="1358"/>
      <c r="D392" s="1358"/>
      <c r="E392" s="1358"/>
      <c r="F392" s="1358"/>
      <c r="G392" s="1358"/>
      <c r="H392" s="1358"/>
      <c r="I392" s="1358"/>
      <c r="J392" s="1358">
        <v>5.2</v>
      </c>
    </row>
    <row r="393" spans="1:14" x14ac:dyDescent="0.25">
      <c r="A393" s="1357" t="s">
        <v>266</v>
      </c>
      <c r="B393" s="1358"/>
      <c r="C393" s="1358"/>
      <c r="D393" s="1358"/>
      <c r="E393" s="1358">
        <v>5.18</v>
      </c>
      <c r="F393" s="1358"/>
      <c r="G393" s="1358"/>
      <c r="H393" s="1358"/>
      <c r="I393" s="1358"/>
      <c r="J393" s="1358">
        <v>5.18</v>
      </c>
    </row>
    <row r="394" spans="1:14" x14ac:dyDescent="0.25">
      <c r="A394" s="1357" t="s">
        <v>887</v>
      </c>
      <c r="B394" s="1358"/>
      <c r="C394" s="1358"/>
      <c r="D394" s="1358"/>
      <c r="E394" s="1358"/>
      <c r="F394" s="1358"/>
      <c r="G394" s="1358"/>
      <c r="H394" s="1358">
        <v>5.1499999999999995</v>
      </c>
      <c r="I394" s="1358"/>
      <c r="J394" s="1358">
        <v>5.1499999999999995</v>
      </c>
    </row>
    <row r="395" spans="1:14" x14ac:dyDescent="0.25">
      <c r="A395" s="1357" t="s">
        <v>1075</v>
      </c>
      <c r="B395" s="1358"/>
      <c r="C395" s="1358"/>
      <c r="D395" s="1358"/>
      <c r="E395" s="1358"/>
      <c r="F395" s="1358"/>
      <c r="G395" s="1358"/>
      <c r="H395" s="1358">
        <v>5.0999999999999996</v>
      </c>
      <c r="I395" s="1358"/>
      <c r="J395" s="1358">
        <v>5.0999999999999996</v>
      </c>
    </row>
    <row r="396" spans="1:14" x14ac:dyDescent="0.25">
      <c r="A396" s="1357" t="s">
        <v>106</v>
      </c>
      <c r="B396" s="1358"/>
      <c r="C396" s="1358"/>
      <c r="D396" s="1358"/>
      <c r="E396" s="1358"/>
      <c r="F396" s="1358"/>
      <c r="G396" s="1358">
        <v>5.0999999999999996</v>
      </c>
      <c r="H396" s="1358"/>
      <c r="I396" s="1358"/>
      <c r="J396" s="1358">
        <v>5.0999999999999996</v>
      </c>
    </row>
    <row r="397" spans="1:14" x14ac:dyDescent="0.25">
      <c r="A397" s="1357" t="s">
        <v>335</v>
      </c>
      <c r="B397" s="1358"/>
      <c r="C397" s="1358">
        <v>5</v>
      </c>
      <c r="D397" s="1358"/>
      <c r="E397" s="1358"/>
      <c r="F397" s="1358"/>
      <c r="G397" s="1358"/>
      <c r="H397" s="1358"/>
      <c r="I397" s="1358"/>
      <c r="J397" s="1358">
        <v>5</v>
      </c>
    </row>
    <row r="398" spans="1:14" x14ac:dyDescent="0.25">
      <c r="A398" s="1357" t="s">
        <v>859</v>
      </c>
      <c r="B398" s="1358"/>
      <c r="C398" s="1358"/>
      <c r="D398" s="1358"/>
      <c r="E398" s="1358"/>
      <c r="F398" s="1358"/>
      <c r="G398" s="1358"/>
      <c r="H398" s="1358">
        <v>5</v>
      </c>
      <c r="I398" s="1358"/>
      <c r="J398" s="1358">
        <v>5</v>
      </c>
    </row>
    <row r="399" spans="1:14" x14ac:dyDescent="0.25">
      <c r="A399" s="1357" t="s">
        <v>220</v>
      </c>
      <c r="B399" s="1358"/>
      <c r="C399" s="1358"/>
      <c r="D399" s="1358"/>
      <c r="E399" s="1358"/>
      <c r="F399" s="1358">
        <v>5</v>
      </c>
      <c r="G399" s="1358"/>
      <c r="H399" s="1358"/>
      <c r="I399" s="1358"/>
      <c r="J399" s="1358">
        <v>5</v>
      </c>
    </row>
    <row r="400" spans="1:14" x14ac:dyDescent="0.25">
      <c r="A400" s="1357" t="s">
        <v>1139</v>
      </c>
      <c r="B400" s="1358"/>
      <c r="C400" s="1358"/>
      <c r="D400" s="1358"/>
      <c r="E400" s="1358"/>
      <c r="F400" s="1358"/>
      <c r="G400" s="1358"/>
      <c r="H400" s="1358">
        <v>4.4000000000000004</v>
      </c>
      <c r="I400" s="1358"/>
      <c r="J400" s="1358">
        <v>4.4000000000000004</v>
      </c>
    </row>
    <row r="401" spans="1:10" x14ac:dyDescent="0.25">
      <c r="A401" s="1357" t="s">
        <v>789</v>
      </c>
      <c r="B401" s="1358"/>
      <c r="C401" s="1358"/>
      <c r="D401" s="1358"/>
      <c r="E401" s="1358"/>
      <c r="F401" s="1358"/>
      <c r="G401" s="1358"/>
      <c r="H401" s="1358">
        <v>4.33</v>
      </c>
      <c r="I401" s="1358"/>
      <c r="J401" s="1358">
        <v>4.33</v>
      </c>
    </row>
    <row r="402" spans="1:10" x14ac:dyDescent="0.25">
      <c r="A402" s="1357" t="s">
        <v>866</v>
      </c>
      <c r="B402" s="1358"/>
      <c r="C402" s="1358"/>
      <c r="D402" s="1358"/>
      <c r="E402" s="1358"/>
      <c r="F402" s="1358"/>
      <c r="G402" s="1358"/>
      <c r="H402" s="1358">
        <v>4</v>
      </c>
      <c r="I402" s="1358"/>
      <c r="J402" s="1358">
        <v>4</v>
      </c>
    </row>
    <row r="403" spans="1:10" x14ac:dyDescent="0.25">
      <c r="A403" s="1357" t="s">
        <v>149</v>
      </c>
      <c r="B403" s="1358"/>
      <c r="C403" s="1358"/>
      <c r="D403" s="1358"/>
      <c r="E403" s="1358"/>
      <c r="F403" s="1358"/>
      <c r="G403" s="1358">
        <v>3.89</v>
      </c>
      <c r="H403" s="1358"/>
      <c r="I403" s="1358"/>
      <c r="J403" s="1358">
        <v>3.89</v>
      </c>
    </row>
    <row r="404" spans="1:10" x14ac:dyDescent="0.25">
      <c r="A404" s="1357" t="s">
        <v>898</v>
      </c>
      <c r="B404" s="1358"/>
      <c r="C404" s="1358"/>
      <c r="D404" s="1358"/>
      <c r="E404" s="1358"/>
      <c r="F404" s="1358"/>
      <c r="G404" s="1358"/>
      <c r="H404" s="1358">
        <v>3.7</v>
      </c>
      <c r="I404" s="1358"/>
      <c r="J404" s="1358">
        <v>3.7</v>
      </c>
    </row>
    <row r="405" spans="1:10" x14ac:dyDescent="0.25">
      <c r="A405" s="1357" t="s">
        <v>249</v>
      </c>
      <c r="B405" s="1358"/>
      <c r="C405" s="1358"/>
      <c r="D405" s="1358"/>
      <c r="E405" s="1358"/>
      <c r="F405" s="1358">
        <v>3.69</v>
      </c>
      <c r="G405" s="1358"/>
      <c r="H405" s="1358"/>
      <c r="I405" s="1358"/>
      <c r="J405" s="1358">
        <v>3.69</v>
      </c>
    </row>
    <row r="406" spans="1:10" x14ac:dyDescent="0.25">
      <c r="A406" s="1357" t="s">
        <v>270</v>
      </c>
      <c r="B406" s="1358"/>
      <c r="C406" s="1358"/>
      <c r="D406" s="1358"/>
      <c r="E406" s="1358">
        <v>3.14</v>
      </c>
      <c r="F406" s="1358"/>
      <c r="G406" s="1358"/>
      <c r="H406" s="1358"/>
      <c r="I406" s="1358"/>
      <c r="J406" s="1358">
        <v>3.14</v>
      </c>
    </row>
    <row r="407" spans="1:10" x14ac:dyDescent="0.25">
      <c r="A407" s="1357" t="s">
        <v>295</v>
      </c>
      <c r="B407" s="1358"/>
      <c r="C407" s="1358"/>
      <c r="D407" s="1358"/>
      <c r="E407" s="1358">
        <v>2.99</v>
      </c>
      <c r="F407" s="1358"/>
      <c r="G407" s="1358"/>
      <c r="H407" s="1358"/>
      <c r="I407" s="1358"/>
      <c r="J407" s="1358">
        <v>2.99</v>
      </c>
    </row>
    <row r="408" spans="1:10" x14ac:dyDescent="0.25">
      <c r="A408" s="1357" t="s">
        <v>227</v>
      </c>
      <c r="B408" s="1358"/>
      <c r="C408" s="1358"/>
      <c r="D408" s="1358"/>
      <c r="E408" s="1358"/>
      <c r="F408" s="1358">
        <v>2.9</v>
      </c>
      <c r="G408" s="1358"/>
      <c r="H408" s="1358"/>
      <c r="I408" s="1358"/>
      <c r="J408" s="1358">
        <v>2.9</v>
      </c>
    </row>
    <row r="409" spans="1:10" x14ac:dyDescent="0.25">
      <c r="A409" s="1357" t="s">
        <v>1141</v>
      </c>
      <c r="B409" s="1358"/>
      <c r="C409" s="1358"/>
      <c r="D409" s="1358"/>
      <c r="E409" s="1358"/>
      <c r="F409" s="1358"/>
      <c r="G409" s="1358"/>
      <c r="H409" s="1358">
        <v>2.8</v>
      </c>
      <c r="I409" s="1358"/>
      <c r="J409" s="1358">
        <v>2.8</v>
      </c>
    </row>
    <row r="410" spans="1:10" x14ac:dyDescent="0.25">
      <c r="A410" s="1357" t="s">
        <v>169</v>
      </c>
      <c r="B410" s="1358"/>
      <c r="C410" s="1358"/>
      <c r="D410" s="1358"/>
      <c r="E410" s="1358"/>
      <c r="F410" s="1358"/>
      <c r="G410" s="1358">
        <v>2.39</v>
      </c>
      <c r="H410" s="1358"/>
      <c r="I410" s="1358"/>
      <c r="J410" s="1358">
        <v>2.39</v>
      </c>
    </row>
    <row r="411" spans="1:10" x14ac:dyDescent="0.25">
      <c r="A411" s="1357" t="s">
        <v>88</v>
      </c>
      <c r="B411" s="1358"/>
      <c r="C411" s="1358"/>
      <c r="D411" s="1358"/>
      <c r="E411" s="1358"/>
      <c r="F411" s="1358"/>
      <c r="G411" s="1358">
        <v>2</v>
      </c>
      <c r="H411" s="1358"/>
      <c r="I411" s="1358"/>
      <c r="J411" s="1358">
        <v>2</v>
      </c>
    </row>
    <row r="412" spans="1:10" x14ac:dyDescent="0.25">
      <c r="A412" s="1357" t="s">
        <v>203</v>
      </c>
      <c r="B412" s="1358"/>
      <c r="C412" s="1358"/>
      <c r="D412" s="1358"/>
      <c r="E412" s="1358"/>
      <c r="F412" s="1358">
        <v>2</v>
      </c>
      <c r="G412" s="1358"/>
      <c r="H412" s="1358"/>
      <c r="I412" s="1358"/>
      <c r="J412" s="1358">
        <v>2</v>
      </c>
    </row>
    <row r="413" spans="1:10" x14ac:dyDescent="0.25">
      <c r="A413" s="1357" t="s">
        <v>1093</v>
      </c>
      <c r="B413" s="1358"/>
      <c r="C413" s="1358"/>
      <c r="D413" s="1358"/>
      <c r="E413" s="1358"/>
      <c r="F413" s="1358"/>
      <c r="G413" s="1358"/>
      <c r="H413" s="1358">
        <v>2</v>
      </c>
      <c r="I413" s="1358"/>
      <c r="J413" s="1358">
        <v>2</v>
      </c>
    </row>
    <row r="414" spans="1:10" x14ac:dyDescent="0.25">
      <c r="A414" s="1357" t="s">
        <v>889</v>
      </c>
      <c r="B414" s="1358"/>
      <c r="C414" s="1358"/>
      <c r="D414" s="1358"/>
      <c r="E414" s="1358"/>
      <c r="F414" s="1358"/>
      <c r="G414" s="1358"/>
      <c r="H414" s="1358">
        <v>1.81</v>
      </c>
      <c r="I414" s="1358"/>
      <c r="J414" s="1358">
        <v>1.81</v>
      </c>
    </row>
    <row r="415" spans="1:10" x14ac:dyDescent="0.25">
      <c r="A415" s="1357" t="s">
        <v>204</v>
      </c>
      <c r="B415" s="1358"/>
      <c r="C415" s="1358"/>
      <c r="D415" s="1358"/>
      <c r="E415" s="1358"/>
      <c r="F415" s="1358">
        <v>1.7</v>
      </c>
      <c r="G415" s="1358"/>
      <c r="H415" s="1358"/>
      <c r="I415" s="1358"/>
      <c r="J415" s="1358">
        <v>1.7</v>
      </c>
    </row>
    <row r="416" spans="1:10" x14ac:dyDescent="0.25">
      <c r="A416" s="1357" t="s">
        <v>907</v>
      </c>
      <c r="B416" s="1358"/>
      <c r="C416" s="1358"/>
      <c r="D416" s="1358"/>
      <c r="E416" s="1358"/>
      <c r="F416" s="1358"/>
      <c r="G416" s="1358"/>
      <c r="H416" s="1358">
        <v>1.5</v>
      </c>
      <c r="I416" s="1358"/>
      <c r="J416" s="1358">
        <v>1.5</v>
      </c>
    </row>
    <row r="417" spans="1:10" x14ac:dyDescent="0.25">
      <c r="A417" s="1357" t="s">
        <v>917</v>
      </c>
      <c r="B417" s="1358"/>
      <c r="C417" s="1358"/>
      <c r="D417" s="1358"/>
      <c r="E417" s="1358"/>
      <c r="F417" s="1358"/>
      <c r="G417" s="1358"/>
      <c r="H417" s="1358">
        <v>1.5</v>
      </c>
      <c r="I417" s="1358"/>
      <c r="J417" s="1358">
        <v>1.5</v>
      </c>
    </row>
    <row r="418" spans="1:10" x14ac:dyDescent="0.25">
      <c r="A418" s="1357" t="s">
        <v>867</v>
      </c>
      <c r="B418" s="1358"/>
      <c r="C418" s="1358"/>
      <c r="D418" s="1358"/>
      <c r="E418" s="1358"/>
      <c r="F418" s="1358"/>
      <c r="G418" s="1358"/>
      <c r="H418" s="1358">
        <v>1.04</v>
      </c>
      <c r="I418" s="1358"/>
      <c r="J418" s="1358">
        <v>1.04</v>
      </c>
    </row>
    <row r="419" spans="1:10" x14ac:dyDescent="0.25">
      <c r="A419" s="1357" t="s">
        <v>1071</v>
      </c>
      <c r="B419" s="1358"/>
      <c r="C419" s="1358"/>
      <c r="D419" s="1358"/>
      <c r="E419" s="1358"/>
      <c r="F419" s="1358"/>
      <c r="G419" s="1358"/>
      <c r="H419" s="1358">
        <v>1</v>
      </c>
      <c r="I419" s="1358"/>
      <c r="J419" s="1358">
        <v>1</v>
      </c>
    </row>
    <row r="420" spans="1:10" x14ac:dyDescent="0.25">
      <c r="A420" s="1357" t="s">
        <v>348</v>
      </c>
      <c r="B420" s="1358"/>
      <c r="C420" s="1358">
        <v>1</v>
      </c>
      <c r="D420" s="1358"/>
      <c r="E420" s="1358"/>
      <c r="F420" s="1358"/>
      <c r="G420" s="1358"/>
      <c r="H420" s="1358"/>
      <c r="I420" s="1358"/>
      <c r="J420" s="1358">
        <v>1</v>
      </c>
    </row>
    <row r="421" spans="1:10" x14ac:dyDescent="0.25">
      <c r="A421" s="1357" t="s">
        <v>884</v>
      </c>
      <c r="B421" s="1358"/>
      <c r="C421" s="1358"/>
      <c r="D421" s="1358"/>
      <c r="E421" s="1358"/>
      <c r="F421" s="1358"/>
      <c r="G421" s="1358"/>
      <c r="H421" s="1358">
        <v>0.71</v>
      </c>
      <c r="I421" s="1358"/>
      <c r="J421" s="1358">
        <v>0.71</v>
      </c>
    </row>
    <row r="422" spans="1:10" x14ac:dyDescent="0.25">
      <c r="A422" s="1357" t="s">
        <v>315</v>
      </c>
      <c r="B422" s="1358"/>
      <c r="C422" s="1358"/>
      <c r="D422" s="1358">
        <v>0.62</v>
      </c>
      <c r="E422" s="1358"/>
      <c r="F422" s="1358"/>
      <c r="G422" s="1358"/>
      <c r="H422" s="1358"/>
      <c r="I422" s="1358"/>
      <c r="J422" s="1358">
        <v>0.62</v>
      </c>
    </row>
    <row r="423" spans="1:10" x14ac:dyDescent="0.25">
      <c r="A423" s="1357" t="s">
        <v>330</v>
      </c>
      <c r="B423" s="1358"/>
      <c r="C423" s="1358"/>
      <c r="D423" s="1358">
        <v>0</v>
      </c>
      <c r="E423" s="1358"/>
      <c r="F423" s="1358"/>
      <c r="G423" s="1358"/>
      <c r="H423" s="1358"/>
      <c r="I423" s="1358"/>
      <c r="J423" s="1358">
        <v>0</v>
      </c>
    </row>
    <row r="424" spans="1:10" x14ac:dyDescent="0.25">
      <c r="A424" s="1357" t="s">
        <v>845</v>
      </c>
      <c r="B424" s="1358"/>
      <c r="C424" s="1358"/>
      <c r="D424" s="1358"/>
      <c r="E424" s="1358"/>
      <c r="F424" s="1358"/>
      <c r="G424" s="1358"/>
      <c r="H424" s="1358">
        <v>-0.19</v>
      </c>
      <c r="I424" s="1358"/>
      <c r="J424" s="1358">
        <v>-0.19</v>
      </c>
    </row>
    <row r="425" spans="1:10" x14ac:dyDescent="0.25">
      <c r="A425" s="1357" t="s">
        <v>1172</v>
      </c>
      <c r="B425" s="1358"/>
      <c r="C425" s="1358"/>
      <c r="D425" s="1358"/>
      <c r="E425" s="1358"/>
      <c r="F425" s="1358"/>
      <c r="G425" s="1358"/>
      <c r="H425" s="1358">
        <v>-25.82</v>
      </c>
      <c r="I425" s="1358"/>
      <c r="J425" s="1358">
        <v>-25.82</v>
      </c>
    </row>
    <row r="426" spans="1:10" x14ac:dyDescent="0.25">
      <c r="A426" s="1357" t="s">
        <v>1178</v>
      </c>
      <c r="B426" s="1358">
        <v>4177.3</v>
      </c>
      <c r="C426" s="1358">
        <v>7273.6499999999978</v>
      </c>
      <c r="D426" s="1358">
        <v>7111.9499999999962</v>
      </c>
      <c r="E426" s="1358">
        <v>5182.1399999999985</v>
      </c>
      <c r="F426" s="1358">
        <v>7368.5599999999977</v>
      </c>
      <c r="G426" s="1358">
        <v>10200.699999999995</v>
      </c>
      <c r="H426" s="1358">
        <v>16629.697999999997</v>
      </c>
      <c r="I426" s="1358">
        <v>3649.2359999999994</v>
      </c>
      <c r="J426" s="1358">
        <v>61593.23400000004</v>
      </c>
    </row>
    <row r="427" spans="1:10" x14ac:dyDescent="0.25">
      <c r="A427"/>
      <c r="B427"/>
      <c r="C427"/>
      <c r="D427"/>
      <c r="E427"/>
      <c r="F427"/>
      <c r="G427"/>
      <c r="H427"/>
      <c r="I427"/>
    </row>
    <row r="428" spans="1:10" x14ac:dyDescent="0.25">
      <c r="A428"/>
      <c r="B428"/>
      <c r="C428"/>
      <c r="D428"/>
      <c r="E428"/>
      <c r="F428"/>
      <c r="G428"/>
      <c r="H428"/>
      <c r="I428"/>
    </row>
    <row r="429" spans="1:10" x14ac:dyDescent="0.25">
      <c r="A429"/>
      <c r="B429"/>
      <c r="C429"/>
      <c r="D429"/>
      <c r="E429"/>
      <c r="F429"/>
      <c r="G429"/>
      <c r="H429"/>
      <c r="I429"/>
    </row>
    <row r="430" spans="1:10" x14ac:dyDescent="0.25">
      <c r="A430"/>
      <c r="B430"/>
      <c r="C430"/>
      <c r="D430"/>
      <c r="E430"/>
      <c r="F430"/>
      <c r="G430"/>
      <c r="H430"/>
      <c r="I430"/>
    </row>
    <row r="431" spans="1:10" x14ac:dyDescent="0.25">
      <c r="A431"/>
      <c r="B431"/>
      <c r="C431"/>
      <c r="D431"/>
      <c r="E431"/>
      <c r="F431"/>
      <c r="G431"/>
      <c r="H431"/>
      <c r="I431"/>
    </row>
    <row r="432" spans="1:10" x14ac:dyDescent="0.25">
      <c r="A432"/>
      <c r="B432"/>
      <c r="C432"/>
      <c r="D432"/>
      <c r="E432"/>
      <c r="F432"/>
      <c r="G432"/>
      <c r="H432"/>
      <c r="I432"/>
    </row>
    <row r="433" spans="1:9" x14ac:dyDescent="0.25">
      <c r="A433"/>
      <c r="B433"/>
      <c r="C433"/>
      <c r="D433"/>
      <c r="E433"/>
      <c r="F433"/>
      <c r="G433"/>
      <c r="H433"/>
      <c r="I433"/>
    </row>
    <row r="434" spans="1:9" x14ac:dyDescent="0.25">
      <c r="A434"/>
      <c r="B434"/>
      <c r="C434"/>
      <c r="D434"/>
      <c r="E434"/>
      <c r="F434"/>
      <c r="G434"/>
      <c r="H434"/>
      <c r="I434"/>
    </row>
    <row r="435" spans="1:9" x14ac:dyDescent="0.25">
      <c r="A435"/>
      <c r="B435"/>
      <c r="C435"/>
      <c r="D435"/>
      <c r="E435"/>
      <c r="F435"/>
      <c r="G435"/>
      <c r="H435"/>
      <c r="I435"/>
    </row>
    <row r="436" spans="1:9" x14ac:dyDescent="0.25">
      <c r="A436"/>
      <c r="B436"/>
      <c r="C436"/>
      <c r="D436"/>
      <c r="E436"/>
      <c r="F436"/>
      <c r="G436"/>
      <c r="H436"/>
      <c r="I436"/>
    </row>
    <row r="437" spans="1:9" x14ac:dyDescent="0.25">
      <c r="A437"/>
      <c r="B437"/>
      <c r="C437"/>
      <c r="D437"/>
      <c r="E437"/>
      <c r="F437"/>
      <c r="G437"/>
      <c r="H437"/>
      <c r="I437"/>
    </row>
    <row r="438" spans="1:9" x14ac:dyDescent="0.25">
      <c r="A438"/>
      <c r="B438"/>
      <c r="C438"/>
      <c r="D438"/>
      <c r="E438"/>
      <c r="F438"/>
      <c r="G438"/>
      <c r="H438"/>
      <c r="I438"/>
    </row>
    <row r="439" spans="1:9" x14ac:dyDescent="0.25">
      <c r="A439"/>
      <c r="B439"/>
      <c r="C439"/>
      <c r="D439"/>
      <c r="E439"/>
      <c r="F439"/>
      <c r="G439"/>
      <c r="H439"/>
      <c r="I439"/>
    </row>
    <row r="440" spans="1:9" x14ac:dyDescent="0.25">
      <c r="A440"/>
      <c r="B440"/>
      <c r="C440"/>
      <c r="D440"/>
      <c r="E440"/>
      <c r="F440"/>
      <c r="G440"/>
      <c r="H440"/>
      <c r="I440"/>
    </row>
    <row r="441" spans="1:9" x14ac:dyDescent="0.25">
      <c r="A441"/>
      <c r="B441"/>
      <c r="C441"/>
      <c r="D441"/>
      <c r="E441"/>
      <c r="F441"/>
      <c r="G441"/>
      <c r="H441"/>
      <c r="I441"/>
    </row>
    <row r="442" spans="1:9" x14ac:dyDescent="0.25">
      <c r="A442"/>
      <c r="B442"/>
      <c r="C442"/>
      <c r="D442"/>
      <c r="E442"/>
      <c r="F442"/>
      <c r="G442"/>
      <c r="H442"/>
      <c r="I442"/>
    </row>
    <row r="443" spans="1:9" x14ac:dyDescent="0.25">
      <c r="A443"/>
      <c r="B443"/>
      <c r="C443"/>
      <c r="D443"/>
      <c r="E443"/>
      <c r="F443"/>
      <c r="G443"/>
      <c r="H443"/>
      <c r="I443"/>
    </row>
    <row r="444" spans="1:9" x14ac:dyDescent="0.25">
      <c r="A444"/>
      <c r="B444"/>
      <c r="C444"/>
      <c r="D444"/>
      <c r="E444"/>
      <c r="F444"/>
      <c r="G444"/>
      <c r="H444"/>
      <c r="I444"/>
    </row>
    <row r="445" spans="1:9" x14ac:dyDescent="0.25">
      <c r="A445"/>
      <c r="B445"/>
      <c r="C445"/>
      <c r="D445"/>
      <c r="E445"/>
      <c r="F445"/>
      <c r="G445"/>
      <c r="H445"/>
      <c r="I445"/>
    </row>
    <row r="446" spans="1:9" x14ac:dyDescent="0.25">
      <c r="A446"/>
      <c r="B446"/>
      <c r="C446"/>
      <c r="D446"/>
      <c r="E446"/>
      <c r="F446"/>
      <c r="G446"/>
      <c r="H446"/>
      <c r="I446"/>
    </row>
    <row r="447" spans="1:9" x14ac:dyDescent="0.25">
      <c r="A447"/>
      <c r="B447"/>
      <c r="C447"/>
      <c r="D447"/>
      <c r="E447"/>
      <c r="F447"/>
      <c r="G447"/>
      <c r="H447"/>
      <c r="I447"/>
    </row>
    <row r="448" spans="1:9" x14ac:dyDescent="0.25">
      <c r="A448"/>
      <c r="B448"/>
      <c r="C448"/>
      <c r="D448"/>
      <c r="E448"/>
      <c r="F448"/>
      <c r="G448"/>
      <c r="H448"/>
      <c r="I448"/>
    </row>
    <row r="449" spans="1:9" x14ac:dyDescent="0.25">
      <c r="A449"/>
      <c r="B449"/>
      <c r="C449"/>
      <c r="D449"/>
      <c r="E449"/>
      <c r="F449"/>
      <c r="G449"/>
      <c r="H449"/>
      <c r="I449"/>
    </row>
    <row r="450" spans="1:9" x14ac:dyDescent="0.25">
      <c r="A450"/>
      <c r="B450"/>
      <c r="C450"/>
      <c r="D450"/>
      <c r="E450"/>
      <c r="F450"/>
      <c r="G450"/>
      <c r="H450"/>
      <c r="I450"/>
    </row>
    <row r="451" spans="1:9" x14ac:dyDescent="0.25">
      <c r="A451"/>
      <c r="B451"/>
      <c r="C451"/>
      <c r="D451"/>
      <c r="E451"/>
      <c r="F451"/>
      <c r="G451"/>
      <c r="H451"/>
      <c r="I451"/>
    </row>
    <row r="452" spans="1:9" x14ac:dyDescent="0.25">
      <c r="A452"/>
      <c r="B452"/>
      <c r="C452"/>
      <c r="D452"/>
      <c r="E452"/>
      <c r="F452"/>
      <c r="G452"/>
      <c r="H452"/>
      <c r="I452"/>
    </row>
    <row r="453" spans="1:9" x14ac:dyDescent="0.25">
      <c r="A453"/>
      <c r="B453"/>
      <c r="C453"/>
      <c r="D453"/>
      <c r="E453"/>
      <c r="F453"/>
      <c r="G453"/>
      <c r="H453"/>
      <c r="I453"/>
    </row>
    <row r="454" spans="1:9" x14ac:dyDescent="0.25">
      <c r="A454"/>
      <c r="B454"/>
      <c r="C454"/>
      <c r="D454"/>
      <c r="E454"/>
      <c r="F454"/>
      <c r="G454"/>
      <c r="H454"/>
      <c r="I454"/>
    </row>
    <row r="455" spans="1:9" x14ac:dyDescent="0.25">
      <c r="A455"/>
      <c r="B455"/>
      <c r="C455"/>
      <c r="D455"/>
      <c r="E455"/>
      <c r="F455"/>
      <c r="G455"/>
      <c r="H455"/>
      <c r="I455"/>
    </row>
    <row r="456" spans="1:9" x14ac:dyDescent="0.25">
      <c r="A456"/>
      <c r="B456"/>
      <c r="C456"/>
      <c r="D456"/>
      <c r="E456"/>
      <c r="F456"/>
      <c r="G456"/>
      <c r="H456"/>
      <c r="I456"/>
    </row>
    <row r="457" spans="1:9" x14ac:dyDescent="0.25">
      <c r="A457"/>
      <c r="B457"/>
      <c r="C457"/>
      <c r="D457"/>
      <c r="E457"/>
      <c r="F457"/>
      <c r="G457"/>
      <c r="H457"/>
      <c r="I457"/>
    </row>
    <row r="458" spans="1:9" x14ac:dyDescent="0.25">
      <c r="A458"/>
      <c r="B458"/>
      <c r="C458"/>
      <c r="D458"/>
      <c r="E458"/>
      <c r="F458"/>
      <c r="G458"/>
      <c r="H458"/>
      <c r="I458"/>
    </row>
    <row r="459" spans="1:9" x14ac:dyDescent="0.25">
      <c r="A459"/>
      <c r="B459"/>
      <c r="C459"/>
      <c r="D459"/>
      <c r="E459"/>
      <c r="F459"/>
      <c r="G459"/>
      <c r="H459"/>
      <c r="I459"/>
    </row>
    <row r="460" spans="1:9" x14ac:dyDescent="0.25">
      <c r="A460"/>
      <c r="B460"/>
      <c r="C460"/>
      <c r="D460"/>
      <c r="E460"/>
      <c r="F460"/>
      <c r="G460"/>
      <c r="H460"/>
      <c r="I460"/>
    </row>
    <row r="461" spans="1:9" x14ac:dyDescent="0.25">
      <c r="A461"/>
      <c r="B461"/>
      <c r="C461"/>
      <c r="D461"/>
      <c r="E461"/>
      <c r="F461"/>
      <c r="G461"/>
      <c r="H461"/>
      <c r="I461"/>
    </row>
    <row r="462" spans="1:9" x14ac:dyDescent="0.25">
      <c r="A462"/>
      <c r="B462"/>
      <c r="C462"/>
      <c r="D462"/>
      <c r="E462"/>
      <c r="F462"/>
      <c r="G462"/>
      <c r="H462"/>
      <c r="I462"/>
    </row>
    <row r="463" spans="1:9" x14ac:dyDescent="0.25">
      <c r="A463"/>
      <c r="B463"/>
      <c r="C463"/>
      <c r="D463"/>
      <c r="E463"/>
      <c r="F463"/>
      <c r="G463"/>
      <c r="H463"/>
      <c r="I463"/>
    </row>
    <row r="464" spans="1:9" x14ac:dyDescent="0.25">
      <c r="A464"/>
      <c r="B464"/>
      <c r="C464"/>
      <c r="D464"/>
      <c r="E464"/>
      <c r="F464"/>
      <c r="G464"/>
      <c r="H464"/>
      <c r="I464"/>
    </row>
    <row r="465" spans="1:9" x14ac:dyDescent="0.25">
      <c r="A465"/>
      <c r="B465"/>
      <c r="C465"/>
      <c r="D465"/>
      <c r="E465"/>
      <c r="F465"/>
      <c r="G465"/>
      <c r="H465"/>
      <c r="I465"/>
    </row>
    <row r="466" spans="1:9" x14ac:dyDescent="0.25">
      <c r="A466"/>
      <c r="B466"/>
      <c r="C466"/>
      <c r="D466"/>
      <c r="E466"/>
      <c r="F466"/>
      <c r="G466"/>
      <c r="H466"/>
      <c r="I466"/>
    </row>
    <row r="467" spans="1:9" x14ac:dyDescent="0.25">
      <c r="A467"/>
      <c r="B467"/>
      <c r="C467"/>
      <c r="D467"/>
      <c r="E467"/>
      <c r="F467"/>
      <c r="G467"/>
      <c r="H467"/>
      <c r="I467"/>
    </row>
    <row r="468" spans="1:9" x14ac:dyDescent="0.25">
      <c r="A468"/>
      <c r="B468"/>
      <c r="C468"/>
      <c r="D468"/>
      <c r="E468"/>
      <c r="F468"/>
      <c r="G468"/>
      <c r="H468"/>
      <c r="I468"/>
    </row>
    <row r="469" spans="1:9" x14ac:dyDescent="0.25">
      <c r="A469"/>
      <c r="B469"/>
      <c r="C469"/>
      <c r="D469"/>
      <c r="E469"/>
      <c r="F469"/>
      <c r="G469"/>
      <c r="H469"/>
      <c r="I469"/>
    </row>
    <row r="470" spans="1:9" x14ac:dyDescent="0.25">
      <c r="A470"/>
      <c r="B470"/>
      <c r="C470"/>
      <c r="D470"/>
      <c r="E470"/>
      <c r="F470"/>
      <c r="G470"/>
      <c r="H470"/>
      <c r="I470"/>
    </row>
    <row r="471" spans="1:9" x14ac:dyDescent="0.25">
      <c r="A471"/>
      <c r="B471"/>
      <c r="C471"/>
      <c r="D471"/>
      <c r="E471"/>
      <c r="F471"/>
      <c r="G471"/>
      <c r="H471"/>
      <c r="I471"/>
    </row>
    <row r="472" spans="1:9" x14ac:dyDescent="0.25">
      <c r="A472"/>
      <c r="B472"/>
      <c r="C472"/>
      <c r="D472"/>
      <c r="E472"/>
      <c r="F472"/>
      <c r="G472"/>
      <c r="H472"/>
      <c r="I472"/>
    </row>
    <row r="473" spans="1:9" x14ac:dyDescent="0.25">
      <c r="A473"/>
      <c r="B473"/>
      <c r="C473"/>
      <c r="D473"/>
      <c r="E473"/>
      <c r="F473"/>
      <c r="G473"/>
      <c r="H473"/>
      <c r="I473"/>
    </row>
    <row r="474" spans="1:9" x14ac:dyDescent="0.25">
      <c r="A474"/>
      <c r="B474"/>
      <c r="C474"/>
      <c r="D474"/>
      <c r="E474"/>
      <c r="F474"/>
      <c r="G474"/>
      <c r="H474"/>
      <c r="I474"/>
    </row>
    <row r="475" spans="1:9" x14ac:dyDescent="0.25">
      <c r="A475"/>
      <c r="B475"/>
      <c r="C475"/>
      <c r="D475"/>
      <c r="E475"/>
      <c r="F475"/>
      <c r="G475"/>
      <c r="H475"/>
      <c r="I475"/>
    </row>
    <row r="476" spans="1:9" x14ac:dyDescent="0.25">
      <c r="A476"/>
      <c r="B476"/>
      <c r="C476"/>
      <c r="D476"/>
      <c r="E476"/>
      <c r="F476"/>
      <c r="G476"/>
      <c r="H476"/>
      <c r="I476"/>
    </row>
    <row r="477" spans="1:9" x14ac:dyDescent="0.25">
      <c r="A477"/>
      <c r="B477"/>
      <c r="C477"/>
      <c r="D477"/>
      <c r="E477"/>
      <c r="F477"/>
      <c r="G477"/>
      <c r="H477"/>
      <c r="I477"/>
    </row>
    <row r="478" spans="1:9" x14ac:dyDescent="0.25">
      <c r="A478"/>
      <c r="B478"/>
      <c r="C478"/>
      <c r="D478"/>
      <c r="E478"/>
      <c r="F478"/>
      <c r="G478"/>
      <c r="H478"/>
      <c r="I478"/>
    </row>
    <row r="479" spans="1:9" x14ac:dyDescent="0.25">
      <c r="A479"/>
      <c r="B479"/>
      <c r="C479"/>
      <c r="D479"/>
      <c r="E479"/>
      <c r="F479"/>
      <c r="G479"/>
      <c r="H479"/>
      <c r="I479"/>
    </row>
    <row r="480" spans="1:9" x14ac:dyDescent="0.25">
      <c r="A480"/>
      <c r="B480"/>
      <c r="C480"/>
      <c r="D480"/>
      <c r="E480"/>
      <c r="F480"/>
      <c r="G480"/>
      <c r="H480"/>
      <c r="I480"/>
    </row>
    <row r="481" spans="1:9" x14ac:dyDescent="0.25">
      <c r="A481"/>
      <c r="B481"/>
      <c r="C481"/>
      <c r="D481"/>
      <c r="E481"/>
      <c r="F481"/>
      <c r="G481"/>
      <c r="H481"/>
      <c r="I481"/>
    </row>
    <row r="482" spans="1:9" x14ac:dyDescent="0.25">
      <c r="A482"/>
      <c r="B482"/>
      <c r="C482"/>
      <c r="D482"/>
      <c r="E482"/>
      <c r="F482"/>
      <c r="G482"/>
      <c r="H482"/>
      <c r="I482"/>
    </row>
    <row r="483" spans="1:9" x14ac:dyDescent="0.25">
      <c r="A483"/>
      <c r="B483"/>
      <c r="C483"/>
      <c r="D483"/>
      <c r="E483"/>
      <c r="F483"/>
      <c r="G483"/>
      <c r="H483"/>
      <c r="I483"/>
    </row>
    <row r="484" spans="1:9" x14ac:dyDescent="0.25">
      <c r="A484"/>
      <c r="B484"/>
      <c r="C484"/>
      <c r="D484"/>
      <c r="E484"/>
      <c r="F484"/>
      <c r="G484"/>
      <c r="H484"/>
      <c r="I484"/>
    </row>
    <row r="485" spans="1:9" x14ac:dyDescent="0.25">
      <c r="A485"/>
      <c r="B485"/>
      <c r="C485"/>
      <c r="D485"/>
      <c r="E485"/>
      <c r="F485"/>
      <c r="G485"/>
      <c r="H485"/>
      <c r="I485"/>
    </row>
    <row r="486" spans="1:9" x14ac:dyDescent="0.25">
      <c r="A486"/>
      <c r="B486"/>
      <c r="C486"/>
      <c r="D486"/>
      <c r="E486"/>
      <c r="F486"/>
      <c r="G486"/>
      <c r="H486"/>
      <c r="I486"/>
    </row>
    <row r="487" spans="1:9" x14ac:dyDescent="0.25">
      <c r="A487"/>
      <c r="B487"/>
      <c r="C487"/>
      <c r="D487"/>
      <c r="E487"/>
      <c r="F487"/>
      <c r="G487"/>
      <c r="H487"/>
      <c r="I487"/>
    </row>
    <row r="488" spans="1:9" x14ac:dyDescent="0.25">
      <c r="A488"/>
      <c r="B488"/>
      <c r="C488"/>
      <c r="D488"/>
      <c r="E488"/>
      <c r="F488"/>
      <c r="G488"/>
      <c r="H488"/>
      <c r="I488"/>
    </row>
    <row r="489" spans="1:9" x14ac:dyDescent="0.25">
      <c r="A489"/>
      <c r="B489"/>
      <c r="C489"/>
      <c r="D489"/>
      <c r="E489"/>
      <c r="F489"/>
      <c r="G489"/>
      <c r="H489"/>
      <c r="I489"/>
    </row>
    <row r="490" spans="1:9" x14ac:dyDescent="0.25">
      <c r="A490"/>
      <c r="B490"/>
      <c r="C490"/>
      <c r="D490"/>
      <c r="E490"/>
      <c r="F490"/>
      <c r="G490"/>
      <c r="H490"/>
      <c r="I490"/>
    </row>
    <row r="491" spans="1:9" x14ac:dyDescent="0.25">
      <c r="A491"/>
      <c r="B491"/>
      <c r="C491"/>
      <c r="D491"/>
      <c r="E491"/>
      <c r="F491"/>
      <c r="G491"/>
      <c r="H491"/>
      <c r="I491"/>
    </row>
    <row r="492" spans="1:9" x14ac:dyDescent="0.25">
      <c r="A492"/>
      <c r="B492"/>
      <c r="C492"/>
      <c r="D492"/>
      <c r="E492"/>
      <c r="F492"/>
      <c r="G492"/>
      <c r="H492"/>
      <c r="I492"/>
    </row>
    <row r="493" spans="1:9" x14ac:dyDescent="0.25">
      <c r="A493"/>
      <c r="B493"/>
      <c r="C493"/>
      <c r="D493"/>
      <c r="E493"/>
      <c r="F493"/>
      <c r="G493"/>
      <c r="H493"/>
      <c r="I493"/>
    </row>
    <row r="494" spans="1:9" x14ac:dyDescent="0.25">
      <c r="A494"/>
      <c r="B494"/>
      <c r="C494"/>
      <c r="D494"/>
      <c r="E494"/>
      <c r="F494"/>
      <c r="G494"/>
      <c r="H494"/>
      <c r="I494"/>
    </row>
    <row r="495" spans="1:9" x14ac:dyDescent="0.25">
      <c r="A495"/>
      <c r="B495"/>
      <c r="C495"/>
      <c r="D495"/>
      <c r="E495"/>
      <c r="F495"/>
      <c r="G495"/>
      <c r="H495"/>
      <c r="I495"/>
    </row>
    <row r="496" spans="1:9" x14ac:dyDescent="0.25">
      <c r="A496"/>
      <c r="B496"/>
      <c r="C496"/>
      <c r="D496"/>
      <c r="E496"/>
      <c r="F496"/>
      <c r="G496"/>
      <c r="H496"/>
      <c r="I496"/>
    </row>
    <row r="497" spans="1:9" x14ac:dyDescent="0.25">
      <c r="A497"/>
      <c r="B497"/>
      <c r="C497"/>
      <c r="D497"/>
      <c r="E497"/>
      <c r="F497"/>
      <c r="G497"/>
      <c r="H497"/>
      <c r="I497"/>
    </row>
    <row r="498" spans="1:9" x14ac:dyDescent="0.25">
      <c r="A498"/>
      <c r="B498"/>
      <c r="C498"/>
      <c r="D498"/>
      <c r="E498"/>
      <c r="F498"/>
      <c r="G498"/>
      <c r="H498"/>
      <c r="I498"/>
    </row>
    <row r="499" spans="1:9" x14ac:dyDescent="0.25">
      <c r="A499"/>
      <c r="B499"/>
      <c r="C499"/>
      <c r="D499"/>
      <c r="E499"/>
      <c r="F499"/>
      <c r="G499"/>
      <c r="H499"/>
      <c r="I499"/>
    </row>
    <row r="500" spans="1:9" x14ac:dyDescent="0.25">
      <c r="A500"/>
      <c r="B500"/>
      <c r="C500"/>
      <c r="D500"/>
      <c r="E500"/>
      <c r="F500"/>
      <c r="G500"/>
      <c r="H500"/>
      <c r="I500"/>
    </row>
    <row r="501" spans="1:9" x14ac:dyDescent="0.25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G71" sqref="G71"/>
    </sheetView>
  </sheetViews>
  <sheetFormatPr defaultColWidth="9.140625" defaultRowHeight="15" x14ac:dyDescent="0.2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 x14ac:dyDescent="0.25">
      <c r="K1" s="511" t="s">
        <v>427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 x14ac:dyDescent="0.25">
      <c r="B2" s="237" t="s">
        <v>386</v>
      </c>
      <c r="C2" s="516" t="s">
        <v>387</v>
      </c>
      <c r="D2" s="516" t="s">
        <v>388</v>
      </c>
      <c r="E2" s="516" t="s">
        <v>389</v>
      </c>
      <c r="F2" s="517" t="s">
        <v>390</v>
      </c>
      <c r="G2" s="515" t="s">
        <v>391</v>
      </c>
      <c r="H2" s="40"/>
      <c r="I2" s="14" t="s">
        <v>392</v>
      </c>
      <c r="K2" s="718" t="s">
        <v>429</v>
      </c>
      <c r="L2" s="708">
        <f>BILANCIO!C58</f>
        <v>2680</v>
      </c>
      <c r="M2" s="712">
        <f>BILANCIO!D58</f>
        <v>3284.91</v>
      </c>
      <c r="N2" s="712">
        <f>BILANCIO!E58</f>
        <v>4271.79</v>
      </c>
      <c r="O2" s="712">
        <f>BILANCIO!F58</f>
        <v>4930</v>
      </c>
      <c r="P2" s="712">
        <f>BILANCIO!G58</f>
        <v>3232.9</v>
      </c>
      <c r="Q2" s="712">
        <f>BILANCIO!H58</f>
        <v>1100</v>
      </c>
      <c r="R2" s="712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 x14ac:dyDescent="0.25">
      <c r="B3" s="9" t="s">
        <v>394</v>
      </c>
      <c r="C3" s="69">
        <f>BILANCIO!$B$67+$C$66</f>
        <v>1300</v>
      </c>
      <c r="D3" s="14"/>
      <c r="E3" s="69">
        <f>SUM(E4:E7)-E8</f>
        <v>1298.0879999999997</v>
      </c>
      <c r="F3" s="542">
        <f>C3-E3-C66</f>
        <v>-198.08799999999974</v>
      </c>
      <c r="G3" s="14"/>
      <c r="I3" s="70">
        <f>ROUND(IF(F3+C66+IF(F6&gt;0,-F6,0)&lt;0,0,F3+C66+IF(F6&gt;0,-F6,0)),2)</f>
        <v>1.91</v>
      </c>
      <c r="K3" s="719" t="s">
        <v>431</v>
      </c>
      <c r="L3" s="709">
        <f>BILANCIO!C24</f>
        <v>0</v>
      </c>
      <c r="M3" s="713">
        <f>BILANCIO!D24</f>
        <v>3652</v>
      </c>
      <c r="N3" s="713">
        <f>BILANCIO!E24</f>
        <v>1910</v>
      </c>
      <c r="O3" s="713">
        <f>BILANCIO!F24</f>
        <v>220</v>
      </c>
      <c r="P3" s="713">
        <f>BILANCIO!G24</f>
        <v>442</v>
      </c>
      <c r="Q3" s="713">
        <f>BILANCIO!H24</f>
        <v>1030</v>
      </c>
      <c r="R3" s="713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 x14ac:dyDescent="0.25">
      <c r="B4" s="71" t="s">
        <v>396</v>
      </c>
      <c r="C4" s="69">
        <f>BILANCIO!CS53</f>
        <v>81.949999999999989</v>
      </c>
      <c r="D4" s="14"/>
      <c r="E4" s="72">
        <f>BILANCIO!CS53</f>
        <v>81.949999999999989</v>
      </c>
      <c r="F4" s="73">
        <f>C4-E4</f>
        <v>0</v>
      </c>
      <c r="G4" s="15"/>
      <c r="K4" s="720" t="s">
        <v>433</v>
      </c>
      <c r="L4" s="710">
        <f>BILANCIO!C59</f>
        <v>103.2</v>
      </c>
      <c r="M4" s="714">
        <f>BILANCIO!D59</f>
        <v>134.04</v>
      </c>
      <c r="N4" s="714">
        <f>BILANCIO!E59</f>
        <v>183.85</v>
      </c>
      <c r="O4" s="714">
        <f>BILANCIO!F59</f>
        <v>203.45</v>
      </c>
      <c r="P4" s="714">
        <f>BILANCIO!G59</f>
        <v>133.07</v>
      </c>
      <c r="Q4" s="714">
        <f>BILANCIO!H59</f>
        <v>44.47</v>
      </c>
      <c r="R4" s="714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7"/>
      <c r="AR4" s="1427"/>
      <c r="AS4" s="1427"/>
      <c r="AU4" s="28"/>
      <c r="AV4" s="28"/>
      <c r="AW4" s="28"/>
    </row>
    <row r="5" spans="2:49" x14ac:dyDescent="0.25">
      <c r="B5" s="71" t="s">
        <v>400</v>
      </c>
      <c r="C5" s="69">
        <f>BILANCIO!CS58</f>
        <v>0</v>
      </c>
      <c r="D5" s="69">
        <f>C5/4</f>
        <v>0</v>
      </c>
      <c r="E5" s="72">
        <f>BILANCIO!CS58+BILANCIO!CS59+BILANCIO!CS24</f>
        <v>0</v>
      </c>
      <c r="F5" s="74">
        <f>C5-E5</f>
        <v>0</v>
      </c>
      <c r="G5" s="75">
        <f>F5/4</f>
        <v>0</v>
      </c>
      <c r="K5" s="721" t="s">
        <v>397</v>
      </c>
      <c r="L5" s="711">
        <f t="shared" ref="L5:Q5" si="3">L2+L3+L4</f>
        <v>2783.2</v>
      </c>
      <c r="M5" s="715">
        <f t="shared" si="3"/>
        <v>7070.95</v>
      </c>
      <c r="N5" s="715">
        <f t="shared" si="3"/>
        <v>6365.64</v>
      </c>
      <c r="O5" s="715">
        <f t="shared" si="3"/>
        <v>5353.45</v>
      </c>
      <c r="P5" s="715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1077</v>
      </c>
      <c r="AU5" s="28"/>
      <c r="AV5" s="28"/>
      <c r="AW5" s="28"/>
    </row>
    <row r="6" spans="2:49" x14ac:dyDescent="0.25">
      <c r="B6" s="71" t="s">
        <v>403</v>
      </c>
      <c r="C6" s="69"/>
      <c r="D6" s="69">
        <f>C6/4</f>
        <v>0</v>
      </c>
      <c r="E6" s="72">
        <f>BILANCIO!CS60+BILANCIO!CS61</f>
        <v>0</v>
      </c>
      <c r="F6" s="74">
        <f>C6-E6</f>
        <v>0</v>
      </c>
      <c r="G6" s="75">
        <f>F6/4</f>
        <v>0</v>
      </c>
      <c r="K6" s="721" t="s">
        <v>435</v>
      </c>
      <c r="L6" s="711">
        <f t="shared" ref="L6:Q6" si="5">L5/12</f>
        <v>231.93333333333331</v>
      </c>
      <c r="M6" s="715">
        <f t="shared" si="5"/>
        <v>589.24583333333328</v>
      </c>
      <c r="N6" s="715">
        <f t="shared" si="5"/>
        <v>530.47</v>
      </c>
      <c r="O6" s="715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 x14ac:dyDescent="0.25">
      <c r="B7" s="71" t="s">
        <v>406</v>
      </c>
      <c r="C7" s="69">
        <f>(C3-C4-C5-C6+C66)</f>
        <v>1418.05</v>
      </c>
      <c r="D7" s="69">
        <f>C7/4</f>
        <v>354.51249999999999</v>
      </c>
      <c r="E7" s="72">
        <f>BILANCIO!CS56+BILANCIO!CS57</f>
        <v>1285.1079999999997</v>
      </c>
      <c r="F7" s="74">
        <f>C7-E7</f>
        <v>132.94200000000023</v>
      </c>
      <c r="G7" s="75">
        <f>F7/4</f>
        <v>33.235500000000059</v>
      </c>
      <c r="AQ7" s="40"/>
      <c r="AS7" s="76"/>
      <c r="AT7" s="76"/>
      <c r="AU7" s="28"/>
      <c r="AV7" s="28"/>
      <c r="AW7" s="28"/>
    </row>
    <row r="8" spans="2:49" x14ac:dyDescent="0.25">
      <c r="B8" s="77" t="s">
        <v>410</v>
      </c>
      <c r="C8" s="14"/>
      <c r="D8" s="14"/>
      <c r="E8" s="72">
        <f>BILANCIO!CS63</f>
        <v>68.97</v>
      </c>
      <c r="F8" s="75"/>
      <c r="G8" s="69"/>
      <c r="L8" s="1427" t="s">
        <v>437</v>
      </c>
      <c r="M8" s="1427"/>
      <c r="N8" s="1427"/>
      <c r="O8" s="1427"/>
      <c r="P8" s="1427"/>
      <c r="Q8" s="1427"/>
      <c r="AQ8" s="40"/>
      <c r="AU8" s="28"/>
      <c r="AV8" s="28"/>
      <c r="AW8" s="28"/>
    </row>
    <row r="9" spans="2:49" x14ac:dyDescent="0.25">
      <c r="C9" s="28"/>
      <c r="D9" s="21"/>
      <c r="E9" s="49" t="s">
        <v>413</v>
      </c>
      <c r="F9" s="73">
        <f>BILANCIO!CS71</f>
        <v>2653.7807181325579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 x14ac:dyDescent="0.25">
      <c r="E10" s="49" t="s">
        <v>416</v>
      </c>
      <c r="F10" s="80">
        <f>BILANCIO!CS71-Valutazioni!F7</f>
        <v>2520.8387181325579</v>
      </c>
      <c r="H10" s="934"/>
      <c r="AQ10" s="40"/>
      <c r="AS10" s="76"/>
      <c r="AT10" s="76"/>
      <c r="AU10" s="28"/>
      <c r="AV10" s="28"/>
      <c r="AW10" s="28"/>
    </row>
    <row r="11" spans="2:49" x14ac:dyDescent="0.25">
      <c r="AQ11" s="40"/>
      <c r="AU11" s="28"/>
      <c r="AV11" s="28"/>
      <c r="AW11" s="28"/>
    </row>
    <row r="12" spans="2:49" s="91" customFormat="1" ht="30.75" customHeight="1" x14ac:dyDescent="0.25">
      <c r="B12" s="807" t="s">
        <v>420</v>
      </c>
      <c r="C12" s="808" t="s">
        <v>421</v>
      </c>
      <c r="D12" s="469" t="s">
        <v>1094</v>
      </c>
      <c r="E12" s="1081" t="s">
        <v>809</v>
      </c>
      <c r="F12" s="91" t="s">
        <v>422</v>
      </c>
      <c r="AD12" s="801"/>
      <c r="AE12" s="801"/>
      <c r="AF12" s="801"/>
      <c r="AQ12" s="809"/>
      <c r="AU12" s="810"/>
      <c r="AV12" s="810"/>
      <c r="AW12" s="810"/>
    </row>
    <row r="13" spans="2:49" x14ac:dyDescent="0.25">
      <c r="B13" s="518" t="s">
        <v>423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424</v>
      </c>
      <c r="P13" s="80"/>
      <c r="AQ13" s="40"/>
      <c r="AU13" s="28"/>
      <c r="AV13" s="28"/>
      <c r="AW13" s="28"/>
    </row>
    <row r="14" spans="2:49" x14ac:dyDescent="0.25">
      <c r="B14" s="9" t="s">
        <v>425</v>
      </c>
      <c r="C14" s="524">
        <f>BILANCIO!Q22+BILANCIO!Q23</f>
        <v>142.69110070299482</v>
      </c>
      <c r="D14" s="525">
        <f>'ANALISI CONSUMI GAS ENERGIA'!I100</f>
        <v>139.17108886334967</v>
      </c>
      <c r="E14" s="1082">
        <f>D14-C14</f>
        <v>-3.5200118396451501</v>
      </c>
      <c r="P14" s="80"/>
      <c r="AQ14" s="40"/>
      <c r="AU14" s="28"/>
      <c r="AV14" s="28"/>
      <c r="AW14" s="28"/>
    </row>
    <row r="15" spans="2:49" x14ac:dyDescent="0.25">
      <c r="B15" s="9" t="s">
        <v>397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 x14ac:dyDescent="0.25">
      <c r="B16" s="519" t="s">
        <v>426</v>
      </c>
      <c r="C16" s="528"/>
      <c r="D16" s="531"/>
      <c r="E16" s="537"/>
      <c r="AQ16" s="40"/>
      <c r="AU16" s="28"/>
      <c r="AV16" s="28"/>
      <c r="AW16" s="28"/>
    </row>
    <row r="17" spans="2:49" x14ac:dyDescent="0.25">
      <c r="B17" s="49" t="s">
        <v>428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 x14ac:dyDescent="0.25">
      <c r="B18" s="49" t="s">
        <v>430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 x14ac:dyDescent="0.25">
      <c r="B19" s="49" t="s">
        <v>432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 x14ac:dyDescent="0.25">
      <c r="B20" s="49" t="s">
        <v>434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 x14ac:dyDescent="0.25">
      <c r="B21" s="49" t="s">
        <v>397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 x14ac:dyDescent="0.25">
      <c r="B22" s="519" t="s">
        <v>1095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 x14ac:dyDescent="0.25">
      <c r="B23" s="49" t="s">
        <v>1096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 x14ac:dyDescent="0.25">
      <c r="B24" s="49" t="s">
        <v>1097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 x14ac:dyDescent="0.25">
      <c r="B25" s="49" t="s">
        <v>1098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 x14ac:dyDescent="0.25">
      <c r="B26" s="49" t="s">
        <v>397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 x14ac:dyDescent="0.25">
      <c r="B27" s="519" t="s">
        <v>436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 x14ac:dyDescent="0.25">
      <c r="B28" s="49" t="s">
        <v>25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 x14ac:dyDescent="0.25">
      <c r="B29" s="49" t="s">
        <v>418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 x14ac:dyDescent="0.25">
      <c r="B30" s="49" t="s">
        <v>438</v>
      </c>
      <c r="C30" s="526">
        <f>BILANCIO!Q56</f>
        <v>1399.9665</v>
      </c>
      <c r="D30" s="527">
        <v>1350</v>
      </c>
      <c r="E30" s="538">
        <f>D30-C30</f>
        <v>-49.966499999999996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 x14ac:dyDescent="0.25">
      <c r="B31" s="49" t="s">
        <v>397</v>
      </c>
      <c r="C31" s="527">
        <f>SUM(C28:C30)</f>
        <v>1490.9898333333333</v>
      </c>
      <c r="D31" s="527">
        <f>SUM(D28:D30)</f>
        <v>1446.92</v>
      </c>
      <c r="E31" s="538">
        <f>D31-C31</f>
        <v>-44.069833333333236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 x14ac:dyDescent="0.25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 x14ac:dyDescent="0.25">
      <c r="B33" s="1083" t="s">
        <v>439</v>
      </c>
      <c r="C33" s="1084">
        <f>C15+C21+C31+C26</f>
        <v>3088.7676007029945</v>
      </c>
      <c r="D33" s="1084">
        <f>D15+D21+D31+D26</f>
        <v>2989.8410888633498</v>
      </c>
      <c r="E33" s="1085">
        <f>D33-C33</f>
        <v>-98.926511839644718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 x14ac:dyDescent="0.25">
      <c r="B34" s="49" t="s">
        <v>440</v>
      </c>
      <c r="C34" s="527">
        <f>BILANCIO!Q13</f>
        <v>2946.5833333333335</v>
      </c>
      <c r="D34" s="527">
        <f>BILANCIO!Q13</f>
        <v>2946.5833333333335</v>
      </c>
      <c r="E34" s="538">
        <f>D34-C34</f>
        <v>0</v>
      </c>
      <c r="J34" s="640"/>
      <c r="K34" s="640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 x14ac:dyDescent="0.25">
      <c r="B35" s="49" t="s">
        <v>1107</v>
      </c>
      <c r="C35" s="527">
        <f>BILANCIO!Q28+BILANCIO!Q63+BILANCIO!Q29+BILANCIO!Q29</f>
        <v>148.24416666666667</v>
      </c>
      <c r="D35" s="527">
        <f>(2430+590)/12</f>
        <v>251.66666666666666</v>
      </c>
      <c r="E35" s="538">
        <f>D35-C35</f>
        <v>103.42249999999999</v>
      </c>
      <c r="F35" s="9" t="s">
        <v>1106</v>
      </c>
      <c r="J35" s="640"/>
      <c r="K35" s="640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 x14ac:dyDescent="0.25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 x14ac:dyDescent="0.25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 x14ac:dyDescent="0.25">
      <c r="B38" s="516" t="s">
        <v>441</v>
      </c>
      <c r="C38" s="530">
        <f>C34+C35-C33</f>
        <v>6.0598992970058134</v>
      </c>
      <c r="D38" s="530">
        <f>D34+D35-D33</f>
        <v>208.4089111366502</v>
      </c>
      <c r="E38" s="539">
        <f>D38-C38</f>
        <v>202.34901183964439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 x14ac:dyDescent="0.25">
      <c r="B39" s="49" t="s">
        <v>443</v>
      </c>
      <c r="C39" s="37"/>
      <c r="D39" s="82"/>
      <c r="F39" s="520" t="s">
        <v>439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 x14ac:dyDescent="0.25">
      <c r="B40" s="49" t="s">
        <v>444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 x14ac:dyDescent="0.25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 x14ac:dyDescent="0.25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 x14ac:dyDescent="0.25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 x14ac:dyDescent="0.25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 x14ac:dyDescent="0.25">
      <c r="B45" s="282" t="s">
        <v>445</v>
      </c>
      <c r="C45" s="515">
        <f>SUM(C46:C50)</f>
        <v>405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 x14ac:dyDescent="0.25">
      <c r="B46" s="266" t="s">
        <v>347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 x14ac:dyDescent="0.25">
      <c r="B47" s="266" t="s">
        <v>1021</v>
      </c>
      <c r="C47" s="21">
        <f>150-70</f>
        <v>80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 x14ac:dyDescent="0.25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 x14ac:dyDescent="0.25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 x14ac:dyDescent="0.25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 x14ac:dyDescent="0.25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 x14ac:dyDescent="0.25">
      <c r="B52" s="282" t="s">
        <v>446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 x14ac:dyDescent="0.25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 x14ac:dyDescent="0.25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 x14ac:dyDescent="0.25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 x14ac:dyDescent="0.25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 x14ac:dyDescent="0.25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 x14ac:dyDescent="0.25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 x14ac:dyDescent="0.25">
      <c r="B59" s="266"/>
      <c r="F59" s="640"/>
      <c r="G59" s="640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 x14ac:dyDescent="0.25">
      <c r="B60" s="266"/>
      <c r="F60" s="640"/>
      <c r="G60" s="640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 x14ac:dyDescent="0.25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 x14ac:dyDescent="0.25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 x14ac:dyDescent="0.25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 x14ac:dyDescent="0.25">
      <c r="G64" s="734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 x14ac:dyDescent="0.25">
      <c r="B65" s="9" t="s">
        <v>447</v>
      </c>
      <c r="C65" s="522" t="s">
        <v>448</v>
      </c>
      <c r="D65" s="9" t="s">
        <v>378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 x14ac:dyDescent="0.25">
      <c r="B66" s="516" t="s">
        <v>439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 x14ac:dyDescent="0.25">
      <c r="B67" s="9" t="s">
        <v>1087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 x14ac:dyDescent="0.25">
      <c r="B68" s="9" t="s">
        <v>1092</v>
      </c>
      <c r="C68" s="525">
        <v>200</v>
      </c>
      <c r="D68" s="28"/>
      <c r="F68" s="805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 x14ac:dyDescent="0.25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 x14ac:dyDescent="0.25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 x14ac:dyDescent="0.25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 x14ac:dyDescent="0.25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 x14ac:dyDescent="0.25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 x14ac:dyDescent="0.25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 x14ac:dyDescent="0.25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 x14ac:dyDescent="0.25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 x14ac:dyDescent="0.25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 x14ac:dyDescent="0.25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 x14ac:dyDescent="0.25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 x14ac:dyDescent="0.25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 x14ac:dyDescent="0.25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 x14ac:dyDescent="0.25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 x14ac:dyDescent="0.25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 x14ac:dyDescent="0.25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 x14ac:dyDescent="0.25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 x14ac:dyDescent="0.25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 x14ac:dyDescent="0.25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 x14ac:dyDescent="0.25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 x14ac:dyDescent="0.25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 x14ac:dyDescent="0.25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 x14ac:dyDescent="0.25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 x14ac:dyDescent="0.25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 x14ac:dyDescent="0.25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 x14ac:dyDescent="0.25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 x14ac:dyDescent="0.25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 x14ac:dyDescent="0.25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 x14ac:dyDescent="0.25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 x14ac:dyDescent="0.25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 x14ac:dyDescent="0.25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 x14ac:dyDescent="0.25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 x14ac:dyDescent="0.25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 x14ac:dyDescent="0.25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 x14ac:dyDescent="0.25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 x14ac:dyDescent="0.25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 x14ac:dyDescent="0.25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 x14ac:dyDescent="0.25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 x14ac:dyDescent="0.25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 x14ac:dyDescent="0.25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 x14ac:dyDescent="0.25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 x14ac:dyDescent="0.25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 x14ac:dyDescent="0.25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 x14ac:dyDescent="0.25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 x14ac:dyDescent="0.25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 x14ac:dyDescent="0.25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 x14ac:dyDescent="0.25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 x14ac:dyDescent="0.25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 x14ac:dyDescent="0.25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 x14ac:dyDescent="0.25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 x14ac:dyDescent="0.25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 x14ac:dyDescent="0.25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 x14ac:dyDescent="0.25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 x14ac:dyDescent="0.25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 x14ac:dyDescent="0.25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 x14ac:dyDescent="0.25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 x14ac:dyDescent="0.25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 x14ac:dyDescent="0.25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 x14ac:dyDescent="0.25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 x14ac:dyDescent="0.25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 x14ac:dyDescent="0.25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 x14ac:dyDescent="0.25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 x14ac:dyDescent="0.25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 x14ac:dyDescent="0.25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 x14ac:dyDescent="0.25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 x14ac:dyDescent="0.25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 x14ac:dyDescent="0.25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 x14ac:dyDescent="0.25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 x14ac:dyDescent="0.25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 x14ac:dyDescent="0.25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 x14ac:dyDescent="0.25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 x14ac:dyDescent="0.25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 x14ac:dyDescent="0.25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 x14ac:dyDescent="0.25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 x14ac:dyDescent="0.25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 x14ac:dyDescent="0.25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 x14ac:dyDescent="0.25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 x14ac:dyDescent="0.25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 x14ac:dyDescent="0.25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 x14ac:dyDescent="0.25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 x14ac:dyDescent="0.25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 x14ac:dyDescent="0.25">
      <c r="AQ150" s="40"/>
      <c r="AU150" s="28"/>
      <c r="AV150" s="28"/>
      <c r="AW150" s="28"/>
    </row>
    <row r="151" spans="14:51" x14ac:dyDescent="0.25">
      <c r="AQ151" s="40"/>
      <c r="AU151" s="28"/>
      <c r="AV151" s="28"/>
      <c r="AW151" s="28"/>
    </row>
    <row r="152" spans="14:51" x14ac:dyDescent="0.25">
      <c r="AQ152" s="40"/>
      <c r="AU152" s="28"/>
      <c r="AV152" s="28"/>
      <c r="AW152" s="28"/>
    </row>
    <row r="153" spans="14:51" x14ac:dyDescent="0.25">
      <c r="AQ153" s="40"/>
      <c r="AU153" s="28"/>
      <c r="AV153" s="28"/>
      <c r="AW153" s="28"/>
    </row>
    <row r="154" spans="14:51" x14ac:dyDescent="0.25">
      <c r="AQ154" s="40"/>
      <c r="AS154" s="76"/>
      <c r="AT154" s="76"/>
      <c r="AU154" s="28"/>
      <c r="AV154" s="28"/>
      <c r="AW154" s="28"/>
    </row>
    <row r="155" spans="14:51" x14ac:dyDescent="0.25">
      <c r="AQ155" s="40"/>
      <c r="AS155" s="76"/>
      <c r="AT155" s="76"/>
      <c r="AU155" s="28"/>
      <c r="AV155" s="28"/>
      <c r="AW155" s="28"/>
    </row>
    <row r="156" spans="14:51" x14ac:dyDescent="0.25">
      <c r="AQ156" s="40"/>
      <c r="AU156" s="28"/>
      <c r="AV156" s="28"/>
      <c r="AW156" s="28"/>
      <c r="AY156" s="14"/>
    </row>
    <row r="157" spans="14:51" x14ac:dyDescent="0.25">
      <c r="AQ157" s="40"/>
      <c r="AU157" s="28"/>
      <c r="AV157" s="28"/>
      <c r="AW157" s="28"/>
    </row>
    <row r="158" spans="14:51" x14ac:dyDescent="0.25">
      <c r="AQ158" s="40"/>
      <c r="AS158" s="76"/>
      <c r="AT158" s="76"/>
      <c r="AU158" s="28"/>
      <c r="AV158" s="28"/>
      <c r="AW158" s="28"/>
    </row>
    <row r="159" spans="14:51" x14ac:dyDescent="0.25">
      <c r="AQ159" s="40"/>
      <c r="AU159" s="28"/>
      <c r="AV159" s="28"/>
      <c r="AW159" s="28"/>
    </row>
    <row r="160" spans="14:51" x14ac:dyDescent="0.25">
      <c r="AQ160" s="40"/>
      <c r="AU160" s="28"/>
      <c r="AV160" s="28"/>
      <c r="AW160" s="28"/>
    </row>
    <row r="161" spans="43:49" x14ac:dyDescent="0.25">
      <c r="AQ161" s="40"/>
      <c r="AU161" s="28"/>
      <c r="AV161" s="28"/>
      <c r="AW161" s="28"/>
    </row>
    <row r="162" spans="43:49" x14ac:dyDescent="0.25">
      <c r="AQ162" s="40"/>
      <c r="AU162" s="28"/>
      <c r="AV162" s="28"/>
      <c r="AW162" s="28"/>
    </row>
    <row r="163" spans="43:49" x14ac:dyDescent="0.25">
      <c r="AQ163" s="40"/>
      <c r="AU163" s="28"/>
      <c r="AV163" s="28"/>
      <c r="AW163" s="28"/>
    </row>
    <row r="164" spans="43:49" x14ac:dyDescent="0.25">
      <c r="AQ164" s="40"/>
      <c r="AS164" s="76"/>
      <c r="AT164" s="76"/>
      <c r="AU164" s="28"/>
      <c r="AV164" s="28"/>
      <c r="AW164" s="28"/>
    </row>
    <row r="165" spans="43:49" x14ac:dyDescent="0.25">
      <c r="AQ165" s="40"/>
      <c r="AU165" s="28"/>
      <c r="AV165" s="28"/>
      <c r="AW165" s="28"/>
    </row>
    <row r="166" spans="43:49" x14ac:dyDescent="0.25">
      <c r="AQ166" s="40"/>
      <c r="AS166" s="76"/>
      <c r="AT166" s="76"/>
      <c r="AU166" s="28"/>
      <c r="AV166" s="28"/>
      <c r="AW166" s="28"/>
    </row>
    <row r="167" spans="43:49" x14ac:dyDescent="0.25">
      <c r="AQ167" s="40"/>
      <c r="AS167" s="76"/>
      <c r="AT167" s="76"/>
      <c r="AU167" s="28"/>
      <c r="AV167" s="28"/>
      <c r="AW167" s="28"/>
    </row>
    <row r="168" spans="43:49" x14ac:dyDescent="0.25">
      <c r="AQ168" s="40"/>
      <c r="AU168" s="28"/>
      <c r="AV168" s="28"/>
      <c r="AW168" s="28"/>
    </row>
    <row r="169" spans="43:49" x14ac:dyDescent="0.25">
      <c r="AQ169" s="40"/>
      <c r="AU169" s="28"/>
      <c r="AV169" s="28"/>
      <c r="AW169" s="28"/>
    </row>
    <row r="170" spans="43:49" x14ac:dyDescent="0.25">
      <c r="AQ170" s="40"/>
      <c r="AU170" s="28"/>
      <c r="AV170" s="28"/>
      <c r="AW170" s="28"/>
    </row>
    <row r="171" spans="43:49" x14ac:dyDescent="0.25">
      <c r="AQ171" s="40"/>
      <c r="AU171" s="28"/>
      <c r="AV171" s="28"/>
      <c r="AW171" s="28"/>
    </row>
    <row r="172" spans="43:49" x14ac:dyDescent="0.25">
      <c r="AQ172" s="40"/>
      <c r="AS172" s="76"/>
      <c r="AT172" s="76"/>
      <c r="AU172" s="28"/>
      <c r="AV172" s="28"/>
      <c r="AW172" s="28"/>
    </row>
    <row r="173" spans="43:49" x14ac:dyDescent="0.25">
      <c r="AQ173" s="40"/>
      <c r="AU173" s="28"/>
      <c r="AV173" s="28"/>
      <c r="AW173" s="28"/>
    </row>
    <row r="174" spans="43:49" x14ac:dyDescent="0.25">
      <c r="AQ174" s="40"/>
      <c r="AU174" s="28"/>
      <c r="AV174" s="28"/>
      <c r="AW174" s="28"/>
    </row>
    <row r="175" spans="43:49" x14ac:dyDescent="0.25">
      <c r="AQ175" s="40"/>
      <c r="AU175" s="28"/>
      <c r="AV175" s="28"/>
      <c r="AW175" s="28"/>
    </row>
    <row r="176" spans="43:49" x14ac:dyDescent="0.25">
      <c r="AQ176" s="40"/>
      <c r="AU176" s="28"/>
      <c r="AV176" s="28"/>
      <c r="AW176" s="28"/>
    </row>
    <row r="177" spans="43:51" x14ac:dyDescent="0.25">
      <c r="AQ177" s="40"/>
      <c r="AU177" s="28"/>
      <c r="AV177" s="28"/>
      <c r="AW177" s="28"/>
    </row>
    <row r="178" spans="43:51" x14ac:dyDescent="0.25">
      <c r="AQ178" s="40"/>
      <c r="AU178" s="28"/>
      <c r="AV178" s="28"/>
      <c r="AW178" s="28"/>
    </row>
    <row r="179" spans="43:51" x14ac:dyDescent="0.25">
      <c r="AQ179" s="40"/>
      <c r="AU179" s="28"/>
      <c r="AV179" s="28"/>
      <c r="AW179" s="28"/>
    </row>
    <row r="180" spans="43:51" x14ac:dyDescent="0.25">
      <c r="AQ180" s="40"/>
      <c r="AU180" s="28"/>
      <c r="AV180" s="28"/>
      <c r="AW180" s="28"/>
    </row>
    <row r="181" spans="43:51" x14ac:dyDescent="0.25">
      <c r="AQ181" s="40"/>
      <c r="AS181" s="76"/>
      <c r="AT181" s="76"/>
      <c r="AU181" s="28"/>
      <c r="AV181" s="28"/>
      <c r="AW181" s="28"/>
    </row>
    <row r="182" spans="43:51" x14ac:dyDescent="0.25">
      <c r="AQ182" s="40"/>
      <c r="AU182" s="28"/>
      <c r="AV182" s="28"/>
      <c r="AW182" s="28"/>
    </row>
    <row r="183" spans="43:51" x14ac:dyDescent="0.25">
      <c r="AQ183" s="40"/>
      <c r="AU183" s="28"/>
      <c r="AV183" s="28"/>
      <c r="AW183" s="28"/>
    </row>
    <row r="184" spans="43:51" x14ac:dyDescent="0.25">
      <c r="AQ184" s="40"/>
      <c r="AU184" s="28"/>
      <c r="AV184" s="28"/>
      <c r="AW184" s="28"/>
    </row>
    <row r="185" spans="43:51" x14ac:dyDescent="0.25">
      <c r="AQ185" s="40"/>
      <c r="AU185" s="28"/>
      <c r="AV185" s="28"/>
      <c r="AW185" s="28"/>
      <c r="AY185" s="14"/>
    </row>
    <row r="186" spans="43:51" x14ac:dyDescent="0.25">
      <c r="AQ186" s="40"/>
      <c r="AS186" s="76"/>
      <c r="AT186" s="76"/>
      <c r="AU186" s="28"/>
      <c r="AV186" s="28"/>
      <c r="AW186" s="28"/>
    </row>
    <row r="187" spans="43:51" x14ac:dyDescent="0.25">
      <c r="AQ187" s="40"/>
      <c r="AU187" s="28"/>
      <c r="AV187" s="28"/>
      <c r="AW187" s="28"/>
    </row>
    <row r="188" spans="43:51" x14ac:dyDescent="0.25">
      <c r="AQ188" s="40"/>
      <c r="AU188" s="28"/>
      <c r="AV188" s="28"/>
      <c r="AW188" s="28"/>
    </row>
    <row r="189" spans="43:51" x14ac:dyDescent="0.25">
      <c r="AQ189" s="40"/>
      <c r="AS189" s="76"/>
      <c r="AT189" s="76"/>
      <c r="AU189" s="28"/>
      <c r="AV189" s="28"/>
      <c r="AW189" s="28"/>
    </row>
    <row r="190" spans="43:51" x14ac:dyDescent="0.25">
      <c r="AQ190" s="40"/>
      <c r="AU190" s="28"/>
      <c r="AV190" s="28"/>
      <c r="AW190" s="28"/>
    </row>
    <row r="191" spans="43:51" x14ac:dyDescent="0.25">
      <c r="AQ191" s="40"/>
      <c r="AS191" s="76"/>
      <c r="AT191" s="76"/>
      <c r="AU191" s="28"/>
      <c r="AV191" s="28"/>
      <c r="AW191" s="28"/>
    </row>
    <row r="192" spans="43:51" x14ac:dyDescent="0.25">
      <c r="AQ192" s="40"/>
      <c r="AU192" s="28"/>
      <c r="AV192" s="28"/>
      <c r="AW192" s="28"/>
    </row>
    <row r="193" spans="43:49" x14ac:dyDescent="0.25">
      <c r="AQ193" s="40"/>
      <c r="AU193" s="28"/>
      <c r="AV193" s="28"/>
      <c r="AW193" s="28"/>
    </row>
    <row r="194" spans="43:49" x14ac:dyDescent="0.25">
      <c r="AQ194" s="40"/>
      <c r="AU194" s="28"/>
      <c r="AV194" s="28"/>
      <c r="AW194" s="28"/>
    </row>
    <row r="195" spans="43:49" x14ac:dyDescent="0.25">
      <c r="AQ195" s="40"/>
      <c r="AS195" s="76"/>
      <c r="AT195" s="76"/>
      <c r="AU195" s="28"/>
      <c r="AV195" s="28"/>
      <c r="AW195" s="28"/>
    </row>
    <row r="196" spans="43:49" x14ac:dyDescent="0.25">
      <c r="AQ196" s="40"/>
      <c r="AS196" s="76"/>
      <c r="AT196" s="76"/>
      <c r="AU196" s="28"/>
      <c r="AV196" s="28"/>
      <c r="AW196" s="28"/>
    </row>
    <row r="197" spans="43:49" x14ac:dyDescent="0.25">
      <c r="AQ197" s="40"/>
      <c r="AU197" s="28"/>
      <c r="AV197" s="28"/>
      <c r="AW197" s="28"/>
    </row>
    <row r="198" spans="43:49" x14ac:dyDescent="0.25">
      <c r="AQ198" s="40"/>
      <c r="AU198" s="28"/>
      <c r="AV198" s="28"/>
      <c r="AW198" s="28"/>
    </row>
    <row r="199" spans="43:49" x14ac:dyDescent="0.25">
      <c r="AQ199" s="40"/>
      <c r="AU199" s="28"/>
      <c r="AV199" s="28"/>
      <c r="AW199" s="28"/>
    </row>
    <row r="200" spans="43:49" x14ac:dyDescent="0.25">
      <c r="AQ200" s="40"/>
      <c r="AU200" s="28"/>
      <c r="AV200" s="28"/>
      <c r="AW200" s="28"/>
    </row>
    <row r="201" spans="43:49" x14ac:dyDescent="0.25">
      <c r="AQ201" s="40"/>
      <c r="AS201" s="76"/>
      <c r="AT201" s="76"/>
      <c r="AU201" s="28"/>
      <c r="AV201" s="28"/>
      <c r="AW201" s="28"/>
    </row>
    <row r="202" spans="43:49" x14ac:dyDescent="0.25">
      <c r="AQ202" s="40"/>
      <c r="AU202" s="28"/>
      <c r="AV202" s="28"/>
      <c r="AW202" s="28"/>
    </row>
    <row r="203" spans="43:49" x14ac:dyDescent="0.25">
      <c r="AQ203" s="40"/>
      <c r="AU203" s="28"/>
      <c r="AV203" s="28"/>
      <c r="AW203" s="28"/>
    </row>
    <row r="204" spans="43:49" x14ac:dyDescent="0.25">
      <c r="AQ204" s="40"/>
      <c r="AU204" s="28"/>
      <c r="AV204" s="28"/>
      <c r="AW204" s="28"/>
    </row>
    <row r="205" spans="43:49" x14ac:dyDescent="0.25">
      <c r="AQ205" s="40"/>
      <c r="AS205" s="76"/>
      <c r="AT205" s="76"/>
      <c r="AU205" s="28"/>
      <c r="AV205" s="28"/>
      <c r="AW205" s="28"/>
    </row>
    <row r="206" spans="43:49" x14ac:dyDescent="0.25">
      <c r="AQ206" s="40"/>
      <c r="AU206" s="28"/>
      <c r="AV206" s="28"/>
      <c r="AW206" s="28"/>
    </row>
    <row r="207" spans="43:49" x14ac:dyDescent="0.25">
      <c r="AQ207" s="40"/>
      <c r="AU207" s="28"/>
      <c r="AV207" s="28"/>
      <c r="AW207" s="28"/>
    </row>
    <row r="208" spans="43:49" x14ac:dyDescent="0.25">
      <c r="AQ208" s="40"/>
      <c r="AU208" s="28"/>
      <c r="AV208" s="28"/>
      <c r="AW208" s="28"/>
    </row>
    <row r="209" spans="43:51" x14ac:dyDescent="0.25">
      <c r="AQ209" s="40"/>
      <c r="AU209" s="28"/>
      <c r="AV209" s="28"/>
      <c r="AW209" s="28"/>
    </row>
    <row r="210" spans="43:51" x14ac:dyDescent="0.25">
      <c r="AQ210" s="40"/>
      <c r="AS210" s="76"/>
      <c r="AT210" s="76"/>
      <c r="AU210" s="28"/>
      <c r="AV210" s="28"/>
      <c r="AW210" s="28"/>
    </row>
    <row r="211" spans="43:51" x14ac:dyDescent="0.25">
      <c r="AQ211" s="40"/>
      <c r="AU211" s="28"/>
      <c r="AV211" s="28"/>
      <c r="AW211" s="28"/>
    </row>
    <row r="212" spans="43:51" x14ac:dyDescent="0.25">
      <c r="AQ212" s="40"/>
      <c r="AU212" s="28"/>
      <c r="AV212" s="28"/>
      <c r="AW212" s="28"/>
    </row>
    <row r="213" spans="43:51" x14ac:dyDescent="0.25">
      <c r="AQ213" s="40"/>
      <c r="AU213" s="28"/>
      <c r="AV213" s="28"/>
      <c r="AW213" s="28"/>
    </row>
    <row r="214" spans="43:51" x14ac:dyDescent="0.25">
      <c r="AQ214" s="40"/>
      <c r="AU214" s="28"/>
      <c r="AV214" s="28"/>
      <c r="AW214" s="28"/>
    </row>
    <row r="215" spans="43:51" x14ac:dyDescent="0.25">
      <c r="AQ215" s="40"/>
      <c r="AU215" s="28"/>
      <c r="AV215" s="28"/>
      <c r="AW215" s="28"/>
    </row>
    <row r="216" spans="43:51" x14ac:dyDescent="0.25">
      <c r="AQ216" s="40"/>
      <c r="AU216" s="28"/>
      <c r="AV216" s="28"/>
      <c r="AW216" s="28"/>
      <c r="AY216" s="14"/>
    </row>
    <row r="217" spans="43:51" x14ac:dyDescent="0.25">
      <c r="AQ217" s="40"/>
      <c r="AS217" s="76"/>
      <c r="AT217" s="76"/>
      <c r="AU217" s="28"/>
      <c r="AV217" s="28"/>
      <c r="AW217" s="28"/>
    </row>
    <row r="218" spans="43:51" x14ac:dyDescent="0.25">
      <c r="AQ218" s="40"/>
      <c r="AS218" s="76"/>
      <c r="AT218" s="76"/>
      <c r="AU218" s="28"/>
      <c r="AV218" s="28"/>
      <c r="AW218" s="28"/>
    </row>
    <row r="219" spans="43:51" x14ac:dyDescent="0.25">
      <c r="AQ219" s="40"/>
      <c r="AS219" s="76"/>
      <c r="AT219" s="76"/>
      <c r="AU219" s="28"/>
      <c r="AV219" s="28"/>
      <c r="AW219" s="28"/>
    </row>
    <row r="220" spans="43:51" x14ac:dyDescent="0.25">
      <c r="AQ220" s="40"/>
      <c r="AS220" s="76"/>
      <c r="AT220" s="76"/>
      <c r="AU220" s="28"/>
      <c r="AV220" s="28"/>
      <c r="AW220" s="28"/>
    </row>
    <row r="221" spans="43:51" x14ac:dyDescent="0.25">
      <c r="AQ221" s="40"/>
      <c r="AU221" s="28"/>
      <c r="AV221" s="28"/>
      <c r="AW221" s="28"/>
    </row>
    <row r="222" spans="43:51" x14ac:dyDescent="0.25">
      <c r="AQ222" s="40"/>
      <c r="AU222" s="28"/>
      <c r="AV222" s="28"/>
      <c r="AW222" s="28"/>
    </row>
    <row r="223" spans="43:51" x14ac:dyDescent="0.25">
      <c r="AQ223" s="40"/>
      <c r="AU223" s="28"/>
      <c r="AV223" s="28"/>
      <c r="AW223" s="28"/>
    </row>
    <row r="224" spans="43:51" x14ac:dyDescent="0.25">
      <c r="AQ224" s="40"/>
      <c r="AS224" s="76"/>
      <c r="AT224" s="76"/>
      <c r="AU224" s="28"/>
      <c r="AV224" s="28"/>
      <c r="AW224" s="28"/>
    </row>
    <row r="225" spans="43:49" x14ac:dyDescent="0.25">
      <c r="AQ225" s="40"/>
      <c r="AU225" s="28"/>
      <c r="AV225" s="28"/>
      <c r="AW225" s="28"/>
    </row>
    <row r="226" spans="43:49" x14ac:dyDescent="0.25">
      <c r="AQ226" s="40"/>
      <c r="AU226" s="28"/>
      <c r="AV226" s="28"/>
      <c r="AW226" s="28"/>
    </row>
    <row r="227" spans="43:49" x14ac:dyDescent="0.25">
      <c r="AQ227" s="40"/>
      <c r="AU227" s="28"/>
      <c r="AV227" s="28"/>
      <c r="AW227" s="28"/>
    </row>
    <row r="228" spans="43:49" x14ac:dyDescent="0.25">
      <c r="AQ228" s="40"/>
      <c r="AU228" s="28"/>
      <c r="AV228" s="28"/>
      <c r="AW228" s="28"/>
    </row>
    <row r="229" spans="43:49" x14ac:dyDescent="0.25">
      <c r="AQ229" s="40"/>
      <c r="AU229" s="28"/>
      <c r="AV229" s="28"/>
      <c r="AW229" s="28"/>
    </row>
    <row r="230" spans="43:49" x14ac:dyDescent="0.25">
      <c r="AQ230" s="40"/>
      <c r="AU230" s="28"/>
      <c r="AV230" s="28"/>
      <c r="AW230" s="28"/>
    </row>
    <row r="231" spans="43:49" x14ac:dyDescent="0.25">
      <c r="AQ231" s="40"/>
      <c r="AS231" s="76"/>
      <c r="AT231" s="76"/>
      <c r="AU231" s="28"/>
      <c r="AV231" s="28"/>
      <c r="AW231" s="28"/>
    </row>
    <row r="232" spans="43:49" x14ac:dyDescent="0.25">
      <c r="AQ232" s="40"/>
      <c r="AS232" s="76"/>
      <c r="AT232" s="76"/>
      <c r="AU232" s="28"/>
      <c r="AV232" s="28"/>
      <c r="AW232" s="28"/>
    </row>
    <row r="233" spans="43:49" x14ac:dyDescent="0.25">
      <c r="AQ233" s="40"/>
      <c r="AU233" s="28"/>
      <c r="AV233" s="28"/>
      <c r="AW233" s="28"/>
    </row>
    <row r="234" spans="43:49" x14ac:dyDescent="0.25">
      <c r="AQ234" s="40"/>
      <c r="AU234" s="28"/>
      <c r="AV234" s="28"/>
      <c r="AW234" s="28"/>
    </row>
    <row r="235" spans="43:49" x14ac:dyDescent="0.25">
      <c r="AQ235" s="40"/>
      <c r="AU235" s="28"/>
      <c r="AV235" s="28"/>
      <c r="AW235" s="28"/>
    </row>
    <row r="236" spans="43:49" x14ac:dyDescent="0.25">
      <c r="AQ236" s="40"/>
      <c r="AU236" s="28"/>
      <c r="AV236" s="28"/>
      <c r="AW236" s="28"/>
    </row>
    <row r="237" spans="43:49" x14ac:dyDescent="0.25">
      <c r="AQ237" s="40"/>
      <c r="AU237" s="28"/>
      <c r="AV237" s="28"/>
      <c r="AW237" s="28"/>
    </row>
    <row r="238" spans="43:49" x14ac:dyDescent="0.25">
      <c r="AQ238" s="40"/>
      <c r="AS238" s="76"/>
      <c r="AT238" s="76"/>
      <c r="AU238" s="28"/>
      <c r="AV238" s="28"/>
      <c r="AW238" s="28"/>
    </row>
    <row r="239" spans="43:49" x14ac:dyDescent="0.25">
      <c r="AQ239" s="40"/>
      <c r="AS239" s="76"/>
      <c r="AT239" s="76"/>
      <c r="AU239" s="28"/>
      <c r="AV239" s="28"/>
      <c r="AW239" s="28"/>
    </row>
    <row r="240" spans="43:49" x14ac:dyDescent="0.25">
      <c r="AQ240" s="40"/>
      <c r="AU240" s="28"/>
      <c r="AV240" s="28"/>
      <c r="AW240" s="28"/>
    </row>
    <row r="241" spans="43:55" x14ac:dyDescent="0.25">
      <c r="AQ241" s="40"/>
      <c r="AU241" s="28"/>
      <c r="AV241" s="28"/>
      <c r="AW241" s="28"/>
    </row>
    <row r="242" spans="43:55" x14ac:dyDescent="0.25">
      <c r="AQ242" s="40"/>
      <c r="AU242" s="28"/>
      <c r="AV242" s="28"/>
      <c r="AW242" s="28"/>
    </row>
    <row r="243" spans="43:55" x14ac:dyDescent="0.2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 x14ac:dyDescent="0.25">
      <c r="AQ244" s="40"/>
      <c r="AS244" s="76"/>
      <c r="AT244" s="76"/>
      <c r="AU244" s="28"/>
      <c r="AV244" s="28"/>
      <c r="AW244" s="28"/>
    </row>
    <row r="245" spans="43:55" x14ac:dyDescent="0.25">
      <c r="AQ245" s="40"/>
      <c r="AU245" s="28"/>
      <c r="AV245" s="28"/>
      <c r="AW245" s="28"/>
    </row>
    <row r="246" spans="43:55" x14ac:dyDescent="0.25">
      <c r="AQ246" s="40"/>
      <c r="AU246" s="28"/>
      <c r="AV246" s="28"/>
      <c r="AW246" s="28"/>
    </row>
    <row r="247" spans="43:55" x14ac:dyDescent="0.25">
      <c r="AQ247" s="40"/>
      <c r="AU247" s="28"/>
      <c r="AV247" s="28"/>
      <c r="AW247" s="28"/>
    </row>
    <row r="248" spans="43:55" x14ac:dyDescent="0.25">
      <c r="AQ248" s="40"/>
      <c r="AU248" s="28"/>
      <c r="AV248" s="28"/>
      <c r="AW248" s="28"/>
    </row>
    <row r="249" spans="43:55" x14ac:dyDescent="0.25">
      <c r="AQ249" s="40"/>
      <c r="AU249" s="28"/>
      <c r="AV249" s="28"/>
      <c r="AW249" s="28"/>
    </row>
    <row r="250" spans="43:55" x14ac:dyDescent="0.25">
      <c r="AQ250" s="40"/>
      <c r="AS250" s="76"/>
      <c r="AT250" s="76"/>
      <c r="AU250" s="28"/>
      <c r="AV250" s="28"/>
      <c r="AW250" s="28"/>
    </row>
    <row r="251" spans="43:55" x14ac:dyDescent="0.25">
      <c r="AQ251" s="40"/>
      <c r="AU251" s="28"/>
      <c r="AV251" s="28"/>
      <c r="AW251" s="28"/>
    </row>
    <row r="252" spans="43:55" x14ac:dyDescent="0.25">
      <c r="AQ252" s="40"/>
      <c r="AU252" s="28"/>
      <c r="AV252" s="28"/>
      <c r="AW252" s="28"/>
    </row>
    <row r="253" spans="43:55" x14ac:dyDescent="0.25">
      <c r="AQ253" s="40"/>
      <c r="AU253" s="28"/>
      <c r="AV253" s="28"/>
      <c r="AW253" s="28"/>
    </row>
    <row r="254" spans="43:55" x14ac:dyDescent="0.25">
      <c r="AQ254" s="40"/>
      <c r="AU254" s="28"/>
      <c r="AV254" s="28"/>
      <c r="AW254" s="28"/>
    </row>
    <row r="255" spans="43:55" x14ac:dyDescent="0.25">
      <c r="AQ255" s="40"/>
      <c r="AU255" s="28"/>
      <c r="AV255" s="28"/>
      <c r="AW255" s="28"/>
    </row>
    <row r="256" spans="43:55" x14ac:dyDescent="0.25">
      <c r="AQ256" s="40"/>
      <c r="AU256" s="28"/>
      <c r="AV256" s="28"/>
      <c r="AW256" s="28"/>
    </row>
    <row r="257" spans="43:49" x14ac:dyDescent="0.25">
      <c r="AQ257" s="40"/>
      <c r="AU257" s="28"/>
      <c r="AV257" s="28"/>
      <c r="AW257" s="28"/>
    </row>
    <row r="258" spans="43:49" x14ac:dyDescent="0.25">
      <c r="AQ258" s="40"/>
      <c r="AU258" s="28"/>
      <c r="AV258" s="28"/>
      <c r="AW258" s="28"/>
    </row>
    <row r="259" spans="43:49" x14ac:dyDescent="0.25">
      <c r="AQ259" s="40"/>
      <c r="AU259" s="28"/>
      <c r="AV259" s="28"/>
      <c r="AW259" s="28"/>
    </row>
    <row r="260" spans="43:49" x14ac:dyDescent="0.25">
      <c r="AQ260" s="40"/>
      <c r="AU260" s="28"/>
      <c r="AV260" s="28"/>
      <c r="AW260" s="28"/>
    </row>
    <row r="261" spans="43:49" x14ac:dyDescent="0.25">
      <c r="AQ261" s="40"/>
      <c r="AU261" s="28"/>
      <c r="AV261" s="28"/>
      <c r="AW261" s="28"/>
    </row>
    <row r="262" spans="43:49" x14ac:dyDescent="0.25">
      <c r="AQ262" s="40"/>
      <c r="AU262" s="28"/>
      <c r="AV262" s="28"/>
      <c r="AW262" s="28"/>
    </row>
    <row r="263" spans="43:49" x14ac:dyDescent="0.25">
      <c r="AQ263" s="40"/>
      <c r="AU263" s="28"/>
      <c r="AV263" s="28"/>
      <c r="AW263" s="28"/>
    </row>
    <row r="264" spans="43:49" x14ac:dyDescent="0.25">
      <c r="AQ264" s="40"/>
      <c r="AU264" s="28"/>
      <c r="AV264" s="28"/>
      <c r="AW264" s="28"/>
    </row>
    <row r="265" spans="43:49" x14ac:dyDescent="0.25">
      <c r="AQ265" s="40"/>
      <c r="AU265" s="28"/>
      <c r="AV265" s="28"/>
      <c r="AW265" s="28"/>
    </row>
    <row r="266" spans="43:49" x14ac:dyDescent="0.25">
      <c r="AQ266" s="40"/>
      <c r="AU266" s="28"/>
      <c r="AV266" s="28"/>
      <c r="AW266" s="28"/>
    </row>
    <row r="267" spans="43:49" x14ac:dyDescent="0.25">
      <c r="AQ267" s="40"/>
      <c r="AS267" s="76"/>
      <c r="AT267" s="76"/>
      <c r="AU267" s="28"/>
      <c r="AV267" s="28"/>
      <c r="AW267" s="28"/>
    </row>
    <row r="268" spans="43:49" x14ac:dyDescent="0.25">
      <c r="AQ268" s="40"/>
      <c r="AU268" s="28"/>
      <c r="AV268" s="28"/>
      <c r="AW268" s="28"/>
    </row>
    <row r="269" spans="43:49" x14ac:dyDescent="0.25">
      <c r="AQ269" s="40"/>
      <c r="AU269" s="28"/>
      <c r="AV269" s="28"/>
      <c r="AW269" s="28"/>
    </row>
    <row r="270" spans="43:49" x14ac:dyDescent="0.25">
      <c r="AQ270" s="40"/>
      <c r="AU270" s="28"/>
      <c r="AV270" s="28"/>
      <c r="AW270" s="28"/>
    </row>
    <row r="271" spans="43:49" x14ac:dyDescent="0.25">
      <c r="AQ271" s="40"/>
      <c r="AU271" s="28"/>
      <c r="AV271" s="28"/>
      <c r="AW271" s="28"/>
    </row>
    <row r="272" spans="43:49" x14ac:dyDescent="0.25">
      <c r="AQ272" s="40"/>
      <c r="AS272" s="76"/>
      <c r="AT272" s="76"/>
      <c r="AU272" s="28"/>
      <c r="AV272" s="28"/>
      <c r="AW272" s="28"/>
    </row>
    <row r="273" spans="43:53" x14ac:dyDescent="0.25">
      <c r="AQ273" s="40"/>
      <c r="AU273" s="28"/>
      <c r="AV273" s="28"/>
      <c r="AW273" s="28"/>
    </row>
    <row r="274" spans="43:53" x14ac:dyDescent="0.25">
      <c r="AQ274" s="40"/>
      <c r="AU274" s="28"/>
      <c r="AV274" s="28"/>
      <c r="AW274" s="28"/>
    </row>
    <row r="275" spans="43:53" x14ac:dyDescent="0.25">
      <c r="AQ275" s="40"/>
      <c r="AU275" s="28"/>
      <c r="AV275" s="28"/>
      <c r="AW275" s="28"/>
      <c r="BA275" s="14"/>
    </row>
    <row r="276" spans="43:53" x14ac:dyDescent="0.25">
      <c r="AQ276" s="40"/>
      <c r="AU276" s="28"/>
      <c r="AV276" s="28"/>
      <c r="AW276" s="28"/>
    </row>
    <row r="277" spans="43:53" x14ac:dyDescent="0.25">
      <c r="AQ277" s="40"/>
      <c r="AU277" s="28"/>
      <c r="AV277" s="28"/>
      <c r="AW277" s="28"/>
    </row>
    <row r="278" spans="43:53" x14ac:dyDescent="0.25">
      <c r="AQ278" s="40"/>
      <c r="AU278" s="28"/>
      <c r="AV278" s="28"/>
      <c r="AW278" s="28"/>
    </row>
    <row r="279" spans="43:53" x14ac:dyDescent="0.25">
      <c r="AQ279" s="40"/>
      <c r="AU279" s="28"/>
      <c r="AV279" s="28"/>
      <c r="AW279" s="28"/>
    </row>
    <row r="280" spans="43:53" x14ac:dyDescent="0.25">
      <c r="AQ280" s="40"/>
      <c r="AU280" s="28"/>
      <c r="AV280" s="28"/>
      <c r="AW280" s="28"/>
    </row>
    <row r="281" spans="43:53" x14ac:dyDescent="0.25">
      <c r="AQ281" s="40"/>
      <c r="AS281" s="76"/>
      <c r="AT281" s="76"/>
      <c r="AU281" s="28"/>
      <c r="AV281" s="28"/>
      <c r="AW281" s="28"/>
    </row>
    <row r="282" spans="43:53" x14ac:dyDescent="0.25">
      <c r="AQ282" s="40"/>
      <c r="AU282" s="28"/>
      <c r="AV282" s="28"/>
      <c r="AW282" s="28"/>
    </row>
    <row r="283" spans="43:53" x14ac:dyDescent="0.25">
      <c r="AQ283" s="40"/>
      <c r="AU283" s="28"/>
      <c r="AV283" s="28"/>
      <c r="AW283" s="28"/>
    </row>
    <row r="284" spans="43:53" x14ac:dyDescent="0.25">
      <c r="AQ284" s="40"/>
      <c r="AS284" s="76"/>
      <c r="AT284" s="76"/>
      <c r="AU284" s="28"/>
      <c r="AV284" s="28"/>
      <c r="AW284" s="28"/>
    </row>
    <row r="285" spans="43:53" x14ac:dyDescent="0.25">
      <c r="AQ285" s="40"/>
      <c r="AU285" s="28"/>
      <c r="AV285" s="28"/>
      <c r="AW285" s="28"/>
    </row>
    <row r="286" spans="43:53" x14ac:dyDescent="0.25">
      <c r="AQ286" s="40"/>
      <c r="AU286" s="28"/>
      <c r="AV286" s="28"/>
      <c r="AW286" s="28"/>
    </row>
    <row r="287" spans="43:53" x14ac:dyDescent="0.25">
      <c r="AQ287" s="40"/>
      <c r="AU287" s="28"/>
      <c r="AV287" s="28"/>
      <c r="AW287" s="28"/>
    </row>
    <row r="288" spans="43:53" x14ac:dyDescent="0.25">
      <c r="AQ288" s="40"/>
      <c r="AS288" s="76"/>
      <c r="AT288" s="76"/>
      <c r="AU288" s="28"/>
      <c r="AV288" s="28"/>
      <c r="AW288" s="28"/>
    </row>
    <row r="289" spans="43:49" x14ac:dyDescent="0.25">
      <c r="AQ289" s="40"/>
      <c r="AU289" s="28"/>
      <c r="AV289" s="28"/>
      <c r="AW289" s="28"/>
    </row>
    <row r="290" spans="43:49" x14ac:dyDescent="0.25">
      <c r="AQ290" s="40"/>
      <c r="AU290" s="28"/>
      <c r="AV290" s="28"/>
      <c r="AW290" s="28"/>
    </row>
    <row r="291" spans="43:49" x14ac:dyDescent="0.25">
      <c r="AQ291" s="40"/>
      <c r="AS291" s="76"/>
      <c r="AT291" s="76"/>
      <c r="AU291" s="28"/>
      <c r="AV291" s="28"/>
      <c r="AW291" s="28"/>
    </row>
    <row r="292" spans="43:49" x14ac:dyDescent="0.25">
      <c r="AQ292" s="40"/>
      <c r="AU292" s="28"/>
      <c r="AV292" s="28"/>
      <c r="AW292" s="28"/>
    </row>
    <row r="293" spans="43:49" x14ac:dyDescent="0.25">
      <c r="AQ293" s="40"/>
      <c r="AU293" s="28"/>
      <c r="AV293" s="28"/>
      <c r="AW293" s="28"/>
    </row>
    <row r="294" spans="43:49" x14ac:dyDescent="0.25">
      <c r="AQ294" s="40"/>
      <c r="AU294" s="28"/>
      <c r="AV294" s="28"/>
      <c r="AW294" s="28"/>
    </row>
    <row r="295" spans="43:49" x14ac:dyDescent="0.25">
      <c r="AQ295" s="40"/>
      <c r="AU295" s="28"/>
      <c r="AV295" s="28"/>
      <c r="AW295" s="28"/>
    </row>
    <row r="296" spans="43:49" x14ac:dyDescent="0.25">
      <c r="AQ296" s="40"/>
      <c r="AU296" s="28"/>
      <c r="AV296" s="28"/>
      <c r="AW296" s="28"/>
    </row>
    <row r="297" spans="43:49" x14ac:dyDescent="0.25">
      <c r="AQ297" s="40"/>
      <c r="AU297" s="28"/>
      <c r="AV297" s="28"/>
      <c r="AW297" s="28"/>
    </row>
    <row r="298" spans="43:49" x14ac:dyDescent="0.25">
      <c r="AQ298" s="40"/>
      <c r="AU298" s="28"/>
      <c r="AV298" s="28"/>
      <c r="AW298" s="28"/>
    </row>
    <row r="299" spans="43:49" x14ac:dyDescent="0.25">
      <c r="AQ299" s="40"/>
      <c r="AU299" s="28"/>
      <c r="AV299" s="28"/>
      <c r="AW299" s="28"/>
    </row>
    <row r="300" spans="43:49" x14ac:dyDescent="0.25">
      <c r="AQ300" s="40"/>
      <c r="AU300" s="28"/>
      <c r="AV300" s="28"/>
      <c r="AW300" s="28"/>
    </row>
    <row r="301" spans="43:49" x14ac:dyDescent="0.25">
      <c r="AQ301" s="40"/>
      <c r="AS301" s="76"/>
      <c r="AT301" s="76"/>
      <c r="AU301" s="28"/>
      <c r="AV301" s="28"/>
      <c r="AW301" s="28"/>
    </row>
    <row r="302" spans="43:49" x14ac:dyDescent="0.25">
      <c r="AQ302" s="40"/>
      <c r="AU302" s="28"/>
      <c r="AV302" s="28"/>
      <c r="AW302" s="28"/>
    </row>
    <row r="303" spans="43:49" x14ac:dyDescent="0.25">
      <c r="AQ303" s="40"/>
      <c r="AU303" s="28"/>
      <c r="AV303" s="28"/>
      <c r="AW303" s="28"/>
    </row>
    <row r="304" spans="43:49" x14ac:dyDescent="0.25">
      <c r="AQ304" s="40"/>
      <c r="AU304" s="28"/>
      <c r="AV304" s="28"/>
      <c r="AW304" s="28"/>
    </row>
    <row r="305" spans="43:53" x14ac:dyDescent="0.25">
      <c r="AQ305" s="40"/>
      <c r="AU305" s="28"/>
      <c r="AV305" s="28"/>
      <c r="AW305" s="28"/>
      <c r="BA305" s="14"/>
    </row>
    <row r="306" spans="43:53" x14ac:dyDescent="0.25">
      <c r="AQ306" s="40"/>
      <c r="AU306" s="28"/>
      <c r="AV306" s="28"/>
      <c r="AW306" s="28"/>
    </row>
    <row r="307" spans="43:53" x14ac:dyDescent="0.25">
      <c r="AQ307" s="40"/>
      <c r="AU307" s="28"/>
      <c r="AV307" s="28"/>
      <c r="AW307" s="28"/>
    </row>
    <row r="308" spans="43:53" x14ac:dyDescent="0.25">
      <c r="AQ308" s="40"/>
      <c r="AU308" s="28"/>
      <c r="AV308" s="28"/>
      <c r="AW308" s="28"/>
    </row>
    <row r="309" spans="43:53" x14ac:dyDescent="0.25">
      <c r="AQ309" s="40"/>
      <c r="AS309" s="76"/>
      <c r="AT309" s="76"/>
      <c r="AU309" s="28"/>
      <c r="AV309" s="28"/>
      <c r="AW309" s="28"/>
    </row>
    <row r="310" spans="43:53" x14ac:dyDescent="0.25">
      <c r="AQ310" s="40"/>
      <c r="AU310" s="28"/>
      <c r="AV310" s="28"/>
      <c r="AW310" s="28"/>
    </row>
    <row r="311" spans="43:53" x14ac:dyDescent="0.25">
      <c r="AQ311" s="40"/>
      <c r="AU311" s="28"/>
      <c r="AV311" s="28"/>
      <c r="AW311" s="28"/>
    </row>
    <row r="312" spans="43:53" x14ac:dyDescent="0.25">
      <c r="AQ312" s="40"/>
      <c r="AU312" s="28"/>
      <c r="AV312" s="28"/>
      <c r="AW312" s="28"/>
    </row>
    <row r="313" spans="43:53" x14ac:dyDescent="0.25">
      <c r="AQ313" s="40"/>
      <c r="AS313" s="76"/>
      <c r="AT313" s="76"/>
      <c r="AU313" s="28"/>
      <c r="AV313" s="28"/>
      <c r="AW313" s="28"/>
    </row>
    <row r="314" spans="43:53" x14ac:dyDescent="0.25">
      <c r="AQ314" s="40"/>
      <c r="AU314" s="28"/>
      <c r="AV314" s="28"/>
      <c r="AW314" s="28"/>
    </row>
    <row r="315" spans="43:53" x14ac:dyDescent="0.25">
      <c r="AQ315" s="40"/>
      <c r="AU315" s="28"/>
      <c r="AV315" s="28"/>
      <c r="AW315" s="28"/>
    </row>
    <row r="316" spans="43:53" x14ac:dyDescent="0.25">
      <c r="AQ316" s="40"/>
      <c r="AU316" s="28"/>
      <c r="AV316" s="28"/>
      <c r="AW316" s="28"/>
    </row>
    <row r="317" spans="43:53" x14ac:dyDescent="0.25">
      <c r="AQ317" s="40"/>
      <c r="AU317" s="28"/>
      <c r="AV317" s="28"/>
      <c r="AW317" s="28"/>
    </row>
    <row r="318" spans="43:53" x14ac:dyDescent="0.25">
      <c r="AQ318" s="40"/>
      <c r="AU318" s="28"/>
      <c r="AV318" s="28"/>
      <c r="AW318" s="28"/>
    </row>
    <row r="319" spans="43:53" x14ac:dyDescent="0.25">
      <c r="AQ319" s="40"/>
      <c r="AU319" s="28"/>
      <c r="AV319" s="28"/>
      <c r="AW319" s="28"/>
    </row>
    <row r="320" spans="43:53" x14ac:dyDescent="0.25">
      <c r="AQ320" s="40"/>
      <c r="AS320" s="76"/>
      <c r="AT320" s="76"/>
      <c r="AU320" s="28"/>
      <c r="AV320" s="28"/>
      <c r="AW320" s="28"/>
    </row>
    <row r="321" spans="2:414" x14ac:dyDescent="0.25">
      <c r="AQ321" s="40"/>
      <c r="AU321" s="28"/>
      <c r="AV321" s="28"/>
      <c r="AW321" s="28"/>
    </row>
    <row r="322" spans="2:414" x14ac:dyDescent="0.25">
      <c r="AQ322" s="40"/>
      <c r="AU322" s="28"/>
      <c r="AV322" s="28"/>
      <c r="AW322" s="28"/>
    </row>
    <row r="323" spans="2:414" x14ac:dyDescent="0.25">
      <c r="AQ323" s="40"/>
      <c r="AS323" s="76"/>
      <c r="AT323" s="76"/>
      <c r="AU323" s="28"/>
      <c r="AV323" s="28"/>
      <c r="AW323" s="28"/>
    </row>
    <row r="324" spans="2:414" x14ac:dyDescent="0.25">
      <c r="AQ324" s="40"/>
      <c r="AS324" s="76"/>
      <c r="AT324" s="76"/>
      <c r="AU324" s="28"/>
      <c r="AV324" s="28"/>
      <c r="AW324" s="28"/>
    </row>
    <row r="325" spans="2:414" x14ac:dyDescent="0.25">
      <c r="AQ325" s="40"/>
      <c r="AS325" s="76"/>
      <c r="AT325" s="76"/>
      <c r="AU325" s="28"/>
      <c r="AV325" s="28"/>
      <c r="AW325" s="28"/>
    </row>
    <row r="326" spans="2:414" x14ac:dyDescent="0.25">
      <c r="AQ326" s="40"/>
      <c r="AS326" s="76"/>
      <c r="AT326" s="76"/>
      <c r="AU326" s="28"/>
      <c r="AV326" s="28"/>
      <c r="AW326" s="28"/>
    </row>
    <row r="327" spans="2:414" x14ac:dyDescent="0.25">
      <c r="AQ327" s="40"/>
      <c r="AS327" s="76"/>
      <c r="AT327" s="76"/>
      <c r="AU327" s="28"/>
      <c r="AV327" s="28"/>
      <c r="AW327" s="28"/>
    </row>
    <row r="328" spans="2:414" x14ac:dyDescent="0.25">
      <c r="AQ328" s="40"/>
      <c r="AS328" s="76"/>
      <c r="AT328" s="76"/>
      <c r="AU328" s="28"/>
      <c r="AV328" s="28"/>
      <c r="AW328" s="28"/>
    </row>
    <row r="329" spans="2:414" x14ac:dyDescent="0.25">
      <c r="AQ329" s="40"/>
      <c r="AS329" s="76"/>
      <c r="AT329" s="76"/>
      <c r="AU329" s="28"/>
      <c r="AV329" s="28"/>
      <c r="AW329" s="28"/>
    </row>
    <row r="330" spans="2:414" x14ac:dyDescent="0.25">
      <c r="AQ330" s="40"/>
      <c r="AS330" s="76"/>
      <c r="AT330" s="76"/>
      <c r="AU330" s="28"/>
      <c r="AV330" s="28"/>
      <c r="AW330" s="28"/>
    </row>
    <row r="331" spans="2:414" x14ac:dyDescent="0.25">
      <c r="AQ331" s="40"/>
      <c r="AS331" s="76"/>
      <c r="AT331" s="76"/>
      <c r="AU331" s="28"/>
      <c r="AV331" s="28"/>
      <c r="AW331" s="28"/>
    </row>
    <row r="332" spans="2:414" x14ac:dyDescent="0.25">
      <c r="AQ332" s="40"/>
      <c r="AU332" s="28"/>
      <c r="AV332" s="28"/>
      <c r="AW332" s="28"/>
    </row>
    <row r="333" spans="2:414" x14ac:dyDescent="0.25">
      <c r="AQ333" s="40"/>
      <c r="AU333" s="28"/>
      <c r="AV333" s="28"/>
      <c r="AW333" s="28"/>
    </row>
    <row r="334" spans="2:414" x14ac:dyDescent="0.25">
      <c r="AQ334" s="40"/>
      <c r="AU334" s="28"/>
      <c r="AV334" s="28"/>
      <c r="AW334" s="28"/>
    </row>
    <row r="335" spans="2:414" s="898" customFormat="1" x14ac:dyDescent="0.25">
      <c r="B335" s="897">
        <f>IF(BILANCIO!S$64=0,"",BILANCIO!S$9)</f>
        <v>43739</v>
      </c>
      <c r="C335" s="897">
        <f>IF(BILANCIO!T$64=0,"",BILANCIO!T$9)</f>
        <v>43770</v>
      </c>
      <c r="D335" s="897">
        <f>IF(BILANCIO!U$64=0,"",BILANCIO!U$9)</f>
        <v>43800</v>
      </c>
      <c r="E335" s="897">
        <f>IF(BILANCIO!V$64=0,"",BILANCIO!V$9)</f>
        <v>43831</v>
      </c>
      <c r="F335" s="897">
        <f>IF(BILANCIO!W$64=0,"",BILANCIO!W$9)</f>
        <v>43862</v>
      </c>
      <c r="G335" s="897">
        <f>IF(BILANCIO!X$64=0,"",BILANCIO!X$9)</f>
        <v>43891</v>
      </c>
      <c r="H335" s="897">
        <f>IF(BILANCIO!Y$64=0,"",BILANCIO!Y$9)</f>
        <v>43922</v>
      </c>
      <c r="I335" s="897">
        <f>IF(BILANCIO!Z$64=0,"",BILANCIO!Z$9)</f>
        <v>43952</v>
      </c>
      <c r="J335" s="897">
        <f>IF(BILANCIO!AA$64=0,"",BILANCIO!AA$9)</f>
        <v>43983</v>
      </c>
      <c r="K335" s="897">
        <f>IF(BILANCIO!AB$64=0,"",BILANCIO!AB$9)</f>
        <v>44013</v>
      </c>
      <c r="L335" s="897">
        <f>IF(BILANCIO!AC$64=0,"",BILANCIO!AC$9)</f>
        <v>44044</v>
      </c>
      <c r="M335" s="897">
        <f>IF(BILANCIO!AD$64=0,"",BILANCIO!AD$9)</f>
        <v>44075</v>
      </c>
      <c r="N335" s="897">
        <f>IF(BILANCIO!AE$64=0,"",BILANCIO!AE$9)</f>
        <v>44105</v>
      </c>
      <c r="O335" s="897">
        <f>IF(BILANCIO!AF$64=0,"",BILANCIO!AF$9)</f>
        <v>44136</v>
      </c>
      <c r="P335" s="897">
        <f>IF(BILANCIO!AG$64=0,"",BILANCIO!AG$9)</f>
        <v>44166</v>
      </c>
      <c r="Q335" s="897">
        <f>IF(BILANCIO!AH$64=0,"",BILANCIO!AH$9)</f>
        <v>44197</v>
      </c>
      <c r="R335" s="897">
        <f>IF(BILANCIO!AI$64=0,"",BILANCIO!AI$9)</f>
        <v>44228</v>
      </c>
      <c r="S335" s="897">
        <f>IF(BILANCIO!AJ$64=0,"",BILANCIO!AJ$9)</f>
        <v>44256</v>
      </c>
      <c r="T335" s="897">
        <f>IF(BILANCIO!AK$64=0,"",BILANCIO!AK$9)</f>
        <v>44287</v>
      </c>
      <c r="U335" s="897">
        <f>IF(BILANCIO!AL$64=0,"",BILANCIO!AL$9)</f>
        <v>44317</v>
      </c>
      <c r="V335" s="897">
        <f>IF(BILANCIO!AM$64=0,"",BILANCIO!AM$9)</f>
        <v>44348</v>
      </c>
      <c r="W335" s="897">
        <f>IF(BILANCIO!AN$64=0,"",BILANCIO!AN$9)</f>
        <v>44378</v>
      </c>
      <c r="X335" s="897"/>
      <c r="Y335" s="897">
        <f>IF(BILANCIO!AO$64=0,"",BILANCIO!AO$9)</f>
        <v>44409</v>
      </c>
      <c r="Z335" s="897">
        <f>IF(BILANCIO!AP$64=0,"",BILANCIO!AP$9)</f>
        <v>44440</v>
      </c>
      <c r="AA335" s="897">
        <f>IF(BILANCIO!AQ$64=0,"",BILANCIO!AQ$9)</f>
        <v>44470</v>
      </c>
      <c r="AB335" s="897">
        <f>IF(BILANCIO!AR$64=0,"",BILANCIO!AR$9)</f>
        <v>44501</v>
      </c>
      <c r="AC335" s="897">
        <f>IF(BILANCIO!AS$64=0,"",BILANCIO!AS$9)</f>
        <v>44531</v>
      </c>
      <c r="AD335" s="897">
        <f>IF(BILANCIO!AT$64=0,"",BILANCIO!AT$9)</f>
        <v>44562</v>
      </c>
      <c r="AE335" s="897">
        <f>IF(BILANCIO!AU$64=0,"",BILANCIO!AU$9)</f>
        <v>44593</v>
      </c>
      <c r="AF335" s="897">
        <f>IF(BILANCIO!AV$64=0,"",BILANCIO!AV$9)</f>
        <v>44621</v>
      </c>
      <c r="AG335" s="897">
        <f>IF(BILANCIO!AW$64=0,"",BILANCIO!AW$9)</f>
        <v>44652</v>
      </c>
      <c r="AH335" s="897">
        <f>IF(BILANCIO!AX$64=0,"",BILANCIO!AX$9)</f>
        <v>44682</v>
      </c>
      <c r="AI335" s="897">
        <f>IF(BILANCIO!AY$64=0,"",BILANCIO!AY$9)</f>
        <v>44713</v>
      </c>
      <c r="AJ335" s="897">
        <f>IF(BILANCIO!AZ$64=0,"",BILANCIO!AZ$9)</f>
        <v>44743</v>
      </c>
      <c r="AK335" s="897">
        <f>IF(BILANCIO!BA$64=0,"",BILANCIO!BA$9)</f>
        <v>44774</v>
      </c>
      <c r="AL335" s="897">
        <f>IF(BILANCIO!BB$64=0,"",BILANCIO!BB$9)</f>
        <v>44805</v>
      </c>
      <c r="AM335" s="897">
        <f>IF(BILANCIO!BC$64=0,"",BILANCIO!BC$9)</f>
        <v>44835</v>
      </c>
      <c r="AN335" s="897">
        <f>IF(BILANCIO!BD$64=0,"",BILANCIO!BD$9)</f>
        <v>44866</v>
      </c>
      <c r="AO335" s="897">
        <f>IF(BILANCIO!BE$64=0,"",BILANCIO!BE$9)</f>
        <v>44896</v>
      </c>
      <c r="AP335" s="897">
        <f>IF(BILANCIO!BF$64=0,"",BILANCIO!BF$9)</f>
        <v>44927</v>
      </c>
      <c r="AQ335" s="897">
        <f>IF(BILANCIO!BG$64=0,"",BILANCIO!BG$9)</f>
        <v>44958</v>
      </c>
      <c r="AR335" s="897">
        <f>IF(BILANCIO!BH$64=0,"",BILANCIO!BH$9)</f>
        <v>44986</v>
      </c>
      <c r="AS335" s="897">
        <f>IF(BILANCIO!BI$64=0,"",BILANCIO!BI$9)</f>
        <v>45017</v>
      </c>
      <c r="AT335" s="897">
        <f>IF(BILANCIO!BJ$64=0,"",BILANCIO!BJ$9)</f>
        <v>45047</v>
      </c>
      <c r="AU335" s="897">
        <f>IF(BILANCIO!BK$64=0,"",BILANCIO!BK$9)</f>
        <v>45078</v>
      </c>
      <c r="AV335" s="897">
        <f>IF(BILANCIO!BL$64=0,"",BILANCIO!BL$9)</f>
        <v>45108</v>
      </c>
      <c r="AW335" s="897">
        <f>IF(BILANCIO!BM$64=0,"",BILANCIO!BM$9)</f>
        <v>45139</v>
      </c>
      <c r="AX335" s="897">
        <f>IF(BILANCIO!BN$64=0,"",BILANCIO!BN$9)</f>
        <v>45170</v>
      </c>
      <c r="AY335" s="897">
        <f>IF(BILANCIO!BO$64=0,"",BILANCIO!BO$9)</f>
        <v>45200</v>
      </c>
      <c r="AZ335" s="897">
        <f>IF(BILANCIO!BP$64=0,"",BILANCIO!BP$9)</f>
        <v>45231</v>
      </c>
      <c r="BA335" s="897">
        <f>IF(BILANCIO!BQ$64=0,"",BILANCIO!BQ$9)</f>
        <v>45261</v>
      </c>
      <c r="BB335" s="897">
        <f>IF(BILANCIO!BR$64=0,"",BILANCIO!BR$9)</f>
        <v>45292</v>
      </c>
      <c r="BC335" s="897">
        <f>IF(BILANCIO!BS$64=0,"",BILANCIO!BS$9)</f>
        <v>45323</v>
      </c>
      <c r="BD335" s="897">
        <f>IF(BILANCIO!BT$64=0,"",BILANCIO!BT$9)</f>
        <v>45352</v>
      </c>
      <c r="BE335" s="897">
        <f>IF(BILANCIO!BU$64=0,"",BILANCIO!BU$9)</f>
        <v>45383</v>
      </c>
      <c r="BF335" s="897">
        <f>IF(BILANCIO!BV$64=0,"",BILANCIO!BV$9)</f>
        <v>45413</v>
      </c>
      <c r="BG335" s="897">
        <f>IF(BILANCIO!BW$64=0,"",BILANCIO!BW$9)</f>
        <v>45444</v>
      </c>
      <c r="BH335" s="897">
        <f>IF(BILANCIO!BX$64=0,"",BILANCIO!BX$9)</f>
        <v>45474</v>
      </c>
      <c r="BI335" s="897">
        <f>IF(BILANCIO!BY$64=0,"",BILANCIO!BY$9)</f>
        <v>45505</v>
      </c>
      <c r="BJ335" s="897">
        <f>IF(BILANCIO!BZ$64=0,"",BILANCIO!BZ$9)</f>
        <v>45536</v>
      </c>
      <c r="BK335" s="897">
        <f>IF(BILANCIO!CA$64=0,"",BILANCIO!CA$9)</f>
        <v>45566</v>
      </c>
      <c r="BL335" s="897">
        <f>IF(BILANCIO!CB$64=0,"",BILANCIO!CB$9)</f>
        <v>45597</v>
      </c>
      <c r="BM335" s="897">
        <f>IF(BILANCIO!CC$64=0,"",BILANCIO!CC$9)</f>
        <v>45627</v>
      </c>
      <c r="BN335" s="897">
        <f>IF(BILANCIO!CD$64=0,"",BILANCIO!CD$9)</f>
        <v>45658</v>
      </c>
      <c r="BO335" s="897">
        <f>IF(BILANCIO!CE$64=0,"",BILANCIO!CE$9)</f>
        <v>45689</v>
      </c>
      <c r="BP335" s="897">
        <f>IF(BILANCIO!CF$64=0,"",BILANCIO!CF$9)</f>
        <v>45717</v>
      </c>
      <c r="BQ335" s="897">
        <f>IF(BILANCIO!CG$64=0,"",BILANCIO!CG$9)</f>
        <v>45748</v>
      </c>
      <c r="BR335" s="897">
        <f>IF(BILANCIO!CH$64=0,"",BILANCIO!CH$9)</f>
        <v>45778</v>
      </c>
      <c r="BS335" s="897">
        <f>IF(BILANCIO!CI$64=0,"",BILANCIO!CI$9)</f>
        <v>45809</v>
      </c>
      <c r="BT335" s="897">
        <f>IF(BILANCIO!CJ$64=0,"",BILANCIO!CJ$9)</f>
        <v>45839</v>
      </c>
      <c r="BU335" s="897">
        <f>IF(BILANCIO!CK$64=0,"",BILANCIO!CK$9)</f>
        <v>45870</v>
      </c>
      <c r="BV335" s="897">
        <f>IF(BILANCIO!CL$64=0,"",BILANCIO!CL$9)</f>
        <v>45901</v>
      </c>
      <c r="BW335" s="897">
        <f>IF(BILANCIO!CM$64=0,"",BILANCIO!CM$9)</f>
        <v>45931</v>
      </c>
      <c r="BX335" s="897">
        <f>IF(BILANCIO!CN$64=0,"",BILANCIO!CN$9)</f>
        <v>45962</v>
      </c>
      <c r="BY335" s="897">
        <f>IF(BILANCIO!CO$64=0,"",BILANCIO!CO$9)</f>
        <v>45992</v>
      </c>
      <c r="BZ335" s="897">
        <f>IF(BILANCIO!CP$64=0,"",BILANCIO!CP$9)</f>
        <v>46023</v>
      </c>
      <c r="CA335" s="897">
        <f>IF(BILANCIO!CQ$64=0,"",BILANCIO!CQ$9)</f>
        <v>46054</v>
      </c>
      <c r="CB335" s="897">
        <f>IF(BILANCIO!CR$64=0,"",BILANCIO!CR$9)</f>
        <v>46082</v>
      </c>
      <c r="CC335" s="897">
        <f>IF(BILANCIO!CS$64=0,"",BILANCIO!CS$9)</f>
        <v>46113</v>
      </c>
      <c r="CD335" s="897" t="str">
        <f>IF(BILANCIO!CT$64=0,"",BILANCIO!CT$9)</f>
        <v/>
      </c>
      <c r="CE335" s="897" t="str">
        <f>IF(BILANCIO!CU$64=0,"",BILANCIO!CU$9)</f>
        <v/>
      </c>
      <c r="CF335" s="897" t="str">
        <f>IF(BILANCIO!CV$64=0,"",BILANCIO!CV$9)</f>
        <v/>
      </c>
      <c r="CG335" s="897" t="str">
        <f>IF(BILANCIO!CW$64=0,"",BILANCIO!CW$9)</f>
        <v/>
      </c>
      <c r="CH335" s="897" t="str">
        <f>IF(BILANCIO!CX$64=0,"",BILANCIO!CX$9)</f>
        <v/>
      </c>
      <c r="CI335" s="897" t="str">
        <f>IF(BILANCIO!CY$64=0,"",BILANCIO!CY$9)</f>
        <v/>
      </c>
      <c r="CJ335" s="897" t="str">
        <f>IF(BILANCIO!CZ$64=0,"",BILANCIO!CZ$9)</f>
        <v/>
      </c>
      <c r="CK335" s="897" t="str">
        <f>IF(BILANCIO!DA$64=0,"",BILANCIO!DA$9)</f>
        <v/>
      </c>
      <c r="CL335" s="897" t="str">
        <f>IF(BILANCIO!DB$64=0,"",BILANCIO!DB$9)</f>
        <v/>
      </c>
      <c r="CM335" s="897" t="str">
        <f>IF(BILANCIO!DC$64=0,"",BILANCIO!DC$9)</f>
        <v/>
      </c>
      <c r="CN335" s="897" t="str">
        <f>IF(BILANCIO!DD$64=0,"",BILANCIO!DD$9)</f>
        <v/>
      </c>
      <c r="CO335" s="897" t="str">
        <f>IF(BILANCIO!DE$64=0,"",BILANCIO!DE$9)</f>
        <v/>
      </c>
      <c r="CP335" s="897" t="str">
        <f>IF(BILANCIO!DF$64=0,"",BILANCIO!DF$9)</f>
        <v/>
      </c>
      <c r="CQ335" s="897" t="str">
        <f>IF(BILANCIO!DG$64=0,"",BILANCIO!DG$9)</f>
        <v/>
      </c>
      <c r="CR335" s="897" t="str">
        <f>IF(BILANCIO!DH$64=0,"",BILANCIO!DH$9)</f>
        <v/>
      </c>
      <c r="CS335" s="897" t="str">
        <f>IF(BILANCIO!DI$64=0,"",BILANCIO!DI$9)</f>
        <v/>
      </c>
      <c r="CT335" s="897" t="str">
        <f>IF(BILANCIO!DJ$64=0,"",BILANCIO!DJ$9)</f>
        <v/>
      </c>
      <c r="CU335" s="897" t="str">
        <f>IF(BILANCIO!DK$64=0,"",BILANCIO!DK$9)</f>
        <v/>
      </c>
      <c r="CV335" s="897" t="str">
        <f>IF(BILANCIO!DL$64=0,"",BILANCIO!DL$9)</f>
        <v/>
      </c>
      <c r="CW335" s="897" t="str">
        <f>IF(BILANCIO!DM$64=0,"",BILANCIO!DM$9)</f>
        <v/>
      </c>
      <c r="CX335" s="897" t="str">
        <f>IF(BILANCIO!DN$64=0,"",BILANCIO!DN$9)</f>
        <v/>
      </c>
      <c r="CY335" s="897" t="str">
        <f>IF(BILANCIO!DO$64=0,"",BILANCIO!DO$9)</f>
        <v/>
      </c>
      <c r="CZ335" s="897" t="str">
        <f>IF(BILANCIO!DP$64=0,"",BILANCIO!DP$9)</f>
        <v/>
      </c>
      <c r="DA335" s="897" t="str">
        <f>IF(BILANCIO!DQ$64=0,"",BILANCIO!DQ$9)</f>
        <v/>
      </c>
      <c r="DB335" s="897" t="str">
        <f>IF(BILANCIO!DR$64=0,"",BILANCIO!DR$9)</f>
        <v/>
      </c>
      <c r="DC335" s="897" t="str">
        <f>IF(BILANCIO!DS$64=0,"",BILANCIO!DS$9)</f>
        <v/>
      </c>
      <c r="DD335" s="897" t="str">
        <f>IF(BILANCIO!DT$64=0,"",BILANCIO!DT$9)</f>
        <v/>
      </c>
      <c r="DE335" s="897" t="str">
        <f>IF(BILANCIO!DU$64=0,"",BILANCIO!DU$9)</f>
        <v/>
      </c>
      <c r="DF335" s="897" t="str">
        <f>IF(BILANCIO!DV$64=0,"",BILANCIO!DV$9)</f>
        <v/>
      </c>
      <c r="DG335" s="897" t="str">
        <f>IF(BILANCIO!DW$64=0,"",BILANCIO!DW$9)</f>
        <v/>
      </c>
      <c r="DH335" s="897" t="str">
        <f>IF(BILANCIO!DX$64=0,"",BILANCIO!DX$9)</f>
        <v/>
      </c>
      <c r="DI335" s="897" t="str">
        <f>IF(BILANCIO!DY$64=0,"",BILANCIO!DY$9)</f>
        <v/>
      </c>
      <c r="DJ335" s="897" t="str">
        <f>IF(BILANCIO!DZ$64=0,"",BILANCIO!DZ$9)</f>
        <v/>
      </c>
      <c r="DK335" s="897" t="str">
        <f>IF(BILANCIO!EA$64=0,"",BILANCIO!EA$9)</f>
        <v/>
      </c>
      <c r="DL335" s="897" t="str">
        <f>IF(BILANCIO!EB$64=0,"",BILANCIO!EB$9)</f>
        <v/>
      </c>
      <c r="DM335" s="897" t="str">
        <f>IF(BILANCIO!EC$64=0,"",BILANCIO!EC$9)</f>
        <v/>
      </c>
      <c r="DN335" s="897" t="str">
        <f>IF(BILANCIO!ED$64=0,"",BILANCIO!ED$9)</f>
        <v/>
      </c>
      <c r="DO335" s="897" t="str">
        <f>IF(BILANCIO!EE$64=0,"",BILANCIO!EE$9)</f>
        <v/>
      </c>
      <c r="DP335" s="897" t="str">
        <f>IF(BILANCIO!EF$64=0,"",BILANCIO!EF$9)</f>
        <v/>
      </c>
      <c r="DQ335" s="897" t="str">
        <f>IF(BILANCIO!EG$64=0,"",BILANCIO!EG$9)</f>
        <v/>
      </c>
      <c r="DR335" s="897" t="str">
        <f>IF(BILANCIO!EH$64=0,"",BILANCIO!EH$9)</f>
        <v/>
      </c>
      <c r="DS335" s="897" t="str">
        <f>IF(BILANCIO!EI$64=0,"",BILANCIO!EI$9)</f>
        <v/>
      </c>
      <c r="DT335" s="897" t="str">
        <f>IF(BILANCIO!EJ$64=0,"",BILANCIO!EJ$9)</f>
        <v/>
      </c>
      <c r="DU335" s="897" t="str">
        <f>IF(BILANCIO!EK$64=0,"",BILANCIO!EK$9)</f>
        <v/>
      </c>
      <c r="DV335" s="897" t="str">
        <f>IF(BILANCIO!EL$64=0,"",BILANCIO!EL$9)</f>
        <v/>
      </c>
      <c r="DW335" s="897" t="str">
        <f>IF(BILANCIO!EM$64=0,"",BILANCIO!EM$9)</f>
        <v/>
      </c>
      <c r="DX335" s="897" t="str">
        <f>IF(BILANCIO!EN$64=0,"",BILANCIO!EN$9)</f>
        <v/>
      </c>
      <c r="DY335" s="897" t="str">
        <f>IF(BILANCIO!EO$64=0,"",BILANCIO!EO$9)</f>
        <v/>
      </c>
      <c r="DZ335" s="897" t="str">
        <f>IF(BILANCIO!EP$64=0,"",BILANCIO!EP$9)</f>
        <v/>
      </c>
      <c r="EA335" s="897" t="str">
        <f>IF(BILANCIO!EQ$64=0,"",BILANCIO!EQ$9)</f>
        <v/>
      </c>
      <c r="EB335" s="897" t="str">
        <f>IF(BILANCIO!ER$64=0,"",BILANCIO!ER$9)</f>
        <v/>
      </c>
      <c r="EC335" s="897" t="str">
        <f>IF(BILANCIO!ES$64=0,"",BILANCIO!ES$9)</f>
        <v/>
      </c>
      <c r="ED335" s="897" t="str">
        <f>IF(BILANCIO!ET$64=0,"",BILANCIO!ET$9)</f>
        <v/>
      </c>
      <c r="EE335" s="897" t="str">
        <f>IF(BILANCIO!EU$64=0,"",BILANCIO!EU$9)</f>
        <v/>
      </c>
      <c r="EF335" s="897" t="str">
        <f>IF(BILANCIO!EV$64=0,"",BILANCIO!EV$9)</f>
        <v/>
      </c>
      <c r="EG335" s="897" t="str">
        <f>IF(BILANCIO!EW$64=0,"",BILANCIO!EW$9)</f>
        <v/>
      </c>
      <c r="EH335" s="897" t="str">
        <f>IF(BILANCIO!EX$64=0,"",BILANCIO!EX$9)</f>
        <v/>
      </c>
      <c r="EI335" s="897" t="str">
        <f>IF(BILANCIO!EY$64=0,"",BILANCIO!EY$9)</f>
        <v/>
      </c>
      <c r="EJ335" s="897" t="str">
        <f>IF(BILANCIO!EZ$64=0,"",BILANCIO!EZ$9)</f>
        <v/>
      </c>
      <c r="EK335" s="897" t="str">
        <f>IF(BILANCIO!FA$64=0,"",BILANCIO!FA$9)</f>
        <v/>
      </c>
      <c r="EL335" s="897" t="str">
        <f>IF(BILANCIO!FB$64=0,"",BILANCIO!FB$9)</f>
        <v/>
      </c>
      <c r="EM335" s="897" t="str">
        <f>IF(BILANCIO!FC$64=0,"",BILANCIO!FC$9)</f>
        <v/>
      </c>
      <c r="EN335" s="897" t="str">
        <f>IF(BILANCIO!FD$64=0,"",BILANCIO!FD$9)</f>
        <v/>
      </c>
      <c r="EO335" s="897" t="str">
        <f>IF(BILANCIO!FE$64=0,"",BILANCIO!FE$9)</f>
        <v/>
      </c>
      <c r="EP335" s="897" t="str">
        <f>IF(BILANCIO!FF$64=0,"",BILANCIO!FF$9)</f>
        <v/>
      </c>
      <c r="EQ335" s="897" t="str">
        <f>IF(BILANCIO!FG$64=0,"",BILANCIO!FG$9)</f>
        <v/>
      </c>
      <c r="ER335" s="897" t="str">
        <f>IF(BILANCIO!FH$64=0,"",BILANCIO!FH$9)</f>
        <v/>
      </c>
      <c r="ES335" s="897" t="str">
        <f>IF(BILANCIO!FI$64=0,"",BILANCIO!FI$9)</f>
        <v/>
      </c>
      <c r="ET335" s="897" t="str">
        <f>IF(BILANCIO!FJ$64=0,"",BILANCIO!FJ$9)</f>
        <v/>
      </c>
      <c r="EU335" s="897" t="str">
        <f>IF(BILANCIO!FK$64=0,"",BILANCIO!FK$9)</f>
        <v/>
      </c>
      <c r="EV335" s="897" t="str">
        <f>IF(BILANCIO!FL$64=0,"",BILANCIO!FL$9)</f>
        <v/>
      </c>
      <c r="EW335" s="897" t="str">
        <f>IF(BILANCIO!FM$64=0,"",BILANCIO!FM$9)</f>
        <v/>
      </c>
      <c r="EX335" s="897" t="str">
        <f>IF(BILANCIO!FN$64=0,"",BILANCIO!FN$9)</f>
        <v/>
      </c>
      <c r="EY335" s="897" t="str">
        <f>IF(BILANCIO!FO$64=0,"",BILANCIO!FO$9)</f>
        <v/>
      </c>
      <c r="EZ335" s="897" t="str">
        <f>IF(BILANCIO!FP$64=0,"",BILANCIO!FP$9)</f>
        <v/>
      </c>
      <c r="FA335" s="897" t="str">
        <f>IF(BILANCIO!FQ$64=0,"",BILANCIO!FQ$9)</f>
        <v/>
      </c>
      <c r="FB335" s="897" t="str">
        <f>IF(BILANCIO!FR$64=0,"",BILANCIO!FR$9)</f>
        <v/>
      </c>
      <c r="FC335" s="897" t="str">
        <f>IF(BILANCIO!FS$64=0,"",BILANCIO!FS$9)</f>
        <v/>
      </c>
      <c r="FD335" s="897" t="str">
        <f>IF(BILANCIO!FT$64=0,"",BILANCIO!FT$9)</f>
        <v/>
      </c>
      <c r="FE335" s="897" t="str">
        <f>IF(BILANCIO!FU$64=0,"",BILANCIO!FU$9)</f>
        <v/>
      </c>
      <c r="FF335" s="897" t="str">
        <f>IF(BILANCIO!FV$64=0,"",BILANCIO!FV$9)</f>
        <v/>
      </c>
      <c r="FG335" s="897" t="str">
        <f>IF(BILANCIO!FW$64=0,"",BILANCIO!FW$9)</f>
        <v/>
      </c>
      <c r="FH335" s="897" t="str">
        <f>IF(BILANCIO!FX$64=0,"",BILANCIO!FX$9)</f>
        <v/>
      </c>
      <c r="FI335" s="897" t="str">
        <f>IF(BILANCIO!FY$64=0,"",BILANCIO!FY$9)</f>
        <v/>
      </c>
      <c r="FJ335" s="897" t="str">
        <f>IF(BILANCIO!FZ$64=0,"",BILANCIO!FZ$9)</f>
        <v/>
      </c>
      <c r="FK335" s="897" t="str">
        <f>IF(BILANCIO!GA$64=0,"",BILANCIO!GA$9)</f>
        <v/>
      </c>
      <c r="FL335" s="897" t="str">
        <f>IF(BILANCIO!GB$64=0,"",BILANCIO!GB$9)</f>
        <v/>
      </c>
      <c r="FM335" s="897" t="str">
        <f>IF(BILANCIO!GC$64=0,"",BILANCIO!GC$9)</f>
        <v/>
      </c>
      <c r="FN335" s="897" t="str">
        <f>IF(BILANCIO!GD$64=0,"",BILANCIO!GD$9)</f>
        <v/>
      </c>
      <c r="FO335" s="897" t="str">
        <f>IF(BILANCIO!GE$64=0,"",BILANCIO!GE$9)</f>
        <v/>
      </c>
      <c r="FP335" s="897" t="str">
        <f>IF(BILANCIO!GF$64=0,"",BILANCIO!GF$9)</f>
        <v/>
      </c>
      <c r="FQ335" s="897" t="str">
        <f>IF(BILANCIO!GG$64=0,"",BILANCIO!GG$9)</f>
        <v/>
      </c>
      <c r="FR335" s="897" t="str">
        <f>IF(BILANCIO!GH$64=0,"",BILANCIO!GH$9)</f>
        <v/>
      </c>
      <c r="FS335" s="897" t="str">
        <f>IF(BILANCIO!GI$64=0,"",BILANCIO!GI$9)</f>
        <v/>
      </c>
      <c r="FT335" s="897" t="str">
        <f>IF(BILANCIO!GJ$64=0,"",BILANCIO!GJ$9)</f>
        <v/>
      </c>
      <c r="FU335" s="897" t="str">
        <f>IF(BILANCIO!GK$64=0,"",BILANCIO!GK$9)</f>
        <v/>
      </c>
      <c r="FV335" s="897" t="str">
        <f>IF(BILANCIO!GL$64=0,"",BILANCIO!GL$9)</f>
        <v/>
      </c>
      <c r="FW335" s="897" t="str">
        <f>IF(BILANCIO!GM$64=0,"",BILANCIO!GM$9)</f>
        <v/>
      </c>
      <c r="FX335" s="897" t="str">
        <f>IF(BILANCIO!GN$64=0,"",BILANCIO!GN$9)</f>
        <v/>
      </c>
      <c r="FY335" s="897" t="str">
        <f>IF(BILANCIO!GO$64=0,"",BILANCIO!GO$9)</f>
        <v/>
      </c>
      <c r="FZ335" s="897" t="str">
        <f>IF(BILANCIO!GP$64=0,"",BILANCIO!GP$9)</f>
        <v/>
      </c>
      <c r="GA335" s="897" t="str">
        <f>IF(BILANCIO!GQ$64=0,"",BILANCIO!GQ$9)</f>
        <v/>
      </c>
      <c r="GB335" s="897" t="str">
        <f>IF(BILANCIO!GR$64=0,"",BILANCIO!GR$9)</f>
        <v/>
      </c>
      <c r="GC335" s="897" t="str">
        <f>IF(BILANCIO!GS$64=0,"",BILANCIO!GS$9)</f>
        <v/>
      </c>
      <c r="GD335" s="897" t="str">
        <f>IF(BILANCIO!GT$64=0,"",BILANCIO!GT$9)</f>
        <v/>
      </c>
      <c r="GE335" s="897" t="str">
        <f>IF(BILANCIO!GU$64=0,"",BILANCIO!GU$9)</f>
        <v/>
      </c>
      <c r="GF335" s="897" t="str">
        <f>IF(BILANCIO!GV$64=0,"",BILANCIO!GV$9)</f>
        <v/>
      </c>
      <c r="GG335" s="897" t="str">
        <f>IF(BILANCIO!GW$64=0,"",BILANCIO!GW$9)</f>
        <v/>
      </c>
      <c r="GH335" s="897" t="str">
        <f>IF(BILANCIO!GX$64=0,"",BILANCIO!GX$9)</f>
        <v/>
      </c>
      <c r="GI335" s="897" t="str">
        <f>IF(BILANCIO!GY$64=0,"",BILANCIO!GY$9)</f>
        <v/>
      </c>
      <c r="GJ335" s="897" t="str">
        <f>IF(BILANCIO!GZ$64=0,"",BILANCIO!GZ$9)</f>
        <v/>
      </c>
      <c r="GK335" s="897" t="str">
        <f>IF(BILANCIO!HA$64=0,"",BILANCIO!HA$9)</f>
        <v/>
      </c>
      <c r="GL335" s="897" t="str">
        <f>IF(BILANCIO!HB$64=0,"",BILANCIO!HB$9)</f>
        <v/>
      </c>
      <c r="GM335" s="897" t="str">
        <f>IF(BILANCIO!HC$64=0,"",BILANCIO!HC$9)</f>
        <v/>
      </c>
      <c r="GN335" s="897" t="str">
        <f>IF(BILANCIO!HD$64=0,"",BILANCIO!HD$9)</f>
        <v/>
      </c>
      <c r="GO335" s="897" t="str">
        <f>IF(BILANCIO!HE$64=0,"",BILANCIO!HE$9)</f>
        <v/>
      </c>
      <c r="GP335" s="897" t="str">
        <f>IF(BILANCIO!HF$64=0,"",BILANCIO!HF$9)</f>
        <v/>
      </c>
      <c r="GQ335" s="897" t="str">
        <f>IF(BILANCIO!HG$64=0,"",BILANCIO!HG$9)</f>
        <v/>
      </c>
      <c r="GR335" s="897" t="str">
        <f>IF(BILANCIO!HH$64=0,"",BILANCIO!HH$9)</f>
        <v/>
      </c>
      <c r="GS335" s="897" t="str">
        <f>IF(BILANCIO!HI$64=0,"",BILANCIO!HI$9)</f>
        <v/>
      </c>
      <c r="GT335" s="897" t="str">
        <f>IF(BILANCIO!HJ$64=0,"",BILANCIO!HJ$9)</f>
        <v/>
      </c>
      <c r="GU335" s="897" t="str">
        <f>IF(BILANCIO!HK$64=0,"",BILANCIO!HK$9)</f>
        <v/>
      </c>
      <c r="GV335" s="897" t="str">
        <f>IF(BILANCIO!HL$64=0,"",BILANCIO!HL$9)</f>
        <v/>
      </c>
      <c r="GW335" s="897" t="str">
        <f>IF(BILANCIO!HM$64=0,"",BILANCIO!HM$9)</f>
        <v/>
      </c>
      <c r="GX335" s="897" t="str">
        <f>IF(BILANCIO!HN$64=0,"",BILANCIO!HN$9)</f>
        <v/>
      </c>
      <c r="GY335" s="897" t="str">
        <f>IF(BILANCIO!HO$64=0,"",BILANCIO!HO$9)</f>
        <v/>
      </c>
      <c r="GZ335" s="897" t="str">
        <f>IF(BILANCIO!HP$64=0,"",BILANCIO!HP$9)</f>
        <v/>
      </c>
      <c r="HA335" s="897" t="str">
        <f>IF(BILANCIO!HQ$64=0,"",BILANCIO!HQ$9)</f>
        <v/>
      </c>
      <c r="HB335" s="897" t="str">
        <f>IF(BILANCIO!HR$64=0,"",BILANCIO!HR$9)</f>
        <v/>
      </c>
      <c r="HC335" s="897" t="str">
        <f>IF(BILANCIO!HS$64=0,"",BILANCIO!HS$9)</f>
        <v/>
      </c>
      <c r="HD335" s="897" t="str">
        <f>IF(BILANCIO!HT$64=0,"",BILANCIO!HT$9)</f>
        <v/>
      </c>
      <c r="HE335" s="897" t="str">
        <f>IF(BILANCIO!HU$64=0,"",BILANCIO!HU$9)</f>
        <v/>
      </c>
      <c r="HF335" s="897" t="str">
        <f>IF(BILANCIO!HV$64=0,"",BILANCIO!HV$9)</f>
        <v/>
      </c>
      <c r="HG335" s="897" t="str">
        <f>IF(BILANCIO!HW$64=0,"",BILANCIO!HW$9)</f>
        <v/>
      </c>
      <c r="HH335" s="897" t="str">
        <f>IF(BILANCIO!HX$64=0,"",BILANCIO!HX$9)</f>
        <v/>
      </c>
      <c r="HI335" s="897" t="str">
        <f>IF(BILANCIO!HY$64=0,"",BILANCIO!HY$9)</f>
        <v/>
      </c>
      <c r="HJ335" s="897" t="str">
        <f>IF(BILANCIO!HZ$64=0,"",BILANCIO!HZ$9)</f>
        <v/>
      </c>
      <c r="HK335" s="897" t="str">
        <f>IF(BILANCIO!IA$64=0,"",BILANCIO!IA$9)</f>
        <v/>
      </c>
      <c r="HL335" s="897" t="str">
        <f>IF(BILANCIO!IB$64=0,"",BILANCIO!IB$9)</f>
        <v/>
      </c>
      <c r="HM335" s="897" t="str">
        <f>IF(BILANCIO!IC$64=0,"",BILANCIO!IC$9)</f>
        <v/>
      </c>
      <c r="HN335" s="897" t="str">
        <f>IF(BILANCIO!ID$64=0,"",BILANCIO!ID$9)</f>
        <v/>
      </c>
      <c r="HO335" s="897" t="str">
        <f>IF(BILANCIO!IE$64=0,"",BILANCIO!IE$9)</f>
        <v/>
      </c>
      <c r="HP335" s="897" t="str">
        <f>IF(BILANCIO!IF$64=0,"",BILANCIO!IF$9)</f>
        <v/>
      </c>
      <c r="HQ335" s="897" t="str">
        <f>IF(BILANCIO!IG$64=0,"",BILANCIO!IG$9)</f>
        <v/>
      </c>
      <c r="HR335" s="897" t="str">
        <f>IF(BILANCIO!IH$64=0,"",BILANCIO!IH$9)</f>
        <v/>
      </c>
      <c r="HS335" s="897" t="str">
        <f>IF(BILANCIO!II$64=0,"",BILANCIO!II$9)</f>
        <v/>
      </c>
      <c r="HT335" s="897" t="str">
        <f>IF(BILANCIO!IJ$64=0,"",BILANCIO!IJ$9)</f>
        <v/>
      </c>
      <c r="HU335" s="897" t="str">
        <f>IF(BILANCIO!IK$64=0,"",BILANCIO!IK$9)</f>
        <v/>
      </c>
      <c r="HV335" s="897" t="str">
        <f>IF(BILANCIO!IL$64=0,"",BILANCIO!IL$9)</f>
        <v/>
      </c>
      <c r="HW335" s="897" t="str">
        <f>IF(BILANCIO!IM$64=0,"",BILANCIO!IM$9)</f>
        <v/>
      </c>
      <c r="HX335" s="897" t="str">
        <f>IF(BILANCIO!IN$64=0,"",BILANCIO!IN$9)</f>
        <v/>
      </c>
      <c r="HY335" s="897" t="str">
        <f>IF(BILANCIO!IO$64=0,"",BILANCIO!IO$9)</f>
        <v/>
      </c>
      <c r="HZ335" s="897" t="str">
        <f>IF(BILANCIO!IP$64=0,"",BILANCIO!IP$9)</f>
        <v/>
      </c>
      <c r="IA335" s="897" t="str">
        <f>IF(BILANCIO!IQ$64=0,"",BILANCIO!IQ$9)</f>
        <v/>
      </c>
      <c r="IB335" s="897" t="str">
        <f>IF(BILANCIO!IR$64=0,"",BILANCIO!IR$9)</f>
        <v/>
      </c>
      <c r="IC335" s="897" t="str">
        <f>IF(BILANCIO!IS$64=0,"",BILANCIO!IS$9)</f>
        <v/>
      </c>
      <c r="ID335" s="897" t="str">
        <f>IF(BILANCIO!IT$64=0,"",BILANCIO!IT$9)</f>
        <v/>
      </c>
      <c r="IE335" s="897" t="str">
        <f>IF(BILANCIO!IU$64=0,"",BILANCIO!IU$9)</f>
        <v/>
      </c>
      <c r="IF335" s="897" t="str">
        <f>IF(BILANCIO!IV$64=0,"",BILANCIO!IV$9)</f>
        <v/>
      </c>
      <c r="IG335" s="897" t="str">
        <f>IF(BILANCIO!IW$64=0,"",BILANCIO!IW$9)</f>
        <v/>
      </c>
      <c r="IH335" s="897" t="str">
        <f>IF(BILANCIO!IX$64=0,"",BILANCIO!IX$9)</f>
        <v/>
      </c>
      <c r="II335" s="897" t="str">
        <f>IF(BILANCIO!IY$64=0,"",BILANCIO!IY$9)</f>
        <v/>
      </c>
      <c r="IJ335" s="897" t="str">
        <f>IF(BILANCIO!IZ$64=0,"",BILANCIO!IZ$9)</f>
        <v/>
      </c>
      <c r="IK335" s="897" t="str">
        <f>IF(BILANCIO!JA$64=0,"",BILANCIO!JA$9)</f>
        <v/>
      </c>
      <c r="IL335" s="897" t="str">
        <f>IF(BILANCIO!JB$64=0,"",BILANCIO!JB$9)</f>
        <v/>
      </c>
      <c r="IM335" s="897" t="str">
        <f>IF(BILANCIO!JC$64=0,"",BILANCIO!JC$9)</f>
        <v/>
      </c>
      <c r="IN335" s="897" t="str">
        <f>IF(BILANCIO!JD$64=0,"",BILANCIO!JD$9)</f>
        <v/>
      </c>
      <c r="IO335" s="897" t="str">
        <f>IF(BILANCIO!JE$64=0,"",BILANCIO!JE$9)</f>
        <v/>
      </c>
      <c r="IP335" s="897" t="str">
        <f>IF(BILANCIO!JF$64=0,"",BILANCIO!JF$9)</f>
        <v/>
      </c>
      <c r="IQ335" s="897" t="str">
        <f>IF(BILANCIO!JG$64=0,"",BILANCIO!JG$9)</f>
        <v/>
      </c>
      <c r="IR335" s="897" t="str">
        <f>IF(BILANCIO!JH$64=0,"",BILANCIO!JH$9)</f>
        <v/>
      </c>
      <c r="IS335" s="897" t="str">
        <f>IF(BILANCIO!JI$64=0,"",BILANCIO!JI$9)</f>
        <v/>
      </c>
      <c r="IT335" s="897" t="str">
        <f>IF(BILANCIO!JJ$64=0,"",BILANCIO!JJ$9)</f>
        <v/>
      </c>
      <c r="IU335" s="897" t="str">
        <f>IF(BILANCIO!JK$64=0,"",BILANCIO!JK$9)</f>
        <v/>
      </c>
      <c r="IV335" s="897" t="str">
        <f>IF(BILANCIO!JL$64=0,"",BILANCIO!JL$9)</f>
        <v/>
      </c>
      <c r="IW335" s="897" t="str">
        <f>IF(BILANCIO!JM$64=0,"",BILANCIO!JM$9)</f>
        <v/>
      </c>
      <c r="IX335" s="897" t="str">
        <f>IF(BILANCIO!JN$64=0,"",BILANCIO!JN$9)</f>
        <v/>
      </c>
      <c r="IY335" s="897" t="str">
        <f>IF(BILANCIO!JO$64=0,"",BILANCIO!JO$9)</f>
        <v/>
      </c>
      <c r="IZ335" s="897" t="str">
        <f>IF(BILANCIO!JP$64=0,"",BILANCIO!JP$9)</f>
        <v/>
      </c>
      <c r="JA335" s="897" t="str">
        <f>IF(BILANCIO!JQ$64=0,"",BILANCIO!JQ$9)</f>
        <v/>
      </c>
      <c r="JB335" s="897" t="str">
        <f>IF(BILANCIO!JR$64=0,"",BILANCIO!JR$9)</f>
        <v/>
      </c>
      <c r="JC335" s="897" t="str">
        <f>IF(BILANCIO!JS$64=0,"",BILANCIO!JS$9)</f>
        <v/>
      </c>
      <c r="JD335" s="897" t="str">
        <f>IF(BILANCIO!JT$64=0,"",BILANCIO!JT$9)</f>
        <v/>
      </c>
      <c r="JE335" s="897" t="str">
        <f>IF(BILANCIO!JU$64=0,"",BILANCIO!JU$9)</f>
        <v/>
      </c>
      <c r="JF335" s="897" t="str">
        <f>IF(BILANCIO!JV$64=0,"",BILANCIO!JV$9)</f>
        <v/>
      </c>
      <c r="JG335" s="897" t="str">
        <f>IF(BILANCIO!JW$64=0,"",BILANCIO!JW$9)</f>
        <v/>
      </c>
      <c r="JH335" s="897" t="str">
        <f>IF(BILANCIO!JX$64=0,"",BILANCIO!JX$9)</f>
        <v/>
      </c>
      <c r="JI335" s="897" t="str">
        <f>IF(BILANCIO!JY$64=0,"",BILANCIO!JY$9)</f>
        <v/>
      </c>
      <c r="JJ335" s="897" t="str">
        <f>IF(BILANCIO!JZ$64=0,"",BILANCIO!JZ$9)</f>
        <v/>
      </c>
      <c r="JK335" s="897" t="str">
        <f>IF(BILANCIO!KA$64=0,"",BILANCIO!KA$9)</f>
        <v/>
      </c>
      <c r="JL335" s="897" t="str">
        <f>IF(BILANCIO!KB$64=0,"",BILANCIO!KB$9)</f>
        <v/>
      </c>
      <c r="JM335" s="897" t="str">
        <f>IF(BILANCIO!KC$64=0,"",BILANCIO!KC$9)</f>
        <v/>
      </c>
      <c r="JN335" s="897" t="str">
        <f>IF(BILANCIO!KD$64=0,"",BILANCIO!KD$9)</f>
        <v/>
      </c>
      <c r="JO335" s="897" t="str">
        <f>IF(BILANCIO!KE$64=0,"",BILANCIO!KE$9)</f>
        <v/>
      </c>
      <c r="JP335" s="897" t="str">
        <f>IF(BILANCIO!KF$64=0,"",BILANCIO!KF$9)</f>
        <v/>
      </c>
      <c r="JQ335" s="897" t="str">
        <f>IF(BILANCIO!KG$64=0,"",BILANCIO!KG$9)</f>
        <v/>
      </c>
      <c r="JR335" s="897" t="str">
        <f>IF(BILANCIO!KH$64=0,"",BILANCIO!KH$9)</f>
        <v/>
      </c>
      <c r="JS335" s="897" t="str">
        <f>IF(BILANCIO!KI$64=0,"",BILANCIO!KI$9)</f>
        <v/>
      </c>
      <c r="JT335" s="897" t="str">
        <f>IF(BILANCIO!KJ$64=0,"",BILANCIO!KJ$9)</f>
        <v/>
      </c>
      <c r="JU335" s="897" t="str">
        <f>IF(BILANCIO!KK$64=0,"",BILANCIO!KK$9)</f>
        <v/>
      </c>
      <c r="JV335" s="897" t="str">
        <f>IF(BILANCIO!KL$64=0,"",BILANCIO!KL$9)</f>
        <v/>
      </c>
      <c r="JW335" s="897" t="str">
        <f>IF(BILANCIO!KM$64=0,"",BILANCIO!KM$9)</f>
        <v/>
      </c>
      <c r="JX335" s="897" t="str">
        <f>IF(BILANCIO!KN$64=0,"",BILANCIO!KN$9)</f>
        <v/>
      </c>
      <c r="JY335" s="897" t="str">
        <f>IF(BILANCIO!KO$64=0,"",BILANCIO!KO$9)</f>
        <v/>
      </c>
      <c r="JZ335" s="897" t="str">
        <f>IF(BILANCIO!KP$64=0,"",BILANCIO!KP$9)</f>
        <v/>
      </c>
      <c r="KA335" s="897" t="str">
        <f>IF(BILANCIO!KQ$64=0,"",BILANCIO!KQ$9)</f>
        <v/>
      </c>
      <c r="KB335" s="897" t="str">
        <f>IF(BILANCIO!KR$64=0,"",BILANCIO!KR$9)</f>
        <v/>
      </c>
      <c r="KC335" s="897" t="str">
        <f>IF(BILANCIO!KS$64=0,"",BILANCIO!KS$9)</f>
        <v/>
      </c>
      <c r="KD335" s="897" t="str">
        <f>IF(BILANCIO!KT$64=0,"",BILANCIO!KT$9)</f>
        <v/>
      </c>
      <c r="KE335" s="897" t="str">
        <f>IF(BILANCIO!KU$64=0,"",BILANCIO!KU$9)</f>
        <v/>
      </c>
      <c r="KF335" s="897" t="str">
        <f>IF(BILANCIO!KV$64=0,"",BILANCIO!KV$9)</f>
        <v/>
      </c>
      <c r="KG335" s="897" t="str">
        <f>IF(BILANCIO!KW$64=0,"",BILANCIO!KW$9)</f>
        <v/>
      </c>
      <c r="KH335" s="897" t="str">
        <f>IF(BILANCIO!KX$64=0,"",BILANCIO!KX$9)</f>
        <v/>
      </c>
      <c r="KI335" s="897" t="str">
        <f>IF(BILANCIO!KY$64=0,"",BILANCIO!KY$9)</f>
        <v/>
      </c>
      <c r="KJ335" s="897" t="str">
        <f>IF(BILANCIO!KZ$64=0,"",BILANCIO!KZ$9)</f>
        <v/>
      </c>
      <c r="KK335" s="897" t="str">
        <f>IF(BILANCIO!LA$64=0,"",BILANCIO!LA$9)</f>
        <v/>
      </c>
      <c r="KL335" s="897" t="str">
        <f>IF(BILANCIO!LB$64=0,"",BILANCIO!LB$9)</f>
        <v/>
      </c>
      <c r="KM335" s="897" t="str">
        <f>IF(BILANCIO!LC$64=0,"",BILANCIO!LC$9)</f>
        <v/>
      </c>
      <c r="KN335" s="897" t="str">
        <f>IF(BILANCIO!LD$64=0,"",BILANCIO!LD$9)</f>
        <v/>
      </c>
      <c r="KO335" s="897" t="str">
        <f>IF(BILANCIO!LE$64=0,"",BILANCIO!LE$9)</f>
        <v/>
      </c>
      <c r="KP335" s="897" t="str">
        <f>IF(BILANCIO!LF$64=0,"",BILANCIO!LF$9)</f>
        <v/>
      </c>
      <c r="KQ335" s="897" t="str">
        <f>IF(BILANCIO!LG$64=0,"",BILANCIO!LG$9)</f>
        <v/>
      </c>
      <c r="KR335" s="897" t="str">
        <f>IF(BILANCIO!LH$64=0,"",BILANCIO!LH$9)</f>
        <v/>
      </c>
      <c r="KS335" s="897" t="str">
        <f>IF(BILANCIO!LI$64=0,"",BILANCIO!LI$9)</f>
        <v/>
      </c>
      <c r="KT335" s="897" t="str">
        <f>IF(BILANCIO!LJ$64=0,"",BILANCIO!LJ$9)</f>
        <v/>
      </c>
      <c r="KU335" s="897" t="str">
        <f>IF(BILANCIO!LK$64=0,"",BILANCIO!LK$9)</f>
        <v/>
      </c>
      <c r="KV335" s="897" t="str">
        <f>IF(BILANCIO!LL$64=0,"",BILANCIO!LL$9)</f>
        <v/>
      </c>
      <c r="KW335" s="897" t="str">
        <f>IF(BILANCIO!LM$64=0,"",BILANCIO!LM$9)</f>
        <v/>
      </c>
      <c r="KX335" s="897" t="str">
        <f>IF(BILANCIO!LN$64=0,"",BILANCIO!LN$9)</f>
        <v/>
      </c>
      <c r="KY335" s="897" t="str">
        <f>IF(BILANCIO!LO$64=0,"",BILANCIO!LO$9)</f>
        <v/>
      </c>
      <c r="KZ335" s="897" t="str">
        <f>IF(BILANCIO!LP$64=0,"",BILANCIO!LP$9)</f>
        <v/>
      </c>
      <c r="LA335" s="897" t="str">
        <f>IF(BILANCIO!LQ$64=0,"",BILANCIO!LQ$9)</f>
        <v/>
      </c>
      <c r="LB335" s="897" t="str">
        <f>IF(BILANCIO!LR$64=0,"",BILANCIO!LR$9)</f>
        <v/>
      </c>
      <c r="LC335" s="897" t="str">
        <f>IF(BILANCIO!LS$64=0,"",BILANCIO!LS$9)</f>
        <v/>
      </c>
      <c r="LD335" s="897" t="str">
        <f>IF(BILANCIO!LT$64=0,"",BILANCIO!LT$9)</f>
        <v/>
      </c>
      <c r="LE335" s="897"/>
      <c r="LF335" s="897"/>
      <c r="LG335" s="897"/>
      <c r="LH335" s="897"/>
      <c r="LI335" s="897"/>
      <c r="LJ335" s="897"/>
      <c r="LK335" s="897"/>
      <c r="LL335" s="897"/>
      <c r="LM335" s="897"/>
      <c r="LN335" s="897"/>
      <c r="LO335" s="897"/>
      <c r="LP335" s="897"/>
      <c r="LQ335" s="897"/>
      <c r="LR335" s="897"/>
      <c r="LS335" s="897"/>
      <c r="LT335" s="897"/>
      <c r="LU335" s="897"/>
      <c r="LV335" s="897"/>
      <c r="LW335" s="897"/>
      <c r="LX335" s="897"/>
      <c r="LY335" s="897"/>
      <c r="LZ335" s="897"/>
      <c r="MA335" s="897"/>
      <c r="MB335" s="897"/>
      <c r="MC335" s="897"/>
      <c r="MD335" s="897"/>
      <c r="ME335" s="897"/>
      <c r="MF335" s="897"/>
      <c r="MG335" s="897"/>
      <c r="MH335" s="897"/>
      <c r="MI335" s="897"/>
      <c r="MJ335" s="897"/>
      <c r="MK335" s="897"/>
      <c r="ML335" s="897"/>
      <c r="MM335" s="897"/>
      <c r="MN335" s="897"/>
      <c r="MO335" s="897"/>
      <c r="MP335" s="897"/>
      <c r="MQ335" s="897"/>
      <c r="MR335" s="897"/>
      <c r="MS335" s="897"/>
      <c r="MT335" s="897"/>
      <c r="MU335" s="897"/>
      <c r="MV335" s="897"/>
      <c r="MW335" s="897"/>
      <c r="MX335" s="897"/>
      <c r="MY335" s="897"/>
      <c r="MZ335" s="897"/>
      <c r="NA335" s="897"/>
      <c r="NB335" s="897"/>
      <c r="NC335" s="897"/>
      <c r="ND335" s="897"/>
      <c r="NE335" s="897"/>
      <c r="NF335" s="897"/>
      <c r="NG335" s="897"/>
      <c r="NH335" s="897"/>
      <c r="NI335" s="897"/>
      <c r="NJ335" s="897"/>
      <c r="NK335" s="897"/>
      <c r="NL335" s="897"/>
      <c r="NM335" s="897"/>
      <c r="NN335" s="897"/>
      <c r="NO335" s="897"/>
      <c r="NP335" s="897"/>
      <c r="NQ335" s="897"/>
      <c r="NR335" s="897"/>
      <c r="NS335" s="897"/>
      <c r="NT335" s="897"/>
      <c r="NU335" s="897"/>
      <c r="NV335" s="897"/>
      <c r="NW335" s="897"/>
      <c r="NX335" s="897"/>
      <c r="NY335" s="897"/>
      <c r="NZ335" s="897"/>
      <c r="OA335" s="897"/>
      <c r="OB335" s="897"/>
      <c r="OC335" s="897"/>
      <c r="OD335" s="897"/>
      <c r="OE335" s="897"/>
      <c r="OF335" s="897"/>
      <c r="OG335" s="897"/>
      <c r="OH335" s="897"/>
      <c r="OI335" s="897"/>
      <c r="OJ335" s="897"/>
      <c r="OK335" s="897"/>
      <c r="OL335" s="897"/>
      <c r="OM335" s="897"/>
      <c r="ON335" s="897"/>
      <c r="OO335" s="897"/>
      <c r="OP335" s="897"/>
      <c r="OQ335" s="897"/>
      <c r="OR335" s="897"/>
      <c r="OS335" s="897"/>
      <c r="OT335" s="897"/>
      <c r="OU335" s="897"/>
      <c r="OV335" s="897"/>
      <c r="OW335" s="897"/>
      <c r="OX335" s="897"/>
    </row>
    <row r="336" spans="2:414" s="898" customFormat="1" x14ac:dyDescent="0.25">
      <c r="B336" s="899">
        <f>IF(BILANCIO!S$64=0,"",BILANCIO!S32)</f>
        <v>7851.23</v>
      </c>
      <c r="C336" s="899">
        <f>IF(BILANCIO!T$64=0,"",BILANCIO!T32)</f>
        <v>8195.7999999999993</v>
      </c>
      <c r="D336" s="899">
        <f>IF(BILANCIO!U$64=0,"",BILANCIO!U32)</f>
        <v>11552.48</v>
      </c>
      <c r="E336" s="899">
        <f>IF(BILANCIO!V$64=0,"",BILANCIO!V32)</f>
        <v>11541.369999999999</v>
      </c>
      <c r="F336" s="899">
        <f>IF(BILANCIO!W$64=0,"",BILANCIO!W32)</f>
        <v>11543.579999999998</v>
      </c>
      <c r="G336" s="899">
        <f>IF(BILANCIO!X$64=0,"",BILANCIO!X32)</f>
        <v>11517.649999999998</v>
      </c>
      <c r="H336" s="899">
        <f>IF(BILANCIO!Y$64=0,"",BILANCIO!Y32)</f>
        <v>11874.519999999997</v>
      </c>
      <c r="I336" s="899">
        <f>IF(BILANCIO!Z$64=0,"",BILANCIO!Z32)</f>
        <v>12417.519999999997</v>
      </c>
      <c r="J336" s="899">
        <f>IF(BILANCIO!AA$64=0,"",BILANCIO!AA32)</f>
        <v>12636.559999999998</v>
      </c>
      <c r="K336" s="899">
        <f>IF(BILANCIO!AB$64=0,"",BILANCIO!AB32)</f>
        <v>13224.529999999997</v>
      </c>
      <c r="L336" s="899">
        <f>IF(BILANCIO!AC$64=0,"",BILANCIO!AC32)</f>
        <v>13228.389999999998</v>
      </c>
      <c r="M336" s="899">
        <f>IF(BILANCIO!AD$64=0,"",BILANCIO!AD32)</f>
        <v>12707.639999999998</v>
      </c>
      <c r="N336" s="899">
        <f>IF(BILANCIO!AE$64=0,"",BILANCIO!AE32)</f>
        <v>12629.769999999997</v>
      </c>
      <c r="O336" s="899">
        <f>IF(BILANCIO!AF$64=0,"",BILANCIO!AF32)</f>
        <v>1559.4499999999971</v>
      </c>
      <c r="P336" s="899">
        <f>IF(BILANCIO!AG$64=0,"",BILANCIO!AG32)</f>
        <v>2224.5099999999966</v>
      </c>
      <c r="Q336" s="899">
        <f>IF(BILANCIO!AH$64=0,"",BILANCIO!AH32)</f>
        <v>1843.8699999999963</v>
      </c>
      <c r="R336" s="899">
        <f>IF(BILANCIO!AI$64=0,"",BILANCIO!AI32)</f>
        <v>3684.5199999999959</v>
      </c>
      <c r="S336" s="899">
        <f>IF(BILANCIO!AJ$64=0,"",BILANCIO!AJ32)</f>
        <v>882.47999999999683</v>
      </c>
      <c r="T336" s="899">
        <f>IF(BILANCIO!AK$64=0,"",BILANCIO!AK32)</f>
        <v>1203.769999999997</v>
      </c>
      <c r="U336" s="899">
        <f>IF(BILANCIO!AL$64=0,"",BILANCIO!AL32)</f>
        <v>1394.4199999999967</v>
      </c>
      <c r="V336" s="899">
        <f>IF(BILANCIO!AM$64=0,"",BILANCIO!AM32)</f>
        <v>1366.5399999999963</v>
      </c>
      <c r="W336" s="899">
        <f>IF(BILANCIO!AN$64=0,"",BILANCIO!AN32)</f>
        <v>5941.1799999999957</v>
      </c>
      <c r="X336" s="899"/>
      <c r="Y336" s="899">
        <f>IF(BILANCIO!AO$64=0,"",BILANCIO!AO32)</f>
        <v>4125.6699999999964</v>
      </c>
      <c r="Z336" s="899">
        <f>IF(BILANCIO!AP$64=0,"",BILANCIO!AP32)</f>
        <v>3502.8099999999968</v>
      </c>
      <c r="AA336" s="899">
        <f>IF(BILANCIO!AQ$64=0,"",BILANCIO!AQ32)</f>
        <v>3155.3399999999965</v>
      </c>
      <c r="AB336" s="899">
        <f>IF(BILANCIO!AR$64=0,"",BILANCIO!AR32)</f>
        <v>3050.5299999999966</v>
      </c>
      <c r="AC336" s="899">
        <f>IF(BILANCIO!AS$64=0,"",BILANCIO!AS32)</f>
        <v>4838.6099999999969</v>
      </c>
      <c r="AD336" s="899">
        <f>IF(BILANCIO!AT$64=0,"",BILANCIO!AT32)</f>
        <v>17167.149999999998</v>
      </c>
      <c r="AE336" s="899">
        <f>IF(BILANCIO!AU$64=0,"",BILANCIO!AU32)</f>
        <v>2534.41</v>
      </c>
      <c r="AF336" s="899">
        <f>IF(BILANCIO!AV$64=0,"",BILANCIO!AV32)</f>
        <v>3121.67</v>
      </c>
      <c r="AG336" s="899">
        <f>IF(BILANCIO!AW$64=0,"",BILANCIO!AW32)</f>
        <v>20882.830000000002</v>
      </c>
      <c r="AH336" s="899">
        <f>IF(BILANCIO!AX$64=0,"",BILANCIO!AX32)</f>
        <v>20604.54</v>
      </c>
      <c r="AI336" s="899">
        <f>IF(BILANCIO!AY$64=0,"",BILANCIO!AY32)</f>
        <v>20634.57</v>
      </c>
      <c r="AJ336" s="899">
        <f>IF(BILANCIO!AZ$64=0,"",BILANCIO!AZ32)</f>
        <v>20065.32</v>
      </c>
      <c r="AK336" s="899">
        <f>IF(BILANCIO!BA$64=0,"",BILANCIO!BA32)</f>
        <v>20213.27</v>
      </c>
      <c r="AL336" s="899">
        <f>IF(BILANCIO!BB$64=0,"",BILANCIO!BB32)</f>
        <v>1128.0699999999997</v>
      </c>
      <c r="AM336" s="899">
        <f>IF(BILANCIO!BC$64=0,"",BILANCIO!BC32)</f>
        <v>1094.2699999999995</v>
      </c>
      <c r="AN336" s="899">
        <f>IF(BILANCIO!BD$64=0,"",BILANCIO!BD32)</f>
        <v>1161.3299999999995</v>
      </c>
      <c r="AO336" s="899">
        <f>IF(BILANCIO!BE$64=0,"",BILANCIO!BE32)</f>
        <v>3883.4299999999994</v>
      </c>
      <c r="AP336" s="899">
        <f>IF(BILANCIO!BF$64=0,"",BILANCIO!BF32)</f>
        <v>3226.3999999999996</v>
      </c>
      <c r="AQ336" s="899">
        <f>IF(BILANCIO!BG$64=0,"",BILANCIO!BG32)</f>
        <v>3271.6299999999997</v>
      </c>
      <c r="AR336" s="899">
        <f>IF(BILANCIO!BH$64=0,"",BILANCIO!BH32)</f>
        <v>3117.9299999999989</v>
      </c>
      <c r="AS336" s="899">
        <f>IF(BILANCIO!BI$64=0,"",BILANCIO!BI32)</f>
        <v>3071.7999999999984</v>
      </c>
      <c r="AT336" s="899">
        <f>IF(BILANCIO!BJ$64=0,"",BILANCIO!BJ32)</f>
        <v>2873.8999999999987</v>
      </c>
      <c r="AU336" s="899">
        <f>IF(BILANCIO!BK$64=0,"",BILANCIO!BK32)</f>
        <v>2571.9299999999985</v>
      </c>
      <c r="AV336" s="899">
        <f>IF(BILANCIO!BL$64=0,"",BILANCIO!BL32)</f>
        <v>2751.3699999999985</v>
      </c>
      <c r="AW336" s="899">
        <f>IF(BILANCIO!BM$64=0,"",BILANCIO!BM32)</f>
        <v>2194.3199999999993</v>
      </c>
      <c r="AX336" s="899">
        <f>IF(BILANCIO!BN$64=0,"",BILANCIO!BN32)</f>
        <v>1700.2799999999997</v>
      </c>
      <c r="AY336" s="899">
        <f>IF(BILANCIO!BO$64=0,"",BILANCIO!BO32)</f>
        <v>1654.12</v>
      </c>
      <c r="AZ336" s="899">
        <f>IF(BILANCIO!BP$64=0,"",BILANCIO!BP32)</f>
        <v>1489.0699999999997</v>
      </c>
      <c r="BA336" s="899">
        <f>IF(BILANCIO!BQ$64=0,"",BILANCIO!BQ32)</f>
        <v>3214.4500000000003</v>
      </c>
      <c r="BB336" s="899">
        <f>IF(BILANCIO!BR$64=0,"",BILANCIO!BR32)</f>
        <v>2849.4200000000005</v>
      </c>
      <c r="BC336" s="899">
        <f>IF(BILANCIO!BS$64=0,"",BILANCIO!BS32)</f>
        <v>2754.95</v>
      </c>
      <c r="BD336" s="899">
        <f>IF(BILANCIO!BT$64=0,"",BILANCIO!BT32)</f>
        <v>5906.15</v>
      </c>
      <c r="BE336" s="899">
        <f>IF(BILANCIO!BU$64=0,"",BILANCIO!BU32)</f>
        <v>5970.15</v>
      </c>
      <c r="BF336" s="899">
        <f>IF(BILANCIO!BV$64=0,"",BILANCIO!BV32)</f>
        <v>5908.9</v>
      </c>
      <c r="BG336" s="899">
        <f>IF(BILANCIO!BW$64=0,"",BILANCIO!BW32)</f>
        <v>5520.5599999999995</v>
      </c>
      <c r="BH336" s="899">
        <f>IF(BILANCIO!BX$64=0,"",BILANCIO!BX32)</f>
        <v>5590.37</v>
      </c>
      <c r="BI336" s="899">
        <f>IF(BILANCIO!BY$64=0,"",BILANCIO!BY32)</f>
        <v>5403.21</v>
      </c>
      <c r="BJ336" s="899">
        <f>IF(BILANCIO!BZ$64=0,"",BILANCIO!BZ32)</f>
        <v>5004.3500000000004</v>
      </c>
      <c r="BK336" s="899">
        <f>IF(BILANCIO!CA$64=0,"",BILANCIO!CA32)</f>
        <v>8062.55</v>
      </c>
      <c r="BL336" s="899">
        <f>IF(BILANCIO!CB$64=0,"",BILANCIO!CB32)</f>
        <v>6638.329999999999</v>
      </c>
      <c r="BM336" s="899">
        <f>IF(BILANCIO!CC$64=0,"",BILANCIO!CC32)</f>
        <v>8487.159999999998</v>
      </c>
      <c r="BN336" s="899">
        <f>IF(BILANCIO!CD$64=0,"",BILANCIO!CD32)</f>
        <v>8547.0499999999975</v>
      </c>
      <c r="BO336" s="899">
        <f>IF(BILANCIO!CE$64=0,"",BILANCIO!CE32)</f>
        <v>8673.3199999999979</v>
      </c>
      <c r="BP336" s="899">
        <f>IF(BILANCIO!CF$64=0,"",BILANCIO!CF32)</f>
        <v>11338.679999999997</v>
      </c>
      <c r="BQ336" s="899">
        <f>IF(BILANCIO!CG$64=0,"",BILANCIO!CG32)</f>
        <v>11272.169999999996</v>
      </c>
      <c r="BR336" s="899">
        <f>IF(BILANCIO!CH$64=0,"",BILANCIO!CH32)</f>
        <v>11159.409999999996</v>
      </c>
      <c r="BS336" s="899">
        <f>IF(BILANCIO!CI$64=0,"",BILANCIO!CI32)</f>
        <v>11206.049999999996</v>
      </c>
      <c r="BT336" s="899">
        <f>IF(BILANCIO!CJ$64=0,"",BILANCIO!CJ32)</f>
        <v>11116.089999999995</v>
      </c>
      <c r="BU336" s="899">
        <f>IF(BILANCIO!CK$64=0,"",BILANCIO!CK32)</f>
        <v>10905.101999999995</v>
      </c>
      <c r="BV336" s="899">
        <f>IF(BILANCIO!CL$64=0,"",BILANCIO!CL32)</f>
        <v>10226.301999999994</v>
      </c>
      <c r="BW336" s="899">
        <f>IF(BILANCIO!CM$64=0,"",BILANCIO!CM32)</f>
        <v>10230.011999999995</v>
      </c>
      <c r="BX336" s="899">
        <f>IF(BILANCIO!CN$64=0,"",BILANCIO!CN32)</f>
        <v>10230.741999999995</v>
      </c>
      <c r="BY336" s="899">
        <f>IF(BILANCIO!CO$64=0,"",BILANCIO!CO32)</f>
        <v>11614.741999999995</v>
      </c>
      <c r="BZ336" s="899">
        <f>IF(BILANCIO!CP$64=0,"",BILANCIO!CP32)</f>
        <v>11338.621999999994</v>
      </c>
      <c r="CA336" s="899">
        <f>IF(BILANCIO!CQ$64=0,"",BILANCIO!CQ32)</f>
        <v>11429.191999999994</v>
      </c>
      <c r="CB336" s="899">
        <f>IF(BILANCIO!CR$64=0,"",BILANCIO!CR32)</f>
        <v>11259.723999999995</v>
      </c>
      <c r="CC336" s="899">
        <f>IF(BILANCIO!CS$64=0,"",BILANCIO!CS32)</f>
        <v>13913.504718132554</v>
      </c>
      <c r="CD336" s="899" t="str">
        <f>IF(BILANCIO!CT$64=0,"",BILANCIO!CT32)</f>
        <v/>
      </c>
      <c r="CE336" s="899" t="str">
        <f>IF(BILANCIO!CU$64=0,"",BILANCIO!CU32)</f>
        <v/>
      </c>
      <c r="CF336" s="899" t="str">
        <f>IF(BILANCIO!CV$64=0,"",BILANCIO!CV32)</f>
        <v/>
      </c>
      <c r="CG336" s="899" t="str">
        <f>IF(BILANCIO!CW$64=0,"",BILANCIO!CW32)</f>
        <v/>
      </c>
      <c r="CH336" s="899" t="str">
        <f>IF(BILANCIO!CX$64=0,"",BILANCIO!CX32)</f>
        <v/>
      </c>
      <c r="CI336" s="899" t="str">
        <f>IF(BILANCIO!CY$64=0,"",BILANCIO!CY32)</f>
        <v/>
      </c>
      <c r="CJ336" s="899" t="str">
        <f>IF(BILANCIO!CZ$64=0,"",BILANCIO!CZ32)</f>
        <v/>
      </c>
      <c r="CK336" s="899" t="str">
        <f>IF(BILANCIO!DA$64=0,"",BILANCIO!DA32)</f>
        <v/>
      </c>
      <c r="CL336" s="899" t="str">
        <f>IF(BILANCIO!DB$64=0,"",BILANCIO!DB32)</f>
        <v/>
      </c>
      <c r="CM336" s="899" t="str">
        <f>IF(BILANCIO!DC$64=0,"",BILANCIO!DC32)</f>
        <v/>
      </c>
      <c r="CN336" s="899" t="str">
        <f>IF(BILANCIO!DD$64=0,"",BILANCIO!DD32)</f>
        <v/>
      </c>
      <c r="CO336" s="899" t="str">
        <f>IF(BILANCIO!DE$64=0,"",BILANCIO!DE32)</f>
        <v/>
      </c>
      <c r="CP336" s="899" t="str">
        <f>IF(BILANCIO!DF$64=0,"",BILANCIO!DF32)</f>
        <v/>
      </c>
      <c r="CQ336" s="899" t="str">
        <f>IF(BILANCIO!DG$64=0,"",BILANCIO!DG32)</f>
        <v/>
      </c>
      <c r="CR336" s="899" t="str">
        <f>IF(BILANCIO!DH$64=0,"",BILANCIO!DH32)</f>
        <v/>
      </c>
      <c r="CS336" s="899" t="str">
        <f>IF(BILANCIO!DI$64=0,"",BILANCIO!DI32)</f>
        <v/>
      </c>
      <c r="CT336" s="899" t="str">
        <f>IF(BILANCIO!DJ$64=0,"",BILANCIO!DJ32)</f>
        <v/>
      </c>
      <c r="CU336" s="899" t="str">
        <f>IF(BILANCIO!DK$64=0,"",BILANCIO!DK32)</f>
        <v/>
      </c>
      <c r="CV336" s="899" t="str">
        <f>IF(BILANCIO!DL$64=0,"",BILANCIO!DL32)</f>
        <v/>
      </c>
      <c r="CW336" s="899" t="str">
        <f>IF(BILANCIO!DM$64=0,"",BILANCIO!DM32)</f>
        <v/>
      </c>
      <c r="CX336" s="899" t="str">
        <f>IF(BILANCIO!DN$64=0,"",BILANCIO!DN32)</f>
        <v/>
      </c>
      <c r="CY336" s="899" t="str">
        <f>IF(BILANCIO!DO$64=0,"",BILANCIO!DO32)</f>
        <v/>
      </c>
      <c r="CZ336" s="899" t="str">
        <f>IF(BILANCIO!DP$64=0,"",BILANCIO!DP32)</f>
        <v/>
      </c>
      <c r="DA336" s="899" t="str">
        <f>IF(BILANCIO!DQ$64=0,"",BILANCIO!DQ32)</f>
        <v/>
      </c>
      <c r="DB336" s="899" t="str">
        <f>IF(BILANCIO!DR$64=0,"",BILANCIO!DR32)</f>
        <v/>
      </c>
      <c r="DC336" s="899" t="str">
        <f>IF(BILANCIO!DS$64=0,"",BILANCIO!DS32)</f>
        <v/>
      </c>
      <c r="DD336" s="899" t="str">
        <f>IF(BILANCIO!DT$64=0,"",BILANCIO!DT32)</f>
        <v/>
      </c>
      <c r="DE336" s="899" t="str">
        <f>IF(BILANCIO!DU$64=0,"",BILANCIO!DU32)</f>
        <v/>
      </c>
      <c r="DF336" s="899" t="str">
        <f>IF(BILANCIO!DV$64=0,"",BILANCIO!DV32)</f>
        <v/>
      </c>
      <c r="DG336" s="899" t="str">
        <f>IF(BILANCIO!DW$64=0,"",BILANCIO!DW32)</f>
        <v/>
      </c>
      <c r="DH336" s="899" t="str">
        <f>IF(BILANCIO!DX$64=0,"",BILANCIO!DX32)</f>
        <v/>
      </c>
      <c r="DI336" s="899" t="str">
        <f>IF(BILANCIO!DY$64=0,"",BILANCIO!DY32)</f>
        <v/>
      </c>
      <c r="DJ336" s="899" t="str">
        <f>IF(BILANCIO!DZ$64=0,"",BILANCIO!DZ32)</f>
        <v/>
      </c>
      <c r="DK336" s="899" t="str">
        <f>IF(BILANCIO!EA$64=0,"",BILANCIO!EA32)</f>
        <v/>
      </c>
      <c r="DL336" s="899" t="str">
        <f>IF(BILANCIO!EB$64=0,"",BILANCIO!EB32)</f>
        <v/>
      </c>
      <c r="DM336" s="899" t="str">
        <f>IF(BILANCIO!EC$64=0,"",BILANCIO!EC32)</f>
        <v/>
      </c>
      <c r="DN336" s="899" t="str">
        <f>IF(BILANCIO!ED$64=0,"",BILANCIO!ED32)</f>
        <v/>
      </c>
      <c r="DO336" s="899" t="str">
        <f>IF(BILANCIO!EE$64=0,"",BILANCIO!EE32)</f>
        <v/>
      </c>
      <c r="DP336" s="899" t="str">
        <f>IF(BILANCIO!EF$64=0,"",BILANCIO!EF32)</f>
        <v/>
      </c>
      <c r="DQ336" s="899" t="str">
        <f>IF(BILANCIO!EG$64=0,"",BILANCIO!EG32)</f>
        <v/>
      </c>
      <c r="DR336" s="899" t="str">
        <f>IF(BILANCIO!EH$64=0,"",BILANCIO!EH32)</f>
        <v/>
      </c>
      <c r="DS336" s="899" t="str">
        <f>IF(BILANCIO!EI$64=0,"",BILANCIO!EI32)</f>
        <v/>
      </c>
      <c r="DT336" s="899" t="str">
        <f>IF(BILANCIO!EJ$64=0,"",BILANCIO!EJ32)</f>
        <v/>
      </c>
      <c r="DU336" s="899" t="str">
        <f>IF(BILANCIO!EK$64=0,"",BILANCIO!EK32)</f>
        <v/>
      </c>
      <c r="DV336" s="899" t="str">
        <f>IF(BILANCIO!EL$64=0,"",BILANCIO!EL32)</f>
        <v/>
      </c>
      <c r="DW336" s="899" t="str">
        <f>IF(BILANCIO!EM$64=0,"",BILANCIO!EM32)</f>
        <v/>
      </c>
      <c r="DX336" s="899" t="str">
        <f>IF(BILANCIO!EN$64=0,"",BILANCIO!EN32)</f>
        <v/>
      </c>
      <c r="DY336" s="899" t="str">
        <f>IF(BILANCIO!EO$64=0,"",BILANCIO!EO32)</f>
        <v/>
      </c>
      <c r="DZ336" s="899" t="str">
        <f>IF(BILANCIO!EP$64=0,"",BILANCIO!EP32)</f>
        <v/>
      </c>
      <c r="EA336" s="899" t="str">
        <f>IF(BILANCIO!EQ$64=0,"",BILANCIO!EQ32)</f>
        <v/>
      </c>
      <c r="EB336" s="899" t="str">
        <f>IF(BILANCIO!ER$64=0,"",BILANCIO!ER32)</f>
        <v/>
      </c>
      <c r="EC336" s="899" t="str">
        <f>IF(BILANCIO!ES$64=0,"",BILANCIO!ES32)</f>
        <v/>
      </c>
      <c r="ED336" s="899" t="str">
        <f>IF(BILANCIO!ET$64=0,"",BILANCIO!ET32)</f>
        <v/>
      </c>
      <c r="EE336" s="899" t="str">
        <f>IF(BILANCIO!EU$64=0,"",BILANCIO!EU32)</f>
        <v/>
      </c>
      <c r="EF336" s="899" t="str">
        <f>IF(BILANCIO!EV$64=0,"",BILANCIO!EV32)</f>
        <v/>
      </c>
      <c r="EG336" s="899" t="str">
        <f>IF(BILANCIO!EW$64=0,"",BILANCIO!EW32)</f>
        <v/>
      </c>
      <c r="EH336" s="899" t="str">
        <f>IF(BILANCIO!EX$64=0,"",BILANCIO!EX32)</f>
        <v/>
      </c>
      <c r="EI336" s="899" t="str">
        <f>IF(BILANCIO!EY$64=0,"",BILANCIO!EY32)</f>
        <v/>
      </c>
      <c r="EJ336" s="899" t="str">
        <f>IF(BILANCIO!EZ$64=0,"",BILANCIO!EZ32)</f>
        <v/>
      </c>
      <c r="EK336" s="899" t="str">
        <f>IF(BILANCIO!FA$64=0,"",BILANCIO!FA32)</f>
        <v/>
      </c>
      <c r="EL336" s="899" t="str">
        <f>IF(BILANCIO!FB$64=0,"",BILANCIO!FB32)</f>
        <v/>
      </c>
      <c r="EM336" s="899" t="str">
        <f>IF(BILANCIO!FC$64=0,"",BILANCIO!FC32)</f>
        <v/>
      </c>
      <c r="EN336" s="899" t="str">
        <f>IF(BILANCIO!FD$64=0,"",BILANCIO!FD32)</f>
        <v/>
      </c>
      <c r="EO336" s="899" t="str">
        <f>IF(BILANCIO!FE$64=0,"",BILANCIO!FE32)</f>
        <v/>
      </c>
      <c r="EP336" s="899" t="str">
        <f>IF(BILANCIO!FF$64=0,"",BILANCIO!FF32)</f>
        <v/>
      </c>
      <c r="EQ336" s="899" t="str">
        <f>IF(BILANCIO!FG$64=0,"",BILANCIO!FG32)</f>
        <v/>
      </c>
      <c r="ER336" s="899" t="str">
        <f>IF(BILANCIO!FH$64=0,"",BILANCIO!FH32)</f>
        <v/>
      </c>
      <c r="ES336" s="899" t="str">
        <f>IF(BILANCIO!FI$64=0,"",BILANCIO!FI32)</f>
        <v/>
      </c>
      <c r="ET336" s="899" t="str">
        <f>IF(BILANCIO!FJ$64=0,"",BILANCIO!FJ32)</f>
        <v/>
      </c>
      <c r="EU336" s="899" t="str">
        <f>IF(BILANCIO!FK$64=0,"",BILANCIO!FK32)</f>
        <v/>
      </c>
      <c r="EV336" s="899" t="str">
        <f>IF(BILANCIO!FL$64=0,"",BILANCIO!FL32)</f>
        <v/>
      </c>
      <c r="EW336" s="899" t="str">
        <f>IF(BILANCIO!FM$64=0,"",BILANCIO!FM32)</f>
        <v/>
      </c>
      <c r="EX336" s="899" t="str">
        <f>IF(BILANCIO!FN$64=0,"",BILANCIO!FN32)</f>
        <v/>
      </c>
      <c r="EY336" s="899" t="str">
        <f>IF(BILANCIO!FO$64=0,"",BILANCIO!FO32)</f>
        <v/>
      </c>
      <c r="EZ336" s="899" t="str">
        <f>IF(BILANCIO!FP$64=0,"",BILANCIO!FP32)</f>
        <v/>
      </c>
      <c r="FA336" s="899" t="str">
        <f>IF(BILANCIO!FQ$64=0,"",BILANCIO!FQ32)</f>
        <v/>
      </c>
      <c r="FB336" s="899" t="str">
        <f>IF(BILANCIO!FR$64=0,"",BILANCIO!FR32)</f>
        <v/>
      </c>
      <c r="FC336" s="899" t="str">
        <f>IF(BILANCIO!FS$64=0,"",BILANCIO!FS32)</f>
        <v/>
      </c>
      <c r="FD336" s="899" t="str">
        <f>IF(BILANCIO!FT$64=0,"",BILANCIO!FT32)</f>
        <v/>
      </c>
      <c r="FE336" s="899" t="str">
        <f>IF(BILANCIO!FU$64=0,"",BILANCIO!FU32)</f>
        <v/>
      </c>
      <c r="FF336" s="899" t="str">
        <f>IF(BILANCIO!FV$64=0,"",BILANCIO!FV32)</f>
        <v/>
      </c>
      <c r="FG336" s="899" t="str">
        <f>IF(BILANCIO!FW$64=0,"",BILANCIO!FW32)</f>
        <v/>
      </c>
      <c r="FH336" s="899" t="str">
        <f>IF(BILANCIO!FX$64=0,"",BILANCIO!FX32)</f>
        <v/>
      </c>
      <c r="FI336" s="899" t="str">
        <f>IF(BILANCIO!FY$64=0,"",BILANCIO!FY32)</f>
        <v/>
      </c>
      <c r="FJ336" s="899" t="str">
        <f>IF(BILANCIO!FZ$64=0,"",BILANCIO!FZ32)</f>
        <v/>
      </c>
      <c r="FK336" s="899" t="str">
        <f>IF(BILANCIO!GA$64=0,"",BILANCIO!GA32)</f>
        <v/>
      </c>
      <c r="FL336" s="899" t="str">
        <f>IF(BILANCIO!GB$64=0,"",BILANCIO!GB32)</f>
        <v/>
      </c>
      <c r="FM336" s="899" t="str">
        <f>IF(BILANCIO!GC$64=0,"",BILANCIO!GC32)</f>
        <v/>
      </c>
      <c r="FN336" s="899" t="str">
        <f>IF(BILANCIO!GD$64=0,"",BILANCIO!GD32)</f>
        <v/>
      </c>
      <c r="FO336" s="899" t="str">
        <f>IF(BILANCIO!GE$64=0,"",BILANCIO!GE32)</f>
        <v/>
      </c>
      <c r="FP336" s="899" t="str">
        <f>IF(BILANCIO!GF$64=0,"",BILANCIO!GF32)</f>
        <v/>
      </c>
      <c r="FQ336" s="899" t="str">
        <f>IF(BILANCIO!GG$64=0,"",BILANCIO!GG32)</f>
        <v/>
      </c>
      <c r="FR336" s="899" t="str">
        <f>IF(BILANCIO!GH$64=0,"",BILANCIO!GH32)</f>
        <v/>
      </c>
      <c r="FS336" s="899" t="str">
        <f>IF(BILANCIO!GI$64=0,"",BILANCIO!GI32)</f>
        <v/>
      </c>
      <c r="FT336" s="899" t="str">
        <f>IF(BILANCIO!GJ$64=0,"",BILANCIO!GJ32)</f>
        <v/>
      </c>
      <c r="FU336" s="899" t="str">
        <f>IF(BILANCIO!GK$64=0,"",BILANCIO!GK32)</f>
        <v/>
      </c>
      <c r="FV336" s="899" t="str">
        <f>IF(BILANCIO!GL$64=0,"",BILANCIO!GL32)</f>
        <v/>
      </c>
      <c r="FW336" s="899" t="str">
        <f>IF(BILANCIO!GM$64=0,"",BILANCIO!GM32)</f>
        <v/>
      </c>
      <c r="FX336" s="899" t="str">
        <f>IF(BILANCIO!GN$64=0,"",BILANCIO!GN32)</f>
        <v/>
      </c>
      <c r="FY336" s="899" t="str">
        <f>IF(BILANCIO!GO$64=0,"",BILANCIO!GO32)</f>
        <v/>
      </c>
      <c r="FZ336" s="899" t="str">
        <f>IF(BILANCIO!GP$64=0,"",BILANCIO!GP32)</f>
        <v/>
      </c>
      <c r="GA336" s="899" t="str">
        <f>IF(BILANCIO!GQ$64=0,"",BILANCIO!GQ32)</f>
        <v/>
      </c>
      <c r="GB336" s="899" t="str">
        <f>IF(BILANCIO!GR$64=0,"",BILANCIO!GR32)</f>
        <v/>
      </c>
      <c r="GC336" s="899" t="str">
        <f>IF(BILANCIO!GS$64=0,"",BILANCIO!GS32)</f>
        <v/>
      </c>
      <c r="GD336" s="899" t="str">
        <f>IF(BILANCIO!GT$64=0,"",BILANCIO!GT32)</f>
        <v/>
      </c>
      <c r="GE336" s="899" t="str">
        <f>IF(BILANCIO!GU$64=0,"",BILANCIO!GU32)</f>
        <v/>
      </c>
      <c r="GF336" s="899" t="str">
        <f>IF(BILANCIO!GV$64=0,"",BILANCIO!GV32)</f>
        <v/>
      </c>
      <c r="GG336" s="899" t="str">
        <f>IF(BILANCIO!GW$64=0,"",BILANCIO!GW32)</f>
        <v/>
      </c>
      <c r="GH336" s="899" t="str">
        <f>IF(BILANCIO!GX$64=0,"",BILANCIO!GX32)</f>
        <v/>
      </c>
      <c r="GI336" s="899" t="str">
        <f>IF(BILANCIO!GY$64=0,"",BILANCIO!GY32)</f>
        <v/>
      </c>
      <c r="GJ336" s="899" t="str">
        <f>IF(BILANCIO!GZ$64=0,"",BILANCIO!GZ32)</f>
        <v/>
      </c>
      <c r="GK336" s="899" t="str">
        <f>IF(BILANCIO!HA$64=0,"",BILANCIO!HA32)</f>
        <v/>
      </c>
      <c r="GL336" s="899" t="str">
        <f>IF(BILANCIO!HB$64=0,"",BILANCIO!HB32)</f>
        <v/>
      </c>
      <c r="GM336" s="899" t="str">
        <f>IF(BILANCIO!HC$64=0,"",BILANCIO!HC32)</f>
        <v/>
      </c>
      <c r="GN336" s="899" t="str">
        <f>IF(BILANCIO!HD$64=0,"",BILANCIO!HD32)</f>
        <v/>
      </c>
      <c r="GO336" s="899" t="str">
        <f>IF(BILANCIO!HE$64=0,"",BILANCIO!HE32)</f>
        <v/>
      </c>
      <c r="GP336" s="899" t="str">
        <f>IF(BILANCIO!HF$64=0,"",BILANCIO!HF32)</f>
        <v/>
      </c>
      <c r="GQ336" s="899" t="str">
        <f>IF(BILANCIO!HG$64=0,"",BILANCIO!HG32)</f>
        <v/>
      </c>
      <c r="GR336" s="899" t="str">
        <f>IF(BILANCIO!HH$64=0,"",BILANCIO!HH32)</f>
        <v/>
      </c>
      <c r="GS336" s="899" t="str">
        <f>IF(BILANCIO!HI$64=0,"",BILANCIO!HI32)</f>
        <v/>
      </c>
      <c r="GT336" s="899" t="str">
        <f>IF(BILANCIO!HJ$64=0,"",BILANCIO!HJ32)</f>
        <v/>
      </c>
      <c r="GU336" s="899" t="str">
        <f>IF(BILANCIO!HK$64=0,"",BILANCIO!HK32)</f>
        <v/>
      </c>
      <c r="GV336" s="899" t="str">
        <f>IF(BILANCIO!HL$64=0,"",BILANCIO!HL32)</f>
        <v/>
      </c>
      <c r="GW336" s="899" t="str">
        <f>IF(BILANCIO!HM$64=0,"",BILANCIO!HM32)</f>
        <v/>
      </c>
      <c r="GX336" s="899" t="str">
        <f>IF(BILANCIO!HN$64=0,"",BILANCIO!HN32)</f>
        <v/>
      </c>
      <c r="GY336" s="899" t="str">
        <f>IF(BILANCIO!HO$64=0,"",BILANCIO!HO32)</f>
        <v/>
      </c>
      <c r="GZ336" s="899" t="str">
        <f>IF(BILANCIO!HP$64=0,"",BILANCIO!HP32)</f>
        <v/>
      </c>
      <c r="HA336" s="899" t="str">
        <f>IF(BILANCIO!HQ$64=0,"",BILANCIO!HQ32)</f>
        <v/>
      </c>
      <c r="HB336" s="899" t="str">
        <f>IF(BILANCIO!HR$64=0,"",BILANCIO!HR32)</f>
        <v/>
      </c>
      <c r="HC336" s="899" t="str">
        <f>IF(BILANCIO!HS$64=0,"",BILANCIO!HS32)</f>
        <v/>
      </c>
      <c r="HD336" s="899" t="str">
        <f>IF(BILANCIO!HT$64=0,"",BILANCIO!HT32)</f>
        <v/>
      </c>
      <c r="HE336" s="899" t="str">
        <f>IF(BILANCIO!HU$64=0,"",BILANCIO!HU32)</f>
        <v/>
      </c>
      <c r="HF336" s="899" t="str">
        <f>IF(BILANCIO!HV$64=0,"",BILANCIO!HV32)</f>
        <v/>
      </c>
      <c r="HG336" s="899" t="str">
        <f>IF(BILANCIO!HW$64=0,"",BILANCIO!HW32)</f>
        <v/>
      </c>
      <c r="HH336" s="899" t="str">
        <f>IF(BILANCIO!HX$64=0,"",BILANCIO!HX32)</f>
        <v/>
      </c>
      <c r="HI336" s="899" t="str">
        <f>IF(BILANCIO!HY$64=0,"",BILANCIO!HY32)</f>
        <v/>
      </c>
      <c r="HJ336" s="899" t="str">
        <f>IF(BILANCIO!HZ$64=0,"",BILANCIO!HZ32)</f>
        <v/>
      </c>
      <c r="HK336" s="899" t="str">
        <f>IF(BILANCIO!IA$64=0,"",BILANCIO!IA32)</f>
        <v/>
      </c>
      <c r="HL336" s="899" t="str">
        <f>IF(BILANCIO!IB$64=0,"",BILANCIO!IB32)</f>
        <v/>
      </c>
      <c r="HM336" s="899" t="str">
        <f>IF(BILANCIO!IC$64=0,"",BILANCIO!IC32)</f>
        <v/>
      </c>
      <c r="HN336" s="899" t="str">
        <f>IF(BILANCIO!ID$64=0,"",BILANCIO!ID32)</f>
        <v/>
      </c>
      <c r="HO336" s="899" t="str">
        <f>IF(BILANCIO!IE$64=0,"",BILANCIO!IE32)</f>
        <v/>
      </c>
      <c r="HP336" s="899" t="str">
        <f>IF(BILANCIO!IF$64=0,"",BILANCIO!IF32)</f>
        <v/>
      </c>
      <c r="HQ336" s="899" t="str">
        <f>IF(BILANCIO!IG$64=0,"",BILANCIO!IG32)</f>
        <v/>
      </c>
      <c r="HR336" s="899" t="str">
        <f>IF(BILANCIO!IH$64=0,"",BILANCIO!IH32)</f>
        <v/>
      </c>
      <c r="HS336" s="899" t="str">
        <f>IF(BILANCIO!II$64=0,"",BILANCIO!II32)</f>
        <v/>
      </c>
      <c r="HT336" s="899" t="str">
        <f>IF(BILANCIO!IJ$64=0,"",BILANCIO!IJ32)</f>
        <v/>
      </c>
      <c r="HU336" s="899" t="str">
        <f>IF(BILANCIO!IK$64=0,"",BILANCIO!IK32)</f>
        <v/>
      </c>
      <c r="HV336" s="899" t="str">
        <f>IF(BILANCIO!IL$64=0,"",BILANCIO!IL32)</f>
        <v/>
      </c>
      <c r="HW336" s="899" t="str">
        <f>IF(BILANCIO!IM$64=0,"",BILANCIO!IM32)</f>
        <v/>
      </c>
      <c r="HX336" s="899" t="str">
        <f>IF(BILANCIO!IN$64=0,"",BILANCIO!IN32)</f>
        <v/>
      </c>
      <c r="HY336" s="899" t="str">
        <f>IF(BILANCIO!IO$64=0,"",BILANCIO!IO32)</f>
        <v/>
      </c>
      <c r="HZ336" s="899" t="str">
        <f>IF(BILANCIO!IP$64=0,"",BILANCIO!IP32)</f>
        <v/>
      </c>
      <c r="IA336" s="899" t="str">
        <f>IF(BILANCIO!IQ$64=0,"",BILANCIO!IQ32)</f>
        <v/>
      </c>
      <c r="IB336" s="899" t="str">
        <f>IF(BILANCIO!IR$64=0,"",BILANCIO!IR32)</f>
        <v/>
      </c>
      <c r="IC336" s="899" t="str">
        <f>IF(BILANCIO!IS$64=0,"",BILANCIO!IS32)</f>
        <v/>
      </c>
      <c r="ID336" s="899" t="str">
        <f>IF(BILANCIO!IT$64=0,"",BILANCIO!IT32)</f>
        <v/>
      </c>
      <c r="IE336" s="899" t="str">
        <f>IF(BILANCIO!IU$64=0,"",BILANCIO!IU32)</f>
        <v/>
      </c>
      <c r="IF336" s="899" t="str">
        <f>IF(BILANCIO!IV$64=0,"",BILANCIO!IV32)</f>
        <v/>
      </c>
      <c r="IG336" s="899" t="str">
        <f>IF(BILANCIO!IW$64=0,"",BILANCIO!IW32)</f>
        <v/>
      </c>
      <c r="IH336" s="899" t="str">
        <f>IF(BILANCIO!IX$64=0,"",BILANCIO!IX32)</f>
        <v/>
      </c>
      <c r="II336" s="899" t="str">
        <f>IF(BILANCIO!IY$64=0,"",BILANCIO!IY32)</f>
        <v/>
      </c>
      <c r="IJ336" s="899" t="str">
        <f>IF(BILANCIO!IZ$64=0,"",BILANCIO!IZ32)</f>
        <v/>
      </c>
      <c r="IK336" s="899" t="str">
        <f>IF(BILANCIO!JA$64=0,"",BILANCIO!JA32)</f>
        <v/>
      </c>
      <c r="IL336" s="899" t="str">
        <f>IF(BILANCIO!JB$64=0,"",BILANCIO!JB32)</f>
        <v/>
      </c>
      <c r="IM336" s="899" t="str">
        <f>IF(BILANCIO!JC$64=0,"",BILANCIO!JC32)</f>
        <v/>
      </c>
      <c r="IN336" s="899" t="str">
        <f>IF(BILANCIO!JD$64=0,"",BILANCIO!JD32)</f>
        <v/>
      </c>
      <c r="IO336" s="899" t="str">
        <f>IF(BILANCIO!JE$64=0,"",BILANCIO!JE32)</f>
        <v/>
      </c>
      <c r="IP336" s="899" t="str">
        <f>IF(BILANCIO!JF$64=0,"",BILANCIO!JF32)</f>
        <v/>
      </c>
      <c r="IQ336" s="899" t="str">
        <f>IF(BILANCIO!JG$64=0,"",BILANCIO!JG32)</f>
        <v/>
      </c>
      <c r="IR336" s="899" t="str">
        <f>IF(BILANCIO!JH$64=0,"",BILANCIO!JH32)</f>
        <v/>
      </c>
      <c r="IS336" s="899" t="str">
        <f>IF(BILANCIO!JI$64=0,"",BILANCIO!JI32)</f>
        <v/>
      </c>
      <c r="IT336" s="899" t="str">
        <f>IF(BILANCIO!JJ$64=0,"",BILANCIO!JJ32)</f>
        <v/>
      </c>
      <c r="IU336" s="899" t="str">
        <f>IF(BILANCIO!JK$64=0,"",BILANCIO!JK32)</f>
        <v/>
      </c>
      <c r="IV336" s="899" t="str">
        <f>IF(BILANCIO!JL$64=0,"",BILANCIO!JL32)</f>
        <v/>
      </c>
      <c r="IW336" s="899" t="str">
        <f>IF(BILANCIO!JM$64=0,"",BILANCIO!JM32)</f>
        <v/>
      </c>
      <c r="IX336" s="899" t="str">
        <f>IF(BILANCIO!JN$64=0,"",BILANCIO!JN32)</f>
        <v/>
      </c>
      <c r="IY336" s="899" t="str">
        <f>IF(BILANCIO!JO$64=0,"",BILANCIO!JO32)</f>
        <v/>
      </c>
      <c r="IZ336" s="899" t="str">
        <f>IF(BILANCIO!JP$64=0,"",BILANCIO!JP32)</f>
        <v/>
      </c>
      <c r="JA336" s="899" t="str">
        <f>IF(BILANCIO!JQ$64=0,"",BILANCIO!JQ32)</f>
        <v/>
      </c>
      <c r="JB336" s="899" t="str">
        <f>IF(BILANCIO!JR$64=0,"",BILANCIO!JR32)</f>
        <v/>
      </c>
      <c r="JC336" s="899" t="str">
        <f>IF(BILANCIO!JS$64=0,"",BILANCIO!JS32)</f>
        <v/>
      </c>
      <c r="JD336" s="899" t="str">
        <f>IF(BILANCIO!JT$64=0,"",BILANCIO!JT32)</f>
        <v/>
      </c>
      <c r="JE336" s="899" t="str">
        <f>IF(BILANCIO!JU$64=0,"",BILANCIO!JU32)</f>
        <v/>
      </c>
      <c r="JF336" s="899" t="str">
        <f>IF(BILANCIO!JV$64=0,"",BILANCIO!JV32)</f>
        <v/>
      </c>
      <c r="JG336" s="899" t="str">
        <f>IF(BILANCIO!JW$64=0,"",BILANCIO!JW32)</f>
        <v/>
      </c>
      <c r="JH336" s="899" t="str">
        <f>IF(BILANCIO!JX$64=0,"",BILANCIO!JX32)</f>
        <v/>
      </c>
      <c r="JI336" s="899" t="str">
        <f>IF(BILANCIO!JY$64=0,"",BILANCIO!JY32)</f>
        <v/>
      </c>
      <c r="JJ336" s="899" t="str">
        <f>IF(BILANCIO!JZ$64=0,"",BILANCIO!JZ32)</f>
        <v/>
      </c>
      <c r="JK336" s="899" t="str">
        <f>IF(BILANCIO!KA$64=0,"",BILANCIO!KA32)</f>
        <v/>
      </c>
      <c r="JL336" s="899" t="str">
        <f>IF(BILANCIO!KB$64=0,"",BILANCIO!KB32)</f>
        <v/>
      </c>
      <c r="JM336" s="899" t="str">
        <f>IF(BILANCIO!KC$64=0,"",BILANCIO!KC32)</f>
        <v/>
      </c>
      <c r="JN336" s="899" t="str">
        <f>IF(BILANCIO!KD$64=0,"",BILANCIO!KD32)</f>
        <v/>
      </c>
      <c r="JO336" s="899" t="str">
        <f>IF(BILANCIO!KE$64=0,"",BILANCIO!KE32)</f>
        <v/>
      </c>
      <c r="JP336" s="899" t="str">
        <f>IF(BILANCIO!KF$64=0,"",BILANCIO!KF32)</f>
        <v/>
      </c>
      <c r="JQ336" s="899" t="str">
        <f>IF(BILANCIO!KG$64=0,"",BILANCIO!KG32)</f>
        <v/>
      </c>
      <c r="JR336" s="899" t="str">
        <f>IF(BILANCIO!KH$64=0,"",BILANCIO!KH32)</f>
        <v/>
      </c>
      <c r="JS336" s="899" t="str">
        <f>IF(BILANCIO!KI$64=0,"",BILANCIO!KI32)</f>
        <v/>
      </c>
      <c r="JT336" s="899" t="str">
        <f>IF(BILANCIO!KJ$64=0,"",BILANCIO!KJ32)</f>
        <v/>
      </c>
      <c r="JU336" s="899" t="str">
        <f>IF(BILANCIO!KK$64=0,"",BILANCIO!KK32)</f>
        <v/>
      </c>
      <c r="JV336" s="899" t="str">
        <f>IF(BILANCIO!KL$64=0,"",BILANCIO!KL32)</f>
        <v/>
      </c>
      <c r="JW336" s="899" t="str">
        <f>IF(BILANCIO!KM$64=0,"",BILANCIO!KM32)</f>
        <v/>
      </c>
      <c r="JX336" s="899" t="str">
        <f>IF(BILANCIO!KN$64=0,"",BILANCIO!KN32)</f>
        <v/>
      </c>
      <c r="JY336" s="899" t="str">
        <f>IF(BILANCIO!KO$64=0,"",BILANCIO!KO32)</f>
        <v/>
      </c>
      <c r="JZ336" s="899" t="str">
        <f>IF(BILANCIO!KP$64=0,"",BILANCIO!KP32)</f>
        <v/>
      </c>
      <c r="KA336" s="899" t="str">
        <f>IF(BILANCIO!KQ$64=0,"",BILANCIO!KQ32)</f>
        <v/>
      </c>
      <c r="KB336" s="899" t="str">
        <f>IF(BILANCIO!KR$64=0,"",BILANCIO!KR32)</f>
        <v/>
      </c>
      <c r="KC336" s="899" t="str">
        <f>IF(BILANCIO!KS$64=0,"",BILANCIO!KS32)</f>
        <v/>
      </c>
      <c r="KD336" s="899" t="str">
        <f>IF(BILANCIO!KT$64=0,"",BILANCIO!KT32)</f>
        <v/>
      </c>
      <c r="KE336" s="899" t="str">
        <f>IF(BILANCIO!KU$64=0,"",BILANCIO!KU32)</f>
        <v/>
      </c>
      <c r="KF336" s="899" t="str">
        <f>IF(BILANCIO!KV$64=0,"",BILANCIO!KV32)</f>
        <v/>
      </c>
      <c r="KG336" s="899" t="str">
        <f>IF(BILANCIO!KW$64=0,"",BILANCIO!KW32)</f>
        <v/>
      </c>
      <c r="KH336" s="899" t="str">
        <f>IF(BILANCIO!KX$64=0,"",BILANCIO!KX32)</f>
        <v/>
      </c>
      <c r="KI336" s="899" t="str">
        <f>IF(BILANCIO!KY$64=0,"",BILANCIO!KY32)</f>
        <v/>
      </c>
      <c r="KJ336" s="899" t="str">
        <f>IF(BILANCIO!KZ$64=0,"",BILANCIO!KZ32)</f>
        <v/>
      </c>
      <c r="KK336" s="899" t="str">
        <f>IF(BILANCIO!LA$64=0,"",BILANCIO!LA32)</f>
        <v/>
      </c>
      <c r="KL336" s="899" t="str">
        <f>IF(BILANCIO!LB$64=0,"",BILANCIO!LB32)</f>
        <v/>
      </c>
      <c r="KM336" s="899" t="str">
        <f>IF(BILANCIO!LC$64=0,"",BILANCIO!LC32)</f>
        <v/>
      </c>
      <c r="KN336" s="899" t="str">
        <f>IF(BILANCIO!LD$64=0,"",BILANCIO!LD32)</f>
        <v/>
      </c>
      <c r="KO336" s="899" t="str">
        <f>IF(BILANCIO!LE$64=0,"",BILANCIO!LE32)</f>
        <v/>
      </c>
      <c r="KP336" s="899" t="str">
        <f>IF(BILANCIO!LF$64=0,"",BILANCIO!LF32)</f>
        <v/>
      </c>
      <c r="KQ336" s="899" t="str">
        <f>IF(BILANCIO!LG$64=0,"",BILANCIO!LG32)</f>
        <v/>
      </c>
      <c r="KR336" s="899" t="str">
        <f>IF(BILANCIO!LH$64=0,"",BILANCIO!LH32)</f>
        <v/>
      </c>
      <c r="KS336" s="899" t="str">
        <f>IF(BILANCIO!LI$64=0,"",BILANCIO!LI32)</f>
        <v/>
      </c>
      <c r="KT336" s="899" t="str">
        <f>IF(BILANCIO!LJ$64=0,"",BILANCIO!LJ32)</f>
        <v/>
      </c>
      <c r="KU336" s="899" t="str">
        <f>IF(BILANCIO!LK$64=0,"",BILANCIO!LK32)</f>
        <v/>
      </c>
      <c r="KV336" s="899" t="str">
        <f>IF(BILANCIO!LL$64=0,"",BILANCIO!LL32)</f>
        <v/>
      </c>
      <c r="KW336" s="899" t="str">
        <f>IF(BILANCIO!LM$64=0,"",BILANCIO!LM32)</f>
        <v/>
      </c>
      <c r="KX336" s="899" t="str">
        <f>IF(BILANCIO!LN$64=0,"",BILANCIO!LN32)</f>
        <v/>
      </c>
      <c r="KY336" s="899" t="str">
        <f>IF(BILANCIO!LO$64=0,"",BILANCIO!LO32)</f>
        <v/>
      </c>
      <c r="KZ336" s="899" t="str">
        <f>IF(BILANCIO!LP$64=0,"",BILANCIO!LP32)</f>
        <v/>
      </c>
      <c r="LA336" s="899" t="str">
        <f>IF(BILANCIO!LQ$64=0,"",BILANCIO!LQ32)</f>
        <v/>
      </c>
      <c r="LB336" s="899" t="str">
        <f>IF(BILANCIO!LR$64=0,"",BILANCIO!LR32)</f>
        <v/>
      </c>
      <c r="LC336" s="899" t="str">
        <f>IF(BILANCIO!LS$64=0,"",BILANCIO!LS32)</f>
        <v/>
      </c>
      <c r="LD336" s="899" t="str">
        <f>IF(BILANCIO!LT$64=0,"",BILANCIO!LT32)</f>
        <v/>
      </c>
      <c r="LE336" s="899"/>
      <c r="LF336" s="899"/>
      <c r="LG336" s="899"/>
      <c r="LH336" s="899"/>
      <c r="LI336" s="899"/>
      <c r="LJ336" s="899"/>
      <c r="LK336" s="899"/>
      <c r="LL336" s="899"/>
      <c r="LM336" s="899"/>
      <c r="LN336" s="899"/>
      <c r="LO336" s="899"/>
      <c r="LP336" s="899"/>
      <c r="LQ336" s="899"/>
      <c r="LR336" s="899"/>
      <c r="LS336" s="899"/>
      <c r="LT336" s="899"/>
      <c r="LU336" s="899"/>
      <c r="LV336" s="899"/>
      <c r="LW336" s="899"/>
      <c r="LX336" s="899"/>
      <c r="LY336" s="899"/>
      <c r="LZ336" s="899"/>
      <c r="MA336" s="899"/>
      <c r="MB336" s="899"/>
      <c r="MC336" s="899"/>
      <c r="MD336" s="899"/>
      <c r="ME336" s="899"/>
      <c r="MF336" s="899"/>
      <c r="MG336" s="899"/>
      <c r="MH336" s="899"/>
      <c r="MI336" s="899"/>
      <c r="MJ336" s="899"/>
      <c r="MK336" s="899"/>
      <c r="ML336" s="899"/>
      <c r="MM336" s="899"/>
      <c r="MN336" s="899"/>
      <c r="MO336" s="899"/>
      <c r="MP336" s="899"/>
      <c r="MQ336" s="899"/>
      <c r="MR336" s="899"/>
      <c r="MS336" s="899"/>
      <c r="MT336" s="899"/>
      <c r="MU336" s="899"/>
      <c r="MV336" s="899"/>
      <c r="MW336" s="899"/>
      <c r="MX336" s="899"/>
      <c r="MY336" s="899"/>
      <c r="MZ336" s="899"/>
      <c r="NA336" s="899"/>
      <c r="NB336" s="899"/>
      <c r="NC336" s="899"/>
      <c r="ND336" s="899"/>
      <c r="NE336" s="899"/>
      <c r="NF336" s="899"/>
      <c r="NG336" s="899"/>
      <c r="NH336" s="899"/>
      <c r="NI336" s="899"/>
      <c r="NJ336" s="899"/>
      <c r="NK336" s="899"/>
      <c r="NL336" s="899"/>
      <c r="NM336" s="899"/>
      <c r="NN336" s="899"/>
      <c r="NO336" s="899"/>
      <c r="NP336" s="899"/>
      <c r="NQ336" s="899"/>
      <c r="NR336" s="899"/>
      <c r="NS336" s="899"/>
      <c r="NT336" s="899"/>
      <c r="NU336" s="899"/>
      <c r="NV336" s="899"/>
      <c r="NW336" s="899"/>
      <c r="NX336" s="899"/>
      <c r="NY336" s="899"/>
      <c r="NZ336" s="899"/>
      <c r="OA336" s="899"/>
      <c r="OB336" s="899"/>
      <c r="OC336" s="899"/>
      <c r="OD336" s="899"/>
      <c r="OE336" s="899"/>
      <c r="OF336" s="899"/>
      <c r="OG336" s="899"/>
      <c r="OH336" s="899"/>
      <c r="OI336" s="899"/>
      <c r="OJ336" s="899"/>
      <c r="OK336" s="899"/>
      <c r="OL336" s="899"/>
      <c r="OM336" s="899"/>
      <c r="ON336" s="899"/>
      <c r="OO336" s="899"/>
      <c r="OP336" s="899"/>
      <c r="OQ336" s="899"/>
      <c r="OR336" s="899"/>
      <c r="OS336" s="899"/>
      <c r="OT336" s="899"/>
      <c r="OU336" s="899"/>
      <c r="OV336" s="899"/>
      <c r="OW336" s="899"/>
      <c r="OX336" s="899"/>
    </row>
    <row r="337" spans="43:53" x14ac:dyDescent="0.25">
      <c r="AQ337" s="40"/>
      <c r="AS337" s="76"/>
      <c r="AT337" s="76"/>
      <c r="AU337" s="28"/>
      <c r="AV337" s="28"/>
      <c r="AW337" s="28"/>
      <c r="BA337" s="14"/>
    </row>
    <row r="338" spans="43:53" x14ac:dyDescent="0.25">
      <c r="AQ338" s="40"/>
      <c r="AS338" s="76"/>
      <c r="AT338" s="76"/>
      <c r="AU338" s="28"/>
      <c r="AV338" s="28"/>
      <c r="AW338" s="28"/>
    </row>
    <row r="339" spans="43:53" x14ac:dyDescent="0.25">
      <c r="AQ339" s="40"/>
      <c r="AU339" s="28"/>
      <c r="AV339" s="28"/>
      <c r="AW339" s="28"/>
    </row>
    <row r="340" spans="43:53" x14ac:dyDescent="0.25">
      <c r="AQ340" s="40"/>
      <c r="AU340" s="28"/>
      <c r="AV340" s="28"/>
      <c r="AW340" s="28"/>
    </row>
    <row r="341" spans="43:53" x14ac:dyDescent="0.25">
      <c r="AQ341" s="40"/>
      <c r="AU341" s="28"/>
      <c r="AV341" s="28"/>
      <c r="AW341" s="28"/>
    </row>
    <row r="342" spans="43:53" x14ac:dyDescent="0.25">
      <c r="AQ342" s="40"/>
      <c r="AU342" s="28"/>
      <c r="AV342" s="28"/>
      <c r="AW342" s="28"/>
    </row>
    <row r="343" spans="43:53" x14ac:dyDescent="0.25">
      <c r="AQ343" s="40"/>
      <c r="AS343" s="76"/>
      <c r="AT343" s="76"/>
      <c r="AU343" s="28"/>
      <c r="AV343" s="28"/>
      <c r="AW343" s="28"/>
    </row>
    <row r="344" spans="43:53" x14ac:dyDescent="0.25">
      <c r="AQ344" s="40"/>
      <c r="AS344" s="76"/>
      <c r="AT344" s="76"/>
      <c r="AU344" s="28"/>
      <c r="AV344" s="28"/>
      <c r="AW344" s="28"/>
    </row>
    <row r="345" spans="43:53" x14ac:dyDescent="0.25">
      <c r="AQ345" s="40"/>
      <c r="AS345" s="76"/>
      <c r="AT345" s="76"/>
      <c r="AU345" s="28"/>
      <c r="AV345" s="28"/>
      <c r="AW345" s="28"/>
    </row>
    <row r="346" spans="43:53" x14ac:dyDescent="0.25">
      <c r="AQ346" s="40"/>
      <c r="AU346" s="28"/>
      <c r="AV346" s="28"/>
      <c r="AW346" s="28"/>
    </row>
    <row r="347" spans="43:53" x14ac:dyDescent="0.25">
      <c r="AQ347" s="40"/>
      <c r="AU347" s="28"/>
      <c r="AV347" s="28"/>
      <c r="AW347" s="28"/>
    </row>
    <row r="348" spans="43:53" x14ac:dyDescent="0.25">
      <c r="AQ348" s="40"/>
      <c r="AU348" s="28"/>
      <c r="AV348" s="28"/>
      <c r="AW348" s="28"/>
    </row>
    <row r="349" spans="43:53" x14ac:dyDescent="0.25">
      <c r="AQ349" s="40"/>
      <c r="AU349" s="28"/>
      <c r="AV349" s="28"/>
      <c r="AW349" s="28"/>
    </row>
    <row r="350" spans="43:53" x14ac:dyDescent="0.25">
      <c r="AQ350" s="40"/>
      <c r="AU350" s="28"/>
      <c r="AV350" s="28"/>
      <c r="AW350" s="28"/>
    </row>
    <row r="351" spans="43:53" x14ac:dyDescent="0.25">
      <c r="AQ351" s="40"/>
      <c r="AU351" s="28"/>
      <c r="AV351" s="28"/>
      <c r="AW351" s="28"/>
    </row>
    <row r="352" spans="43:53" x14ac:dyDescent="0.25">
      <c r="AQ352" s="40"/>
      <c r="AS352" s="76"/>
      <c r="AT352" s="76"/>
      <c r="AU352" s="28"/>
      <c r="AV352" s="28"/>
      <c r="AW352" s="28"/>
    </row>
    <row r="353" spans="43:49" x14ac:dyDescent="0.25">
      <c r="AQ353" s="40"/>
      <c r="AU353" s="28"/>
      <c r="AV353" s="28"/>
      <c r="AW353" s="28"/>
    </row>
    <row r="354" spans="43:49" x14ac:dyDescent="0.25">
      <c r="AQ354" s="40"/>
      <c r="AU354" s="28"/>
      <c r="AV354" s="28"/>
      <c r="AW354" s="28"/>
    </row>
    <row r="355" spans="43:49" x14ac:dyDescent="0.25">
      <c r="AQ355" s="40"/>
      <c r="AU355" s="28"/>
      <c r="AV355" s="28"/>
      <c r="AW355" s="28"/>
    </row>
    <row r="356" spans="43:49" x14ac:dyDescent="0.25">
      <c r="AQ356" s="40"/>
      <c r="AU356" s="28"/>
      <c r="AV356" s="28"/>
      <c r="AW356" s="28"/>
    </row>
    <row r="357" spans="43:49" x14ac:dyDescent="0.25">
      <c r="AQ357" s="40"/>
      <c r="AU357" s="28"/>
      <c r="AV357" s="28"/>
      <c r="AW357" s="28"/>
    </row>
    <row r="358" spans="43:49" x14ac:dyDescent="0.25">
      <c r="AQ358" s="40"/>
      <c r="AU358" s="28"/>
      <c r="AV358" s="28"/>
      <c r="AW358" s="28"/>
    </row>
    <row r="359" spans="43:49" x14ac:dyDescent="0.25">
      <c r="AQ359" s="40"/>
      <c r="AS359" s="76"/>
      <c r="AT359" s="76"/>
      <c r="AU359" s="28"/>
      <c r="AV359" s="28"/>
      <c r="AW359" s="28"/>
    </row>
    <row r="360" spans="43:49" x14ac:dyDescent="0.25">
      <c r="AQ360" s="40"/>
      <c r="AU360" s="28"/>
      <c r="AV360" s="28"/>
      <c r="AW360" s="28"/>
    </row>
    <row r="361" spans="43:49" x14ac:dyDescent="0.25">
      <c r="AQ361" s="40"/>
      <c r="AU361" s="28"/>
      <c r="AV361" s="28"/>
      <c r="AW361" s="28"/>
    </row>
    <row r="362" spans="43:49" x14ac:dyDescent="0.25">
      <c r="AQ362" s="40"/>
      <c r="AU362" s="28"/>
      <c r="AV362" s="28"/>
      <c r="AW362" s="28"/>
    </row>
    <row r="363" spans="43:49" x14ac:dyDescent="0.25">
      <c r="AQ363" s="40"/>
      <c r="AU363" s="28"/>
      <c r="AV363" s="28"/>
      <c r="AW363" s="28"/>
    </row>
    <row r="364" spans="43:49" x14ac:dyDescent="0.25">
      <c r="AQ364" s="40"/>
      <c r="AU364" s="28"/>
      <c r="AV364" s="28"/>
      <c r="AW364" s="28"/>
    </row>
    <row r="365" spans="43:49" x14ac:dyDescent="0.25">
      <c r="AQ365" s="40"/>
      <c r="AU365" s="28"/>
      <c r="AV365" s="28"/>
      <c r="AW365" s="28"/>
    </row>
    <row r="366" spans="43:49" x14ac:dyDescent="0.25">
      <c r="AQ366" s="40"/>
      <c r="AS366" s="76"/>
      <c r="AT366" s="76"/>
      <c r="AU366" s="28"/>
      <c r="AV366" s="28"/>
      <c r="AW366" s="28"/>
    </row>
    <row r="367" spans="43:49" x14ac:dyDescent="0.25">
      <c r="AQ367" s="40"/>
      <c r="AU367" s="28"/>
      <c r="AV367" s="28"/>
      <c r="AW367" s="28"/>
    </row>
    <row r="368" spans="43:49" x14ac:dyDescent="0.25">
      <c r="AQ368" s="40"/>
      <c r="AU368" s="28"/>
      <c r="AV368" s="28"/>
      <c r="AW368" s="28"/>
    </row>
    <row r="369" spans="43:53" x14ac:dyDescent="0.25">
      <c r="AQ369" s="40"/>
      <c r="AU369" s="28"/>
      <c r="AV369" s="28"/>
      <c r="AW369" s="28"/>
      <c r="BA369" s="14"/>
    </row>
    <row r="370" spans="43:53" x14ac:dyDescent="0.25">
      <c r="AQ370" s="40"/>
      <c r="AU370" s="28"/>
      <c r="AV370" s="28"/>
      <c r="AW370" s="28"/>
    </row>
    <row r="371" spans="43:53" x14ac:dyDescent="0.25">
      <c r="AQ371" s="40"/>
      <c r="AU371" s="28"/>
      <c r="AV371" s="28"/>
      <c r="AW371" s="28"/>
    </row>
    <row r="372" spans="43:53" x14ac:dyDescent="0.25">
      <c r="AQ372" s="40"/>
      <c r="AS372" s="76"/>
      <c r="AT372" s="76"/>
      <c r="AU372" s="28"/>
      <c r="AV372" s="28"/>
      <c r="AW372" s="28"/>
    </row>
    <row r="373" spans="43:53" x14ac:dyDescent="0.25">
      <c r="AQ373" s="40"/>
      <c r="AT373" s="89"/>
      <c r="AU373" s="28"/>
      <c r="AV373" s="28"/>
      <c r="AW373" s="28"/>
    </row>
    <row r="374" spans="43:53" x14ac:dyDescent="0.25">
      <c r="AQ374" s="40"/>
      <c r="AU374" s="28"/>
      <c r="AV374" s="28"/>
      <c r="AW374" s="28"/>
    </row>
    <row r="375" spans="43:53" x14ac:dyDescent="0.25">
      <c r="AQ375" s="40"/>
      <c r="AU375" s="28"/>
      <c r="AV375" s="28"/>
      <c r="AW375" s="28"/>
    </row>
    <row r="376" spans="43:53" x14ac:dyDescent="0.25">
      <c r="AQ376" s="40"/>
      <c r="AU376" s="28"/>
      <c r="AV376" s="28"/>
      <c r="AW376" s="28"/>
    </row>
    <row r="377" spans="43:53" x14ac:dyDescent="0.25">
      <c r="AQ377" s="40"/>
      <c r="AU377" s="28"/>
      <c r="AV377" s="28"/>
      <c r="AW377" s="28"/>
    </row>
    <row r="378" spans="43:53" x14ac:dyDescent="0.25">
      <c r="AQ378" s="40"/>
      <c r="AU378" s="28"/>
      <c r="AV378" s="28"/>
      <c r="AW378" s="28"/>
    </row>
    <row r="379" spans="43:53" x14ac:dyDescent="0.25">
      <c r="AQ379" s="40"/>
      <c r="AU379" s="28"/>
      <c r="AV379" s="28"/>
      <c r="AW379" s="28"/>
    </row>
    <row r="380" spans="43:53" x14ac:dyDescent="0.25">
      <c r="AQ380" s="40"/>
      <c r="AS380" s="76"/>
      <c r="AT380" s="76"/>
      <c r="AU380" s="28"/>
      <c r="AV380" s="28"/>
      <c r="AW380" s="28"/>
    </row>
    <row r="381" spans="43:53" x14ac:dyDescent="0.25">
      <c r="AQ381" s="40"/>
      <c r="AU381" s="28"/>
      <c r="AV381" s="28"/>
      <c r="AW381" s="28"/>
    </row>
    <row r="382" spans="43:53" x14ac:dyDescent="0.25">
      <c r="AQ382" s="40"/>
      <c r="AS382" s="76"/>
      <c r="AT382" s="76"/>
      <c r="AU382" s="28"/>
      <c r="AV382" s="28"/>
      <c r="AW382" s="28"/>
    </row>
    <row r="383" spans="43:53" x14ac:dyDescent="0.25">
      <c r="AQ383" s="40"/>
      <c r="AU383" s="28"/>
      <c r="AV383" s="28"/>
      <c r="AW383" s="28"/>
    </row>
    <row r="384" spans="43:53" x14ac:dyDescent="0.25">
      <c r="AQ384" s="40"/>
      <c r="AU384" s="28"/>
      <c r="AV384" s="28"/>
      <c r="AW384" s="28"/>
    </row>
    <row r="385" spans="43:53" x14ac:dyDescent="0.25">
      <c r="AQ385" s="40"/>
      <c r="AU385" s="28"/>
      <c r="AV385" s="28"/>
      <c r="AW385" s="28"/>
    </row>
    <row r="386" spans="43:53" x14ac:dyDescent="0.25">
      <c r="AQ386" s="40"/>
      <c r="AU386" s="28"/>
      <c r="AV386" s="28"/>
      <c r="AW386" s="28"/>
    </row>
    <row r="387" spans="43:53" x14ac:dyDescent="0.25">
      <c r="AQ387" s="40"/>
      <c r="AU387" s="28"/>
      <c r="AV387" s="28"/>
      <c r="AW387" s="28"/>
    </row>
    <row r="388" spans="43:53" x14ac:dyDescent="0.25">
      <c r="AQ388" s="40"/>
      <c r="AS388" s="76"/>
      <c r="AT388" s="76"/>
      <c r="AU388" s="28"/>
      <c r="AV388" s="28"/>
      <c r="AW388" s="28"/>
    </row>
    <row r="389" spans="43:53" x14ac:dyDescent="0.25">
      <c r="AQ389" s="40"/>
      <c r="AU389" s="28"/>
      <c r="AV389" s="28"/>
      <c r="AW389" s="28"/>
    </row>
    <row r="390" spans="43:53" x14ac:dyDescent="0.25">
      <c r="AQ390" s="40"/>
      <c r="AU390" s="28"/>
      <c r="AV390" s="28"/>
      <c r="AW390" s="28"/>
    </row>
    <row r="391" spans="43:53" x14ac:dyDescent="0.25">
      <c r="AQ391" s="40"/>
      <c r="AU391" s="28"/>
      <c r="AV391" s="28"/>
      <c r="AW391" s="28"/>
    </row>
    <row r="392" spans="43:53" x14ac:dyDescent="0.25">
      <c r="AQ392" s="40"/>
      <c r="AU392" s="28"/>
      <c r="AV392" s="28"/>
      <c r="AW392" s="28"/>
    </row>
    <row r="393" spans="43:53" x14ac:dyDescent="0.25">
      <c r="AQ393" s="40"/>
      <c r="AU393" s="28"/>
      <c r="AV393" s="28"/>
      <c r="AW393" s="28"/>
    </row>
    <row r="394" spans="43:53" x14ac:dyDescent="0.25">
      <c r="AQ394" s="40"/>
      <c r="AU394" s="28"/>
      <c r="AV394" s="28"/>
      <c r="AW394" s="28"/>
    </row>
    <row r="395" spans="43:53" x14ac:dyDescent="0.25">
      <c r="AQ395" s="40"/>
      <c r="AU395" s="28"/>
      <c r="AV395" s="28"/>
      <c r="AW395" s="28"/>
    </row>
    <row r="396" spans="43:53" x14ac:dyDescent="0.25">
      <c r="AQ396" s="40"/>
      <c r="AU396" s="28"/>
      <c r="AV396" s="28"/>
      <c r="AW396" s="28"/>
    </row>
    <row r="397" spans="43:53" x14ac:dyDescent="0.25">
      <c r="AQ397" s="40"/>
      <c r="AU397" s="28"/>
      <c r="AV397" s="28"/>
      <c r="AW397" s="28"/>
    </row>
    <row r="398" spans="43:53" x14ac:dyDescent="0.25">
      <c r="AQ398" s="40"/>
      <c r="AU398" s="28"/>
      <c r="AV398" s="28"/>
      <c r="AW398" s="28"/>
    </row>
    <row r="399" spans="43:53" x14ac:dyDescent="0.25">
      <c r="AQ399" s="40"/>
      <c r="AU399" s="28"/>
      <c r="AV399" s="28"/>
      <c r="AW399" s="28"/>
      <c r="BA399" s="14"/>
    </row>
    <row r="400" spans="43:53" x14ac:dyDescent="0.25">
      <c r="AQ400" s="40"/>
      <c r="AU400" s="28"/>
      <c r="AV400" s="28"/>
      <c r="AW400" s="28"/>
    </row>
    <row r="401" spans="43:49" x14ac:dyDescent="0.25">
      <c r="AQ401" s="40"/>
      <c r="AU401" s="28"/>
      <c r="AV401" s="28"/>
      <c r="AW401" s="28"/>
    </row>
    <row r="402" spans="43:49" x14ac:dyDescent="0.25">
      <c r="AQ402" s="40"/>
      <c r="AS402" s="76"/>
      <c r="AT402" s="76"/>
      <c r="AU402" s="28"/>
      <c r="AV402" s="28"/>
      <c r="AW402" s="28"/>
    </row>
    <row r="403" spans="43:49" x14ac:dyDescent="0.25">
      <c r="AQ403" s="40"/>
      <c r="AS403" s="76"/>
      <c r="AT403" s="76"/>
      <c r="AU403" s="28"/>
      <c r="AV403" s="28"/>
      <c r="AW403" s="28"/>
    </row>
    <row r="404" spans="43:49" x14ac:dyDescent="0.25">
      <c r="AQ404" s="40"/>
      <c r="AS404" s="76"/>
      <c r="AT404" s="76"/>
      <c r="AU404" s="28"/>
      <c r="AV404" s="28"/>
      <c r="AW404" s="28"/>
    </row>
    <row r="405" spans="43:49" x14ac:dyDescent="0.25">
      <c r="AQ405" s="40"/>
      <c r="AS405" s="76"/>
      <c r="AT405" s="76"/>
      <c r="AU405" s="28"/>
      <c r="AV405" s="28"/>
      <c r="AW405" s="28"/>
    </row>
    <row r="406" spans="43:49" x14ac:dyDescent="0.25">
      <c r="AQ406" s="40"/>
      <c r="AS406" s="76"/>
      <c r="AT406" s="76"/>
      <c r="AU406" s="28"/>
      <c r="AV406" s="28"/>
      <c r="AW406" s="28"/>
    </row>
    <row r="407" spans="43:49" x14ac:dyDescent="0.25">
      <c r="AQ407" s="40"/>
      <c r="AS407" s="76"/>
      <c r="AT407" s="76"/>
      <c r="AU407" s="28"/>
      <c r="AV407" s="28"/>
      <c r="AW407" s="28"/>
    </row>
    <row r="408" spans="43:49" x14ac:dyDescent="0.25">
      <c r="AQ408" s="40"/>
      <c r="AS408" s="76"/>
      <c r="AT408" s="76"/>
      <c r="AU408" s="28"/>
      <c r="AV408" s="28"/>
      <c r="AW408" s="28"/>
    </row>
    <row r="409" spans="43:49" x14ac:dyDescent="0.25">
      <c r="AQ409" s="40"/>
      <c r="AS409" s="76"/>
      <c r="AT409" s="76"/>
      <c r="AU409" s="28"/>
      <c r="AV409" s="28"/>
      <c r="AW409" s="28"/>
    </row>
    <row r="410" spans="43:49" x14ac:dyDescent="0.25">
      <c r="AQ410" s="40"/>
      <c r="AS410" s="76"/>
      <c r="AT410" s="76"/>
      <c r="AU410" s="28"/>
      <c r="AV410" s="28"/>
      <c r="AW410" s="28"/>
    </row>
    <row r="411" spans="43:49" x14ac:dyDescent="0.25">
      <c r="AQ411" s="40"/>
      <c r="AS411" s="76"/>
      <c r="AT411" s="76"/>
      <c r="AU411" s="28"/>
      <c r="AV411" s="28"/>
      <c r="AW411" s="28"/>
    </row>
    <row r="412" spans="43:49" x14ac:dyDescent="0.25">
      <c r="AQ412" s="40"/>
      <c r="AS412" s="76"/>
      <c r="AT412" s="76"/>
      <c r="AU412" s="28"/>
      <c r="AV412" s="28"/>
      <c r="AW412" s="28"/>
    </row>
    <row r="413" spans="43:49" x14ac:dyDescent="0.25">
      <c r="AQ413" s="40"/>
      <c r="AS413" s="76"/>
      <c r="AT413" s="76"/>
      <c r="AU413" s="28"/>
      <c r="AV413" s="28"/>
      <c r="AW413" s="28"/>
    </row>
    <row r="414" spans="43:49" x14ac:dyDescent="0.25">
      <c r="AQ414" s="40"/>
      <c r="AS414" s="76"/>
      <c r="AT414" s="76"/>
      <c r="AU414" s="28"/>
      <c r="AV414" s="28"/>
      <c r="AW414" s="28"/>
    </row>
    <row r="415" spans="43:49" x14ac:dyDescent="0.25">
      <c r="AQ415" s="40"/>
      <c r="AS415" s="76"/>
      <c r="AT415" s="76"/>
      <c r="AU415" s="28"/>
      <c r="AV415" s="28"/>
      <c r="AW415" s="28"/>
    </row>
    <row r="416" spans="43:49" x14ac:dyDescent="0.25">
      <c r="AQ416" s="40"/>
      <c r="AS416" s="76"/>
      <c r="AT416" s="76"/>
      <c r="AU416" s="28"/>
      <c r="AV416" s="28"/>
      <c r="AW416" s="28"/>
    </row>
    <row r="417" spans="43:53" x14ac:dyDescent="0.25">
      <c r="AQ417" s="40"/>
      <c r="AS417" s="76"/>
      <c r="AT417" s="76"/>
      <c r="AU417" s="28"/>
      <c r="AV417" s="28"/>
      <c r="AW417" s="28"/>
    </row>
    <row r="418" spans="43:53" x14ac:dyDescent="0.25">
      <c r="AQ418" s="40"/>
      <c r="AU418" s="28"/>
      <c r="AV418" s="28"/>
      <c r="AW418" s="28"/>
    </row>
    <row r="419" spans="43:53" x14ac:dyDescent="0.25">
      <c r="AQ419" s="40"/>
      <c r="AU419" s="28"/>
      <c r="AV419" s="28"/>
      <c r="AW419" s="28"/>
    </row>
    <row r="420" spans="43:53" x14ac:dyDescent="0.25">
      <c r="AQ420" s="40"/>
      <c r="AU420" s="28"/>
      <c r="AV420" s="28"/>
      <c r="AW420" s="28"/>
    </row>
    <row r="421" spans="43:53" x14ac:dyDescent="0.25">
      <c r="AQ421" s="40"/>
      <c r="AS421" s="76"/>
      <c r="AT421" s="76"/>
      <c r="AU421" s="28"/>
      <c r="AV421" s="28"/>
      <c r="AW421" s="28"/>
    </row>
    <row r="422" spans="43:53" x14ac:dyDescent="0.25">
      <c r="AQ422" s="40"/>
      <c r="AU422" s="28"/>
      <c r="AV422" s="28"/>
      <c r="AW422" s="28"/>
    </row>
    <row r="423" spans="43:53" x14ac:dyDescent="0.25">
      <c r="AQ423" s="40"/>
      <c r="AU423" s="28"/>
      <c r="AV423" s="28"/>
      <c r="AW423" s="28"/>
    </row>
    <row r="424" spans="43:53" x14ac:dyDescent="0.25">
      <c r="AQ424" s="40"/>
      <c r="AU424" s="28"/>
      <c r="AV424" s="28"/>
      <c r="AW424" s="28"/>
    </row>
    <row r="425" spans="43:53" x14ac:dyDescent="0.25">
      <c r="AQ425" s="40"/>
      <c r="AU425" s="28"/>
      <c r="AV425" s="28"/>
      <c r="AW425" s="28"/>
    </row>
    <row r="426" spans="43:53" x14ac:dyDescent="0.25">
      <c r="AQ426" s="40"/>
      <c r="AS426" s="76"/>
      <c r="AT426" s="76"/>
      <c r="AU426" s="28"/>
      <c r="AV426" s="28"/>
      <c r="AW426" s="28"/>
    </row>
    <row r="427" spans="43:53" x14ac:dyDescent="0.25">
      <c r="AQ427" s="40"/>
      <c r="AU427" s="28"/>
      <c r="AV427" s="28"/>
      <c r="AW427" s="28"/>
    </row>
    <row r="428" spans="43:53" x14ac:dyDescent="0.25">
      <c r="AQ428" s="40"/>
      <c r="AU428" s="28"/>
      <c r="AV428" s="28"/>
      <c r="AW428" s="28"/>
    </row>
    <row r="429" spans="43:53" x14ac:dyDescent="0.25">
      <c r="AQ429" s="40"/>
      <c r="AU429" s="28"/>
      <c r="AV429" s="28"/>
      <c r="AW429" s="28"/>
    </row>
    <row r="430" spans="43:53" x14ac:dyDescent="0.25">
      <c r="AQ430" s="40"/>
      <c r="AU430" s="28"/>
      <c r="AV430" s="28"/>
      <c r="AW430" s="28"/>
      <c r="BA430" s="14"/>
    </row>
    <row r="431" spans="43:53" x14ac:dyDescent="0.25">
      <c r="AQ431" s="40"/>
      <c r="AU431" s="28"/>
      <c r="AV431" s="28"/>
      <c r="AW431" s="28"/>
    </row>
    <row r="432" spans="43:53" x14ac:dyDescent="0.25">
      <c r="AQ432" s="40"/>
      <c r="AU432" s="28"/>
      <c r="AV432" s="28"/>
      <c r="AW432" s="28"/>
    </row>
    <row r="433" spans="43:49" x14ac:dyDescent="0.25">
      <c r="AQ433" s="40"/>
      <c r="AU433" s="28"/>
      <c r="AV433" s="28"/>
      <c r="AW433" s="28"/>
    </row>
    <row r="434" spans="43:49" x14ac:dyDescent="0.25">
      <c r="AQ434" s="40"/>
      <c r="AU434" s="28"/>
      <c r="AV434" s="28"/>
      <c r="AW434" s="28"/>
    </row>
    <row r="435" spans="43:49" x14ac:dyDescent="0.25">
      <c r="AQ435" s="40"/>
      <c r="AU435" s="28"/>
      <c r="AV435" s="28"/>
      <c r="AW435" s="28"/>
    </row>
    <row r="436" spans="43:49" x14ac:dyDescent="0.25">
      <c r="AQ436" s="40"/>
      <c r="AU436" s="28"/>
      <c r="AV436" s="28"/>
      <c r="AW436" s="28"/>
    </row>
    <row r="437" spans="43:49" x14ac:dyDescent="0.25">
      <c r="AQ437" s="40"/>
      <c r="AS437" s="76"/>
      <c r="AT437" s="76"/>
      <c r="AU437" s="28"/>
      <c r="AV437" s="28"/>
      <c r="AW437" s="28"/>
    </row>
    <row r="438" spans="43:49" x14ac:dyDescent="0.25">
      <c r="AQ438" s="40"/>
      <c r="AU438" s="28"/>
      <c r="AV438" s="28"/>
      <c r="AW438" s="28"/>
    </row>
    <row r="439" spans="43:49" x14ac:dyDescent="0.25">
      <c r="AQ439" s="40"/>
      <c r="AU439" s="28"/>
      <c r="AV439" s="28"/>
      <c r="AW439" s="28"/>
    </row>
    <row r="440" spans="43:49" x14ac:dyDescent="0.25">
      <c r="AQ440" s="40"/>
      <c r="AU440" s="28"/>
      <c r="AV440" s="28"/>
      <c r="AW440" s="28"/>
    </row>
    <row r="441" spans="43:49" x14ac:dyDescent="0.25">
      <c r="AQ441" s="40"/>
      <c r="AS441" s="76"/>
      <c r="AT441" s="76"/>
      <c r="AU441" s="28"/>
      <c r="AV441" s="28"/>
      <c r="AW441" s="28"/>
    </row>
    <row r="442" spans="43:49" x14ac:dyDescent="0.25">
      <c r="AQ442" s="40"/>
      <c r="AS442" s="76"/>
      <c r="AT442" s="76"/>
      <c r="AU442" s="28"/>
      <c r="AV442" s="28"/>
      <c r="AW442" s="28"/>
    </row>
    <row r="443" spans="43:49" x14ac:dyDescent="0.25">
      <c r="AQ443" s="40"/>
      <c r="AS443" s="76"/>
      <c r="AT443" s="76"/>
      <c r="AU443" s="28"/>
      <c r="AV443" s="28"/>
      <c r="AW443" s="28"/>
    </row>
    <row r="444" spans="43:49" x14ac:dyDescent="0.25">
      <c r="AQ444" s="40"/>
      <c r="AS444" s="76"/>
      <c r="AT444" s="76"/>
      <c r="AU444" s="28"/>
      <c r="AV444" s="28"/>
      <c r="AW444" s="28"/>
    </row>
    <row r="445" spans="43:49" x14ac:dyDescent="0.25">
      <c r="AQ445" s="40"/>
      <c r="AS445" s="76"/>
      <c r="AT445" s="76"/>
      <c r="AU445" s="28"/>
      <c r="AV445" s="28"/>
      <c r="AW445" s="28"/>
    </row>
    <row r="446" spans="43:49" x14ac:dyDescent="0.25">
      <c r="AQ446" s="40"/>
      <c r="AS446" s="76"/>
      <c r="AT446" s="76"/>
      <c r="AU446" s="28"/>
      <c r="AV446" s="28"/>
      <c r="AW446" s="28"/>
    </row>
    <row r="447" spans="43:49" x14ac:dyDescent="0.25">
      <c r="AQ447" s="40"/>
      <c r="AS447" s="76"/>
      <c r="AT447" s="76"/>
      <c r="AU447" s="28"/>
      <c r="AV447" s="28"/>
      <c r="AW447" s="28"/>
    </row>
    <row r="448" spans="43:49" x14ac:dyDescent="0.25">
      <c r="AQ448" s="40"/>
      <c r="AS448" s="76"/>
      <c r="AT448" s="76"/>
      <c r="AU448" s="28"/>
      <c r="AV448" s="28"/>
      <c r="AW448" s="28"/>
    </row>
    <row r="449" spans="43:53" x14ac:dyDescent="0.25">
      <c r="AQ449" s="40"/>
      <c r="AS449" s="76"/>
      <c r="AT449" s="76"/>
      <c r="AU449" s="28"/>
      <c r="AV449" s="28"/>
      <c r="AW449" s="28"/>
    </row>
    <row r="450" spans="43:53" x14ac:dyDescent="0.25">
      <c r="AQ450" s="40"/>
      <c r="AS450" s="76"/>
      <c r="AT450" s="76"/>
      <c r="AU450" s="28"/>
      <c r="AV450" s="28"/>
      <c r="AW450" s="28"/>
    </row>
    <row r="451" spans="43:53" x14ac:dyDescent="0.25">
      <c r="AQ451" s="40"/>
      <c r="AS451" s="76"/>
      <c r="AT451" s="76"/>
      <c r="AU451" s="28"/>
      <c r="AV451" s="28"/>
      <c r="AW451" s="28"/>
    </row>
    <row r="452" spans="43:53" x14ac:dyDescent="0.25">
      <c r="AQ452" s="40"/>
      <c r="AS452" s="76"/>
      <c r="AT452" s="76"/>
      <c r="AU452" s="28"/>
      <c r="AV452" s="28"/>
      <c r="AW452" s="28"/>
    </row>
    <row r="453" spans="43:53" x14ac:dyDescent="0.25">
      <c r="AQ453" s="40"/>
      <c r="AS453" s="76"/>
      <c r="AT453" s="76"/>
      <c r="AU453" s="28"/>
      <c r="AV453" s="28"/>
      <c r="AW453" s="28"/>
    </row>
    <row r="454" spans="43:53" x14ac:dyDescent="0.25">
      <c r="AQ454" s="40"/>
      <c r="AS454" s="76"/>
      <c r="AT454" s="76"/>
      <c r="AU454" s="28"/>
      <c r="AV454" s="28"/>
      <c r="AW454" s="28"/>
    </row>
    <row r="455" spans="43:53" x14ac:dyDescent="0.25">
      <c r="AQ455" s="40"/>
      <c r="AS455" s="76"/>
      <c r="AT455" s="76"/>
      <c r="AU455" s="28"/>
      <c r="AV455" s="28"/>
      <c r="AW455" s="28"/>
    </row>
    <row r="456" spans="43:53" x14ac:dyDescent="0.25">
      <c r="AQ456" s="40"/>
      <c r="AS456" s="76"/>
      <c r="AT456" s="76"/>
      <c r="AU456" s="28"/>
      <c r="AV456" s="28"/>
      <c r="AW456" s="28"/>
    </row>
    <row r="457" spans="43:53" x14ac:dyDescent="0.25">
      <c r="AQ457" s="40"/>
      <c r="AS457" s="76"/>
      <c r="AT457" s="76"/>
      <c r="AU457" s="28"/>
      <c r="AV457" s="28"/>
      <c r="AW457" s="28"/>
    </row>
    <row r="458" spans="43:53" x14ac:dyDescent="0.25">
      <c r="AQ458" s="40"/>
      <c r="AS458" s="76"/>
      <c r="AT458" s="76"/>
      <c r="AU458" s="28"/>
      <c r="AV458" s="28"/>
      <c r="AW458" s="28"/>
    </row>
    <row r="459" spans="43:53" x14ac:dyDescent="0.25">
      <c r="AQ459" s="40"/>
      <c r="AS459" s="76"/>
      <c r="AT459" s="76"/>
      <c r="AU459" s="28"/>
      <c r="AV459" s="28"/>
      <c r="AW459" s="28"/>
    </row>
    <row r="460" spans="43:53" x14ac:dyDescent="0.25">
      <c r="AQ460" s="40"/>
      <c r="AU460" s="28"/>
      <c r="AV460" s="28"/>
      <c r="AW460" s="28"/>
      <c r="BA460" s="14"/>
    </row>
    <row r="461" spans="43:53" x14ac:dyDescent="0.25">
      <c r="AQ461" s="40"/>
      <c r="AU461" s="28"/>
      <c r="AV461" s="28"/>
      <c r="AW461" s="28"/>
    </row>
    <row r="462" spans="43:53" x14ac:dyDescent="0.25">
      <c r="AQ462" s="40"/>
      <c r="AU462" s="28"/>
      <c r="AV462" s="28"/>
      <c r="AW462" s="28"/>
    </row>
    <row r="463" spans="43:53" x14ac:dyDescent="0.25">
      <c r="AQ463" s="40"/>
      <c r="AU463" s="28"/>
      <c r="AV463" s="28"/>
      <c r="AW463" s="28"/>
    </row>
    <row r="464" spans="43:53" x14ac:dyDescent="0.25">
      <c r="AQ464" s="40"/>
      <c r="AU464" s="28"/>
      <c r="AV464" s="28"/>
      <c r="AW464" s="28"/>
    </row>
    <row r="465" spans="43:49" x14ac:dyDescent="0.25">
      <c r="AQ465" s="40"/>
      <c r="AU465" s="28"/>
      <c r="AV465" s="28"/>
      <c r="AW465" s="28"/>
    </row>
    <row r="466" spans="43:49" x14ac:dyDescent="0.25">
      <c r="AQ466" s="40"/>
      <c r="AU466" s="28"/>
      <c r="AV466" s="28"/>
      <c r="AW466" s="28"/>
    </row>
    <row r="467" spans="43:49" x14ac:dyDescent="0.25">
      <c r="AQ467" s="40"/>
      <c r="AU467" s="28"/>
      <c r="AV467" s="28"/>
      <c r="AW467" s="28"/>
    </row>
    <row r="468" spans="43:49" x14ac:dyDescent="0.25">
      <c r="AQ468" s="40"/>
      <c r="AU468" s="28"/>
      <c r="AV468" s="28"/>
      <c r="AW468" s="28"/>
    </row>
    <row r="469" spans="43:49" x14ac:dyDescent="0.25">
      <c r="AQ469" s="40"/>
      <c r="AU469" s="28"/>
      <c r="AV469" s="28"/>
      <c r="AW469" s="28"/>
    </row>
    <row r="470" spans="43:49" x14ac:dyDescent="0.25">
      <c r="AQ470" s="40"/>
      <c r="AU470" s="28"/>
      <c r="AV470" s="28"/>
      <c r="AW470" s="28"/>
    </row>
    <row r="471" spans="43:49" x14ac:dyDescent="0.25">
      <c r="AQ471" s="40"/>
      <c r="AU471" s="28"/>
      <c r="AV471" s="28"/>
      <c r="AW471" s="28"/>
    </row>
    <row r="472" spans="43:49" x14ac:dyDescent="0.25">
      <c r="AQ472" s="40"/>
      <c r="AU472" s="28"/>
      <c r="AV472" s="28"/>
      <c r="AW472" s="28"/>
    </row>
    <row r="473" spans="43:49" x14ac:dyDescent="0.25">
      <c r="AQ473" s="40"/>
      <c r="AU473" s="28"/>
      <c r="AV473" s="28"/>
      <c r="AW473" s="28"/>
    </row>
    <row r="474" spans="43:49" x14ac:dyDescent="0.25">
      <c r="AQ474" s="40"/>
      <c r="AU474" s="28"/>
      <c r="AV474" s="28"/>
      <c r="AW474" s="28"/>
    </row>
    <row r="475" spans="43:49" x14ac:dyDescent="0.25">
      <c r="AQ475" s="40"/>
      <c r="AS475" s="76"/>
      <c r="AT475" s="76"/>
      <c r="AU475" s="28"/>
      <c r="AV475" s="28"/>
      <c r="AW475" s="28"/>
    </row>
    <row r="476" spans="43:49" x14ac:dyDescent="0.25">
      <c r="AQ476" s="40"/>
      <c r="AS476" s="76"/>
      <c r="AT476" s="76"/>
      <c r="AU476" s="28"/>
      <c r="AV476" s="28"/>
      <c r="AW476" s="28"/>
    </row>
    <row r="477" spans="43:49" x14ac:dyDescent="0.25">
      <c r="AQ477" s="40"/>
      <c r="AS477" s="76"/>
      <c r="AT477" s="76"/>
      <c r="AU477" s="28"/>
      <c r="AV477" s="28"/>
      <c r="AW477" s="28"/>
    </row>
    <row r="478" spans="43:49" x14ac:dyDescent="0.25">
      <c r="AQ478" s="40"/>
      <c r="AS478" s="76"/>
      <c r="AT478" s="76"/>
      <c r="AU478" s="28"/>
      <c r="AV478" s="28"/>
      <c r="AW478" s="28"/>
    </row>
    <row r="479" spans="43:49" x14ac:dyDescent="0.25">
      <c r="AQ479" s="40"/>
      <c r="AU479" s="28"/>
      <c r="AV479" s="28"/>
      <c r="AW479" s="28"/>
    </row>
    <row r="480" spans="43:49" x14ac:dyDescent="0.25">
      <c r="AQ480" s="40"/>
      <c r="AU480" s="28"/>
      <c r="AV480" s="28"/>
      <c r="AW480" s="28"/>
    </row>
    <row r="481" spans="43:53" x14ac:dyDescent="0.25">
      <c r="AQ481" s="40"/>
      <c r="AU481" s="28"/>
      <c r="AV481" s="28"/>
      <c r="AW481" s="28"/>
    </row>
    <row r="482" spans="43:53" x14ac:dyDescent="0.25">
      <c r="AQ482" s="40"/>
      <c r="AU482" s="28"/>
      <c r="AV482" s="28"/>
      <c r="AW482" s="28"/>
    </row>
    <row r="483" spans="43:53" x14ac:dyDescent="0.25">
      <c r="AQ483" s="40"/>
      <c r="AU483" s="28"/>
      <c r="AV483" s="28"/>
      <c r="AW483" s="28"/>
    </row>
    <row r="484" spans="43:53" x14ac:dyDescent="0.25">
      <c r="AQ484" s="40"/>
      <c r="AU484" s="28"/>
      <c r="AV484" s="28"/>
      <c r="AW484" s="28"/>
    </row>
    <row r="485" spans="43:53" x14ac:dyDescent="0.25">
      <c r="AQ485" s="40"/>
      <c r="AU485" s="28"/>
      <c r="AV485" s="28"/>
      <c r="AW485" s="28"/>
    </row>
    <row r="486" spans="43:53" x14ac:dyDescent="0.25">
      <c r="AQ486" s="40"/>
      <c r="AU486" s="28"/>
      <c r="AV486" s="28"/>
      <c r="AW486" s="28"/>
    </row>
    <row r="487" spans="43:53" x14ac:dyDescent="0.25">
      <c r="AQ487" s="40"/>
      <c r="AU487" s="28"/>
      <c r="AV487" s="28"/>
      <c r="AW487" s="28"/>
    </row>
    <row r="488" spans="43:53" x14ac:dyDescent="0.25">
      <c r="AQ488" s="40"/>
      <c r="AU488" s="28"/>
      <c r="AV488" s="28"/>
      <c r="AW488" s="28"/>
    </row>
    <row r="489" spans="43:53" x14ac:dyDescent="0.25">
      <c r="AQ489" s="40"/>
      <c r="AU489" s="28"/>
      <c r="AV489" s="28"/>
      <c r="AW489" s="28"/>
      <c r="BA489" s="14"/>
    </row>
    <row r="490" spans="43:53" x14ac:dyDescent="0.25">
      <c r="AQ490" s="40"/>
      <c r="AU490" s="28"/>
      <c r="AV490" s="28"/>
      <c r="AW490" s="28"/>
    </row>
    <row r="491" spans="43:53" x14ac:dyDescent="0.25">
      <c r="AQ491" s="40"/>
      <c r="AU491" s="28"/>
      <c r="AV491" s="28"/>
      <c r="AW491" s="28"/>
    </row>
    <row r="492" spans="43:53" x14ac:dyDescent="0.25">
      <c r="AQ492" s="40"/>
      <c r="AU492" s="28"/>
      <c r="AV492" s="28"/>
      <c r="AW492" s="28"/>
    </row>
    <row r="493" spans="43:53" x14ac:dyDescent="0.25">
      <c r="AQ493" s="40"/>
      <c r="AU493" s="28"/>
      <c r="AV493" s="28"/>
      <c r="AW493" s="28"/>
    </row>
    <row r="494" spans="43:53" x14ac:dyDescent="0.25">
      <c r="AQ494" s="40"/>
      <c r="AU494" s="28"/>
      <c r="AV494" s="28"/>
      <c r="AW494" s="28"/>
    </row>
    <row r="495" spans="43:53" x14ac:dyDescent="0.25">
      <c r="AQ495" s="40"/>
      <c r="AU495" s="28"/>
      <c r="AV495" s="28"/>
      <c r="AW495" s="28"/>
    </row>
    <row r="496" spans="43:53" x14ac:dyDescent="0.25">
      <c r="AQ496" s="40"/>
      <c r="AU496" s="28"/>
      <c r="AV496" s="28"/>
      <c r="AW496" s="28"/>
    </row>
    <row r="497" spans="43:49" x14ac:dyDescent="0.25">
      <c r="AQ497" s="40"/>
      <c r="AU497" s="28"/>
      <c r="AV497" s="28"/>
      <c r="AW497" s="28"/>
    </row>
    <row r="498" spans="43:49" x14ac:dyDescent="0.25">
      <c r="AQ498" s="40"/>
      <c r="AU498" s="28"/>
      <c r="AV498" s="28"/>
      <c r="AW498" s="28"/>
    </row>
    <row r="499" spans="43:49" x14ac:dyDescent="0.25">
      <c r="AQ499" s="40"/>
      <c r="AU499" s="28"/>
      <c r="AV499" s="28"/>
      <c r="AW499" s="28"/>
    </row>
    <row r="500" spans="43:49" x14ac:dyDescent="0.25">
      <c r="AQ500" s="40"/>
      <c r="AU500" s="28"/>
      <c r="AV500" s="28"/>
      <c r="AW500" s="28"/>
    </row>
    <row r="501" spans="43:49" x14ac:dyDescent="0.25">
      <c r="AQ501" s="40"/>
      <c r="AU501" s="28"/>
      <c r="AV501" s="28"/>
      <c r="AW501" s="28"/>
    </row>
    <row r="502" spans="43:49" x14ac:dyDescent="0.25">
      <c r="AQ502" s="40"/>
      <c r="AU502" s="28"/>
      <c r="AV502" s="28"/>
      <c r="AW502" s="28"/>
    </row>
    <row r="503" spans="43:49" x14ac:dyDescent="0.25">
      <c r="AQ503" s="40"/>
      <c r="AU503" s="28"/>
      <c r="AV503" s="28"/>
      <c r="AW503" s="28"/>
    </row>
    <row r="504" spans="43:49" x14ac:dyDescent="0.25">
      <c r="AQ504" s="40"/>
      <c r="AU504" s="28"/>
      <c r="AV504" s="28"/>
      <c r="AW504" s="28"/>
    </row>
    <row r="505" spans="43:49" x14ac:dyDescent="0.25">
      <c r="AQ505" s="40"/>
      <c r="AU505" s="28"/>
      <c r="AV505" s="28"/>
      <c r="AW505" s="28"/>
    </row>
    <row r="506" spans="43:49" x14ac:dyDescent="0.25">
      <c r="AQ506" s="40"/>
      <c r="AU506" s="28"/>
      <c r="AV506" s="28"/>
      <c r="AW506" s="28"/>
    </row>
    <row r="507" spans="43:49" x14ac:dyDescent="0.25">
      <c r="AQ507" s="40"/>
      <c r="AU507" s="28"/>
      <c r="AV507" s="28"/>
      <c r="AW507" s="28"/>
    </row>
    <row r="508" spans="43:49" x14ac:dyDescent="0.25">
      <c r="AQ508" s="40"/>
      <c r="AU508" s="28"/>
      <c r="AV508" s="28"/>
      <c r="AW508" s="28"/>
    </row>
    <row r="509" spans="43:49" x14ac:dyDescent="0.25">
      <c r="AQ509" s="40"/>
      <c r="AU509" s="28"/>
      <c r="AV509" s="28"/>
      <c r="AW509" s="28"/>
    </row>
    <row r="510" spans="43:49" x14ac:dyDescent="0.25">
      <c r="AQ510" s="40"/>
      <c r="AU510" s="28"/>
      <c r="AV510" s="28"/>
      <c r="AW510" s="28"/>
    </row>
    <row r="511" spans="43:49" x14ac:dyDescent="0.25">
      <c r="AQ511" s="40"/>
      <c r="AU511" s="28"/>
      <c r="AV511" s="28"/>
      <c r="AW511" s="28"/>
    </row>
    <row r="512" spans="43:49" x14ac:dyDescent="0.25">
      <c r="AQ512" s="40"/>
      <c r="AU512" s="28"/>
      <c r="AV512" s="28"/>
      <c r="AW512" s="28"/>
    </row>
    <row r="513" spans="43:53" x14ac:dyDescent="0.25">
      <c r="AQ513" s="40"/>
      <c r="AU513" s="28"/>
      <c r="AV513" s="28"/>
      <c r="AW513" s="28"/>
    </row>
    <row r="514" spans="43:53" x14ac:dyDescent="0.25">
      <c r="AQ514" s="40"/>
      <c r="AU514" s="28"/>
      <c r="AV514" s="28"/>
      <c r="AW514" s="28"/>
    </row>
    <row r="515" spans="43:53" x14ac:dyDescent="0.25">
      <c r="AQ515" s="40"/>
      <c r="AU515" s="28"/>
      <c r="AV515" s="28"/>
      <c r="AW515" s="28"/>
    </row>
    <row r="516" spans="43:53" x14ac:dyDescent="0.25">
      <c r="AQ516" s="40"/>
      <c r="AU516" s="28"/>
      <c r="AV516" s="28"/>
      <c r="AW516" s="28"/>
    </row>
    <row r="517" spans="43:53" x14ac:dyDescent="0.25">
      <c r="AQ517" s="40"/>
      <c r="AU517" s="28"/>
      <c r="AV517" s="28"/>
      <c r="AW517" s="28"/>
    </row>
    <row r="518" spans="43:53" x14ac:dyDescent="0.25">
      <c r="AQ518" s="40"/>
      <c r="AU518" s="28"/>
      <c r="AV518" s="28"/>
      <c r="AW518" s="28"/>
    </row>
    <row r="519" spans="43:53" x14ac:dyDescent="0.25">
      <c r="AQ519" s="40"/>
      <c r="AU519" s="28"/>
      <c r="AV519" s="28"/>
      <c r="AW519" s="28"/>
    </row>
    <row r="520" spans="43:53" x14ac:dyDescent="0.25">
      <c r="AQ520" s="40"/>
      <c r="AU520" s="28"/>
      <c r="AV520" s="28"/>
      <c r="AW520" s="28"/>
    </row>
    <row r="521" spans="43:53" x14ac:dyDescent="0.25">
      <c r="AQ521" s="40"/>
      <c r="AU521" s="28"/>
      <c r="AV521" s="28"/>
      <c r="AW521" s="28"/>
    </row>
    <row r="522" spans="43:53" x14ac:dyDescent="0.25">
      <c r="AQ522" s="40"/>
      <c r="AU522" s="28"/>
      <c r="AV522" s="28"/>
      <c r="AW522" s="28"/>
      <c r="BA522" s="14"/>
    </row>
    <row r="523" spans="43:53" x14ac:dyDescent="0.25">
      <c r="AQ523" s="40"/>
      <c r="AU523" s="28"/>
      <c r="AV523" s="28"/>
      <c r="AW523" s="28"/>
    </row>
    <row r="524" spans="43:53" x14ac:dyDescent="0.25">
      <c r="AQ524" s="40"/>
      <c r="AU524" s="28"/>
      <c r="AV524" s="28"/>
      <c r="AW524" s="28"/>
    </row>
    <row r="525" spans="43:53" x14ac:dyDescent="0.25">
      <c r="AQ525" s="40"/>
      <c r="AU525" s="28"/>
      <c r="AV525" s="28"/>
      <c r="AW525" s="28"/>
    </row>
    <row r="526" spans="43:53" x14ac:dyDescent="0.25">
      <c r="AQ526" s="40"/>
      <c r="AU526" s="28"/>
      <c r="AV526" s="28"/>
      <c r="AW526" s="28"/>
    </row>
    <row r="527" spans="43:53" x14ac:dyDescent="0.25">
      <c r="AQ527" s="40"/>
      <c r="AU527" s="28"/>
      <c r="AV527" s="28"/>
      <c r="AW527" s="28"/>
    </row>
    <row r="528" spans="43:53" x14ac:dyDescent="0.25">
      <c r="AQ528" s="40"/>
      <c r="AU528" s="28"/>
      <c r="AV528" s="28"/>
      <c r="AW528" s="28"/>
    </row>
    <row r="529" spans="43:49" x14ac:dyDescent="0.25">
      <c r="AQ529" s="40"/>
      <c r="AU529" s="28"/>
      <c r="AV529" s="28"/>
      <c r="AW529" s="28"/>
    </row>
    <row r="530" spans="43:49" x14ac:dyDescent="0.25">
      <c r="AQ530" s="40"/>
      <c r="AU530" s="28"/>
      <c r="AV530" s="28"/>
      <c r="AW530" s="28"/>
    </row>
    <row r="531" spans="43:49" x14ac:dyDescent="0.25">
      <c r="AQ531" s="40"/>
      <c r="AU531" s="28"/>
      <c r="AV531" s="28"/>
      <c r="AW531" s="28"/>
    </row>
    <row r="532" spans="43:49" x14ac:dyDescent="0.25">
      <c r="AQ532" s="40"/>
      <c r="AU532" s="28"/>
      <c r="AV532" s="28"/>
      <c r="AW532" s="28"/>
    </row>
    <row r="533" spans="43:49" x14ac:dyDescent="0.25">
      <c r="AQ533" s="40"/>
      <c r="AU533" s="28"/>
      <c r="AV533" s="28"/>
      <c r="AW533" s="28"/>
    </row>
    <row r="534" spans="43:49" x14ac:dyDescent="0.25">
      <c r="AQ534" s="40"/>
      <c r="AU534" s="28"/>
      <c r="AV534" s="28"/>
      <c r="AW534" s="28"/>
    </row>
    <row r="535" spans="43:49" x14ac:dyDescent="0.25">
      <c r="AQ535" s="40"/>
      <c r="AU535" s="28"/>
      <c r="AV535" s="28"/>
      <c r="AW535" s="28"/>
    </row>
    <row r="536" spans="43:49" x14ac:dyDescent="0.25">
      <c r="AQ536" s="40"/>
      <c r="AU536" s="28"/>
      <c r="AV536" s="28"/>
      <c r="AW536" s="28"/>
    </row>
    <row r="537" spans="43:49" x14ac:dyDescent="0.25">
      <c r="AQ537" s="40"/>
      <c r="AU537" s="28"/>
      <c r="AV537" s="28"/>
      <c r="AW537" s="28"/>
    </row>
    <row r="538" spans="43:49" x14ac:dyDescent="0.25">
      <c r="AQ538" s="40"/>
      <c r="AU538" s="28"/>
      <c r="AV538" s="28"/>
      <c r="AW538" s="28"/>
    </row>
    <row r="539" spans="43:49" x14ac:dyDescent="0.25">
      <c r="AQ539" s="40"/>
      <c r="AU539" s="28"/>
      <c r="AV539" s="28"/>
      <c r="AW539" s="28"/>
    </row>
    <row r="540" spans="43:49" x14ac:dyDescent="0.25">
      <c r="AQ540" s="40"/>
      <c r="AU540" s="28"/>
      <c r="AV540" s="28"/>
      <c r="AW540" s="28"/>
    </row>
    <row r="541" spans="43:49" x14ac:dyDescent="0.25">
      <c r="AQ541" s="40"/>
      <c r="AU541" s="28"/>
      <c r="AV541" s="28"/>
      <c r="AW541" s="28"/>
    </row>
    <row r="542" spans="43:49" x14ac:dyDescent="0.25">
      <c r="AQ542" s="40"/>
      <c r="AU542" s="28"/>
      <c r="AV542" s="28"/>
      <c r="AW542" s="28"/>
    </row>
    <row r="543" spans="43:49" x14ac:dyDescent="0.25">
      <c r="AQ543" s="40"/>
      <c r="AU543" s="28"/>
      <c r="AV543" s="28"/>
      <c r="AW543" s="28"/>
    </row>
    <row r="544" spans="43:49" x14ac:dyDescent="0.25">
      <c r="AQ544" s="40"/>
      <c r="AU544" s="28"/>
      <c r="AV544" s="28"/>
      <c r="AW544" s="28"/>
    </row>
    <row r="545" spans="43:49" x14ac:dyDescent="0.25">
      <c r="AQ545" s="40"/>
      <c r="AU545" s="28"/>
      <c r="AV545" s="28"/>
      <c r="AW545" s="28"/>
    </row>
    <row r="546" spans="43:49" x14ac:dyDescent="0.25">
      <c r="AQ546" s="40"/>
      <c r="AU546" s="28"/>
      <c r="AV546" s="28"/>
      <c r="AW546" s="28"/>
    </row>
    <row r="547" spans="43:49" x14ac:dyDescent="0.25">
      <c r="AQ547" s="40"/>
      <c r="AU547" s="28"/>
      <c r="AV547" s="28"/>
      <c r="AW547" s="28"/>
    </row>
    <row r="548" spans="43:49" x14ac:dyDescent="0.25">
      <c r="AQ548" s="40"/>
      <c r="AU548" s="28"/>
      <c r="AV548" s="28"/>
      <c r="AW548" s="28"/>
    </row>
    <row r="549" spans="43:49" x14ac:dyDescent="0.25">
      <c r="AQ549" s="40"/>
      <c r="AU549" s="28"/>
      <c r="AV549" s="28"/>
      <c r="AW549" s="28"/>
    </row>
    <row r="550" spans="43:49" x14ac:dyDescent="0.25">
      <c r="AQ550" s="40"/>
      <c r="AU550" s="28"/>
      <c r="AV550" s="28"/>
      <c r="AW550" s="28"/>
    </row>
    <row r="551" spans="43:49" x14ac:dyDescent="0.25">
      <c r="AQ551" s="40"/>
      <c r="AU551" s="28"/>
      <c r="AV551" s="28"/>
      <c r="AW551" s="28"/>
    </row>
    <row r="552" spans="43:49" x14ac:dyDescent="0.25">
      <c r="AQ552" s="40"/>
      <c r="AU552" s="28"/>
      <c r="AV552" s="28"/>
      <c r="AW552" s="28"/>
    </row>
    <row r="553" spans="43:49" x14ac:dyDescent="0.25">
      <c r="AQ553" s="40"/>
      <c r="AU553" s="28"/>
      <c r="AV553" s="28"/>
      <c r="AW553" s="28"/>
    </row>
    <row r="554" spans="43:49" x14ac:dyDescent="0.25">
      <c r="AQ554" s="40"/>
      <c r="AU554" s="28"/>
      <c r="AV554" s="28"/>
      <c r="AW554" s="28"/>
    </row>
    <row r="555" spans="43:49" x14ac:dyDescent="0.25">
      <c r="AQ555" s="40"/>
      <c r="AU555" s="28"/>
      <c r="AV555" s="28"/>
      <c r="AW555" s="28"/>
    </row>
    <row r="556" spans="43:49" x14ac:dyDescent="0.25">
      <c r="AQ556" s="40"/>
      <c r="AU556" s="28"/>
      <c r="AV556" s="28"/>
      <c r="AW556" s="28"/>
    </row>
    <row r="557" spans="43:49" x14ac:dyDescent="0.25">
      <c r="AQ557" s="40"/>
      <c r="AU557" s="28"/>
      <c r="AV557" s="28"/>
      <c r="AW557" s="28"/>
    </row>
    <row r="558" spans="43:49" x14ac:dyDescent="0.25">
      <c r="AQ558" s="40"/>
      <c r="AU558" s="28"/>
      <c r="AV558" s="28"/>
      <c r="AW558" s="28"/>
    </row>
    <row r="559" spans="43:49" x14ac:dyDescent="0.25">
      <c r="AQ559" s="40"/>
      <c r="AU559" s="28"/>
      <c r="AV559" s="28"/>
      <c r="AW559" s="28"/>
    </row>
    <row r="560" spans="43:49" x14ac:dyDescent="0.25">
      <c r="AQ560" s="40"/>
      <c r="AU560" s="28"/>
      <c r="AV560" s="28"/>
      <c r="AW560" s="28"/>
    </row>
    <row r="561" spans="43:49" x14ac:dyDescent="0.25">
      <c r="AQ561" s="40"/>
      <c r="AU561" s="28"/>
      <c r="AV561" s="28"/>
      <c r="AW561" s="28"/>
    </row>
    <row r="562" spans="43:49" x14ac:dyDescent="0.25">
      <c r="AQ562" s="40"/>
      <c r="AU562" s="28"/>
      <c r="AV562" s="28"/>
      <c r="AW562" s="28"/>
    </row>
    <row r="563" spans="43:49" x14ac:dyDescent="0.25">
      <c r="AQ563" s="40"/>
      <c r="AU563" s="28"/>
      <c r="AV563" s="28"/>
      <c r="AW563" s="28"/>
    </row>
    <row r="564" spans="43:49" x14ac:dyDescent="0.25">
      <c r="AQ564" s="40"/>
      <c r="AU564" s="28"/>
      <c r="AV564" s="28"/>
      <c r="AW564" s="28"/>
    </row>
    <row r="565" spans="43:49" x14ac:dyDescent="0.25">
      <c r="AQ565" s="40"/>
      <c r="AU565" s="28"/>
      <c r="AV565" s="28"/>
      <c r="AW565" s="28"/>
    </row>
    <row r="566" spans="43:49" x14ac:dyDescent="0.25">
      <c r="AQ566" s="40"/>
      <c r="AU566" s="28"/>
      <c r="AV566" s="28"/>
      <c r="AW566" s="28"/>
    </row>
    <row r="567" spans="43:49" x14ac:dyDescent="0.25">
      <c r="AQ567" s="40"/>
      <c r="AU567" s="28"/>
      <c r="AV567" s="28"/>
      <c r="AW567" s="28"/>
    </row>
    <row r="568" spans="43:49" x14ac:dyDescent="0.25">
      <c r="AQ568" s="40"/>
      <c r="AU568" s="28"/>
      <c r="AV568" s="28"/>
      <c r="AW568" s="28"/>
    </row>
    <row r="569" spans="43:49" x14ac:dyDescent="0.25">
      <c r="AQ569" s="40"/>
      <c r="AU569" s="28"/>
      <c r="AV569" s="28"/>
      <c r="AW569" s="28"/>
    </row>
    <row r="570" spans="43:49" x14ac:dyDescent="0.25">
      <c r="AQ570" s="40"/>
      <c r="AU570" s="28"/>
      <c r="AV570" s="28"/>
      <c r="AW570" s="28"/>
    </row>
    <row r="571" spans="43:49" x14ac:dyDescent="0.25">
      <c r="AQ571" s="40"/>
      <c r="AU571" s="28"/>
      <c r="AV571" s="28"/>
      <c r="AW571" s="28"/>
    </row>
    <row r="572" spans="43:49" x14ac:dyDescent="0.25">
      <c r="AQ572" s="40"/>
      <c r="AU572" s="28"/>
      <c r="AV572" s="28"/>
      <c r="AW572" s="28"/>
    </row>
    <row r="573" spans="43:49" x14ac:dyDescent="0.25">
      <c r="AQ573" s="40"/>
      <c r="AU573" s="28"/>
      <c r="AV573" s="28"/>
      <c r="AW573" s="28"/>
    </row>
    <row r="574" spans="43:49" x14ac:dyDescent="0.25">
      <c r="AQ574" s="40"/>
      <c r="AU574" s="28"/>
      <c r="AV574" s="28"/>
      <c r="AW574" s="28"/>
    </row>
    <row r="575" spans="43:49" x14ac:dyDescent="0.25">
      <c r="AQ575" s="40"/>
      <c r="AU575" s="28"/>
      <c r="AV575" s="28"/>
      <c r="AW575" s="28"/>
    </row>
    <row r="576" spans="43:49" x14ac:dyDescent="0.25">
      <c r="AQ576" s="40"/>
      <c r="AU576" s="28"/>
      <c r="AV576" s="28"/>
      <c r="AW576" s="28"/>
    </row>
    <row r="577" spans="43:49" x14ac:dyDescent="0.25">
      <c r="AQ577" s="40"/>
      <c r="AU577" s="28"/>
      <c r="AV577" s="28"/>
      <c r="AW577" s="28"/>
    </row>
    <row r="578" spans="43:49" x14ac:dyDescent="0.25">
      <c r="AQ578" s="40"/>
      <c r="AU578" s="28"/>
      <c r="AV578" s="28"/>
      <c r="AW578" s="28"/>
    </row>
    <row r="579" spans="43:49" x14ac:dyDescent="0.25">
      <c r="AQ579" s="40"/>
      <c r="AU579" s="28"/>
      <c r="AV579" s="28"/>
      <c r="AW579" s="28"/>
    </row>
    <row r="580" spans="43:49" x14ac:dyDescent="0.25">
      <c r="AQ580" s="40"/>
      <c r="AU580" s="28"/>
      <c r="AV580" s="28"/>
      <c r="AW580" s="28"/>
    </row>
    <row r="581" spans="43:49" x14ac:dyDescent="0.25">
      <c r="AQ581" s="40"/>
      <c r="AU581" s="28"/>
      <c r="AV581" s="28"/>
      <c r="AW581" s="28"/>
    </row>
    <row r="582" spans="43:49" x14ac:dyDescent="0.25">
      <c r="AQ582" s="40"/>
      <c r="AU582" s="28"/>
      <c r="AV582" s="28"/>
      <c r="AW582" s="28"/>
    </row>
    <row r="583" spans="43:49" x14ac:dyDescent="0.25">
      <c r="AQ583" s="40"/>
      <c r="AU583" s="28"/>
      <c r="AV583" s="28"/>
      <c r="AW583" s="28"/>
    </row>
    <row r="584" spans="43:49" x14ac:dyDescent="0.25">
      <c r="AQ584" s="40"/>
      <c r="AU584" s="28"/>
      <c r="AV584" s="28"/>
      <c r="AW584" s="28"/>
    </row>
    <row r="585" spans="43:49" x14ac:dyDescent="0.25">
      <c r="AQ585" s="40"/>
      <c r="AU585" s="28"/>
      <c r="AV585" s="28"/>
      <c r="AW585" s="28"/>
    </row>
    <row r="586" spans="43:49" x14ac:dyDescent="0.25">
      <c r="AQ586" s="40"/>
      <c r="AU586" s="28"/>
      <c r="AV586" s="28"/>
      <c r="AW586" s="28"/>
    </row>
    <row r="587" spans="43:49" x14ac:dyDescent="0.25">
      <c r="AQ587" s="40"/>
      <c r="AU587" s="28"/>
      <c r="AV587" s="28"/>
      <c r="AW587" s="28"/>
    </row>
    <row r="588" spans="43:49" x14ac:dyDescent="0.25">
      <c r="AQ588" s="40"/>
      <c r="AU588" s="28"/>
      <c r="AV588" s="28"/>
      <c r="AW588" s="28"/>
    </row>
    <row r="589" spans="43:49" x14ac:dyDescent="0.25">
      <c r="AQ589" s="40"/>
      <c r="AU589" s="28"/>
      <c r="AV589" s="28"/>
      <c r="AW589" s="28"/>
    </row>
    <row r="590" spans="43:49" x14ac:dyDescent="0.25">
      <c r="AQ590" s="40"/>
      <c r="AU590" s="28"/>
      <c r="AV590" s="28"/>
      <c r="AW590" s="28"/>
    </row>
    <row r="591" spans="43:49" x14ac:dyDescent="0.25">
      <c r="AQ591" s="40"/>
      <c r="AU591" s="28"/>
      <c r="AV591" s="28"/>
      <c r="AW591" s="28"/>
    </row>
    <row r="592" spans="43:49" x14ac:dyDescent="0.25">
      <c r="AQ592" s="40"/>
      <c r="AU592" s="28"/>
      <c r="AV592" s="28"/>
      <c r="AW592" s="28"/>
    </row>
    <row r="593" spans="43:49" x14ac:dyDescent="0.25">
      <c r="AQ593" s="40"/>
      <c r="AU593" s="28"/>
      <c r="AV593" s="28"/>
      <c r="AW593" s="28"/>
    </row>
    <row r="594" spans="43:49" x14ac:dyDescent="0.25">
      <c r="AQ594" s="40"/>
      <c r="AU594" s="28"/>
      <c r="AV594" s="28"/>
      <c r="AW594" s="28"/>
    </row>
    <row r="595" spans="43:49" x14ac:dyDescent="0.25">
      <c r="AQ595" s="40"/>
      <c r="AU595" s="28"/>
      <c r="AV595" s="28"/>
      <c r="AW595" s="28"/>
    </row>
    <row r="596" spans="43:49" x14ac:dyDescent="0.25">
      <c r="AQ596" s="40"/>
      <c r="AU596" s="28"/>
      <c r="AV596" s="28"/>
      <c r="AW596" s="28"/>
    </row>
    <row r="597" spans="43:49" x14ac:dyDescent="0.25">
      <c r="AQ597" s="40"/>
      <c r="AU597" s="28"/>
      <c r="AV597" s="28"/>
      <c r="AW597" s="28"/>
    </row>
    <row r="598" spans="43:49" x14ac:dyDescent="0.25">
      <c r="AQ598" s="40"/>
      <c r="AU598" s="28"/>
      <c r="AV598" s="28"/>
      <c r="AW598" s="28"/>
    </row>
    <row r="599" spans="43:49" x14ac:dyDescent="0.25">
      <c r="AQ599" s="40"/>
      <c r="AU599" s="28"/>
      <c r="AV599" s="28"/>
      <c r="AW599" s="28"/>
    </row>
    <row r="600" spans="43:49" x14ac:dyDescent="0.25">
      <c r="AQ600" s="40"/>
      <c r="AU600" s="28"/>
      <c r="AV600" s="28"/>
      <c r="AW600" s="28"/>
    </row>
    <row r="601" spans="43:49" x14ac:dyDescent="0.25">
      <c r="AQ601" s="40"/>
      <c r="AU601" s="28"/>
      <c r="AV601" s="28"/>
      <c r="AW601" s="28"/>
    </row>
    <row r="602" spans="43:49" x14ac:dyDescent="0.25">
      <c r="AQ602" s="40"/>
      <c r="AU602" s="28"/>
      <c r="AV602" s="28"/>
      <c r="AW602" s="28"/>
    </row>
    <row r="603" spans="43:49" x14ac:dyDescent="0.25">
      <c r="AQ603" s="40"/>
      <c r="AU603" s="28"/>
      <c r="AV603" s="28"/>
      <c r="AW603" s="28"/>
    </row>
    <row r="604" spans="43:49" x14ac:dyDescent="0.25">
      <c r="AQ604" s="40"/>
      <c r="AU604" s="28"/>
      <c r="AV604" s="28"/>
      <c r="AW604" s="28"/>
    </row>
    <row r="605" spans="43:49" x14ac:dyDescent="0.25">
      <c r="AQ605" s="40"/>
      <c r="AU605" s="28"/>
      <c r="AV605" s="28"/>
      <c r="AW605" s="28"/>
    </row>
    <row r="606" spans="43:49" x14ac:dyDescent="0.25">
      <c r="AQ606" s="40"/>
      <c r="AU606" s="28"/>
      <c r="AV606" s="28"/>
      <c r="AW606" s="28"/>
    </row>
    <row r="607" spans="43:49" x14ac:dyDescent="0.25">
      <c r="AQ607" s="40"/>
      <c r="AU607" s="28"/>
      <c r="AV607" s="28"/>
      <c r="AW607" s="28"/>
    </row>
    <row r="608" spans="43:49" x14ac:dyDescent="0.25">
      <c r="AQ608" s="40"/>
      <c r="AU608" s="28"/>
      <c r="AV608" s="28"/>
      <c r="AW608" s="28"/>
    </row>
    <row r="609" spans="43:49" x14ac:dyDescent="0.25">
      <c r="AQ609" s="40"/>
      <c r="AU609" s="28"/>
      <c r="AV609" s="28"/>
      <c r="AW609" s="28"/>
    </row>
    <row r="610" spans="43:49" x14ac:dyDescent="0.25">
      <c r="AQ610" s="40"/>
      <c r="AU610" s="28"/>
      <c r="AV610" s="28"/>
      <c r="AW610" s="28"/>
    </row>
    <row r="611" spans="43:49" x14ac:dyDescent="0.25">
      <c r="AQ611" s="40"/>
      <c r="AU611" s="28"/>
      <c r="AV611" s="28"/>
      <c r="AW611" s="28"/>
    </row>
    <row r="612" spans="43:49" x14ac:dyDescent="0.25">
      <c r="AQ612" s="40"/>
      <c r="AU612" s="28"/>
      <c r="AV612" s="28"/>
      <c r="AW612" s="28"/>
    </row>
    <row r="613" spans="43:49" x14ac:dyDescent="0.25">
      <c r="AQ613" s="40"/>
      <c r="AU613" s="28"/>
      <c r="AV613" s="28"/>
      <c r="AW613" s="28"/>
    </row>
    <row r="614" spans="43:49" x14ac:dyDescent="0.25">
      <c r="AQ614" s="40"/>
      <c r="AU614" s="28"/>
      <c r="AV614" s="28"/>
      <c r="AW614" s="28"/>
    </row>
    <row r="615" spans="43:49" x14ac:dyDescent="0.25">
      <c r="AQ615" s="40"/>
      <c r="AU615" s="28"/>
      <c r="AV615" s="28"/>
      <c r="AW615" s="28"/>
    </row>
    <row r="616" spans="43:49" x14ac:dyDescent="0.25">
      <c r="AQ616" s="40"/>
      <c r="AU616" s="28"/>
      <c r="AV616" s="28"/>
      <c r="AW616" s="28"/>
    </row>
    <row r="617" spans="43:49" x14ac:dyDescent="0.25">
      <c r="AQ617" s="40"/>
      <c r="AU617" s="28"/>
      <c r="AV617" s="28"/>
      <c r="AW617" s="28"/>
    </row>
    <row r="618" spans="43:49" x14ac:dyDescent="0.25">
      <c r="AQ618" s="40"/>
      <c r="AU618" s="28"/>
      <c r="AV618" s="28"/>
      <c r="AW618" s="28"/>
    </row>
    <row r="619" spans="43:49" x14ac:dyDescent="0.25">
      <c r="AQ619" s="40"/>
      <c r="AU619" s="28"/>
      <c r="AV619" s="28"/>
      <c r="AW619" s="28"/>
    </row>
    <row r="620" spans="43:49" x14ac:dyDescent="0.25">
      <c r="AQ620" s="40"/>
      <c r="AU620" s="28"/>
      <c r="AV620" s="28"/>
      <c r="AW620" s="28"/>
    </row>
    <row r="621" spans="43:49" x14ac:dyDescent="0.25">
      <c r="AQ621" s="40"/>
      <c r="AU621" s="28"/>
      <c r="AV621" s="28"/>
      <c r="AW621" s="28"/>
    </row>
    <row r="622" spans="43:49" x14ac:dyDescent="0.25">
      <c r="AQ622" s="40"/>
      <c r="AU622" s="28"/>
      <c r="AV622" s="28"/>
      <c r="AW622" s="28"/>
    </row>
    <row r="623" spans="43:49" x14ac:dyDescent="0.25">
      <c r="AQ623" s="40"/>
      <c r="AU623" s="28"/>
      <c r="AV623" s="28"/>
      <c r="AW623" s="28"/>
    </row>
    <row r="624" spans="43:49" x14ac:dyDescent="0.25">
      <c r="AQ624" s="40"/>
      <c r="AU624" s="28"/>
      <c r="AV624" s="28"/>
      <c r="AW624" s="28"/>
    </row>
    <row r="625" spans="43:49" x14ac:dyDescent="0.25">
      <c r="AQ625" s="40"/>
      <c r="AU625" s="28"/>
      <c r="AV625" s="28"/>
      <c r="AW625" s="28"/>
    </row>
    <row r="626" spans="43:49" x14ac:dyDescent="0.25">
      <c r="AQ626" s="40"/>
      <c r="AU626" s="28"/>
      <c r="AV626" s="28"/>
      <c r="AW626" s="28"/>
    </row>
    <row r="627" spans="43:49" x14ac:dyDescent="0.25">
      <c r="AQ627" s="40"/>
      <c r="AU627" s="28"/>
      <c r="AV627" s="28"/>
      <c r="AW627" s="28"/>
    </row>
    <row r="628" spans="43:49" x14ac:dyDescent="0.25">
      <c r="AQ628" s="40"/>
      <c r="AU628" s="28"/>
      <c r="AV628" s="28"/>
      <c r="AW628" s="28"/>
    </row>
    <row r="629" spans="43:49" x14ac:dyDescent="0.25">
      <c r="AQ629" s="40"/>
      <c r="AU629" s="28"/>
      <c r="AV629" s="28"/>
      <c r="AW629" s="28"/>
    </row>
    <row r="630" spans="43:49" x14ac:dyDescent="0.25">
      <c r="AQ630" s="40"/>
      <c r="AU630" s="28"/>
      <c r="AV630" s="28"/>
      <c r="AW630" s="28"/>
    </row>
    <row r="631" spans="43:49" x14ac:dyDescent="0.25">
      <c r="AQ631" s="40"/>
      <c r="AU631" s="28"/>
      <c r="AV631" s="28"/>
      <c r="AW631" s="28"/>
    </row>
    <row r="632" spans="43:49" x14ac:dyDescent="0.25">
      <c r="AQ632" s="40"/>
      <c r="AU632" s="28"/>
      <c r="AV632" s="28"/>
      <c r="AW632" s="28"/>
    </row>
    <row r="633" spans="43:49" x14ac:dyDescent="0.25">
      <c r="AQ633" s="40"/>
      <c r="AU633" s="28"/>
      <c r="AV633" s="28"/>
      <c r="AW633" s="28"/>
    </row>
    <row r="634" spans="43:49" x14ac:dyDescent="0.25">
      <c r="AQ634" s="40"/>
      <c r="AU634" s="28"/>
      <c r="AV634" s="28"/>
      <c r="AW634" s="28"/>
    </row>
    <row r="635" spans="43:49" x14ac:dyDescent="0.25">
      <c r="AQ635" s="40"/>
      <c r="AU635" s="28"/>
      <c r="AV635" s="28"/>
      <c r="AW635" s="28"/>
    </row>
    <row r="636" spans="43:49" x14ac:dyDescent="0.25">
      <c r="AQ636" s="40"/>
      <c r="AU636" s="28"/>
      <c r="AV636" s="28"/>
      <c r="AW636" s="28"/>
    </row>
    <row r="637" spans="43:49" x14ac:dyDescent="0.25">
      <c r="AQ637" s="40"/>
      <c r="AU637" s="28"/>
      <c r="AV637" s="28"/>
      <c r="AW637" s="28"/>
    </row>
    <row r="638" spans="43:49" x14ac:dyDescent="0.25">
      <c r="AQ638" s="40"/>
      <c r="AU638" s="28"/>
      <c r="AV638" s="28"/>
      <c r="AW638" s="28"/>
    </row>
    <row r="639" spans="43:49" x14ac:dyDescent="0.25">
      <c r="AQ639" s="40"/>
      <c r="AU639" s="28"/>
      <c r="AV639" s="28"/>
      <c r="AW639" s="28"/>
    </row>
    <row r="640" spans="43:49" x14ac:dyDescent="0.25">
      <c r="AQ640" s="40"/>
      <c r="AU640" s="28"/>
      <c r="AV640" s="28"/>
      <c r="AW640" s="28"/>
    </row>
    <row r="641" spans="43:49" x14ac:dyDescent="0.25">
      <c r="AQ641" s="40"/>
      <c r="AU641" s="28"/>
      <c r="AV641" s="28"/>
      <c r="AW641" s="28"/>
    </row>
    <row r="642" spans="43:49" x14ac:dyDescent="0.25">
      <c r="AQ642" s="40"/>
      <c r="AU642" s="28"/>
      <c r="AV642" s="28"/>
      <c r="AW642" s="28"/>
    </row>
    <row r="643" spans="43:49" x14ac:dyDescent="0.25">
      <c r="AQ643" s="40"/>
      <c r="AU643" s="28"/>
      <c r="AV643" s="28"/>
      <c r="AW643" s="28"/>
    </row>
    <row r="644" spans="43:49" x14ac:dyDescent="0.25">
      <c r="AQ644" s="40"/>
      <c r="AU644" s="28"/>
      <c r="AV644" s="28"/>
      <c r="AW644" s="28"/>
    </row>
    <row r="645" spans="43:49" x14ac:dyDescent="0.25">
      <c r="AQ645" s="40"/>
      <c r="AU645" s="28"/>
      <c r="AV645" s="28"/>
      <c r="AW645" s="28"/>
    </row>
    <row r="646" spans="43:49" x14ac:dyDescent="0.25">
      <c r="AQ646" s="40"/>
      <c r="AU646" s="28"/>
      <c r="AV646" s="28"/>
      <c r="AW646" s="28"/>
    </row>
    <row r="647" spans="43:49" x14ac:dyDescent="0.25">
      <c r="AQ647" s="40"/>
      <c r="AU647" s="28"/>
      <c r="AV647" s="28"/>
      <c r="AW647" s="28"/>
    </row>
    <row r="648" spans="43:49" x14ac:dyDescent="0.25">
      <c r="AQ648" s="40"/>
      <c r="AU648" s="28"/>
      <c r="AV648" s="28"/>
      <c r="AW648" s="28"/>
    </row>
    <row r="649" spans="43:49" x14ac:dyDescent="0.25">
      <c r="AQ649" s="40"/>
      <c r="AU649" s="28"/>
      <c r="AV649" s="28"/>
      <c r="AW649" s="28"/>
    </row>
    <row r="650" spans="43:49" x14ac:dyDescent="0.25">
      <c r="AQ650" s="40"/>
      <c r="AU650" s="28"/>
      <c r="AV650" s="28"/>
      <c r="AW650" s="28"/>
    </row>
    <row r="651" spans="43:49" x14ac:dyDescent="0.25">
      <c r="AQ651" s="40"/>
      <c r="AU651" s="28"/>
      <c r="AV651" s="28"/>
      <c r="AW651" s="28"/>
    </row>
    <row r="652" spans="43:49" x14ac:dyDescent="0.25">
      <c r="AQ652" s="40"/>
      <c r="AU652" s="28"/>
      <c r="AV652" s="28"/>
      <c r="AW652" s="28"/>
    </row>
    <row r="653" spans="43:49" x14ac:dyDescent="0.25">
      <c r="AQ653" s="40"/>
      <c r="AU653" s="28"/>
      <c r="AV653" s="28"/>
      <c r="AW653" s="28"/>
    </row>
    <row r="654" spans="43:49" x14ac:dyDescent="0.25">
      <c r="AQ654" s="40"/>
      <c r="AU654" s="28"/>
      <c r="AV654" s="28"/>
      <c r="AW654" s="28"/>
    </row>
    <row r="655" spans="43:49" x14ac:dyDescent="0.25">
      <c r="AQ655" s="40"/>
      <c r="AU655" s="28"/>
      <c r="AV655" s="28"/>
      <c r="AW655" s="28"/>
    </row>
    <row r="656" spans="43:49" x14ac:dyDescent="0.25">
      <c r="AQ656" s="40"/>
      <c r="AU656" s="28"/>
      <c r="AV656" s="28"/>
      <c r="AW656" s="28"/>
    </row>
    <row r="657" spans="43:49" x14ac:dyDescent="0.25">
      <c r="AQ657" s="40"/>
      <c r="AU657" s="28"/>
      <c r="AV657" s="28"/>
      <c r="AW657" s="28"/>
    </row>
    <row r="658" spans="43:49" x14ac:dyDescent="0.25">
      <c r="AQ658" s="40"/>
      <c r="AU658" s="28"/>
      <c r="AV658" s="28"/>
      <c r="AW658" s="28"/>
    </row>
    <row r="659" spans="43:49" x14ac:dyDescent="0.25">
      <c r="AQ659" s="40"/>
      <c r="AU659" s="28"/>
      <c r="AV659" s="28"/>
      <c r="AW659" s="28"/>
    </row>
    <row r="660" spans="43:49" x14ac:dyDescent="0.25">
      <c r="AQ660" s="40"/>
      <c r="AU660" s="28"/>
      <c r="AV660" s="28"/>
      <c r="AW660" s="28"/>
    </row>
    <row r="661" spans="43:49" x14ac:dyDescent="0.25">
      <c r="AQ661" s="40"/>
      <c r="AU661" s="28"/>
      <c r="AV661" s="28"/>
      <c r="AW661" s="28"/>
    </row>
    <row r="662" spans="43:49" x14ac:dyDescent="0.25">
      <c r="AQ662" s="40"/>
      <c r="AU662" s="28"/>
      <c r="AV662" s="28"/>
      <c r="AW662" s="28"/>
    </row>
    <row r="663" spans="43:49" x14ac:dyDescent="0.25">
      <c r="AQ663" s="40"/>
      <c r="AU663" s="28"/>
      <c r="AV663" s="28"/>
      <c r="AW663" s="28"/>
    </row>
    <row r="664" spans="43:49" x14ac:dyDescent="0.25">
      <c r="AQ664" s="40"/>
      <c r="AU664" s="28"/>
      <c r="AV664" s="28"/>
      <c r="AW664" s="28"/>
    </row>
    <row r="665" spans="43:49" x14ac:dyDescent="0.25">
      <c r="AQ665" s="40"/>
      <c r="AU665" s="28"/>
      <c r="AV665" s="28"/>
      <c r="AW665" s="28"/>
    </row>
    <row r="666" spans="43:49" x14ac:dyDescent="0.25">
      <c r="AQ666" s="40"/>
      <c r="AU666" s="28"/>
      <c r="AV666" s="28"/>
      <c r="AW666" s="28"/>
    </row>
    <row r="667" spans="43:49" x14ac:dyDescent="0.25">
      <c r="AQ667" s="40"/>
      <c r="AU667" s="28"/>
      <c r="AV667" s="28"/>
      <c r="AW667" s="28"/>
    </row>
    <row r="668" spans="43:49" x14ac:dyDescent="0.25">
      <c r="AQ668" s="40"/>
      <c r="AU668" s="28"/>
      <c r="AV668" s="28"/>
      <c r="AW668" s="28"/>
    </row>
    <row r="669" spans="43:49" x14ac:dyDescent="0.25">
      <c r="AQ669" s="40"/>
      <c r="AU669" s="28"/>
      <c r="AV669" s="28"/>
      <c r="AW669" s="28"/>
    </row>
    <row r="670" spans="43:49" x14ac:dyDescent="0.25">
      <c r="AQ670" s="40"/>
      <c r="AU670" s="28"/>
      <c r="AV670" s="28"/>
      <c r="AW670" s="28"/>
    </row>
    <row r="671" spans="43:49" x14ac:dyDescent="0.25">
      <c r="AQ671" s="40"/>
      <c r="AU671" s="28"/>
      <c r="AV671" s="28"/>
      <c r="AW671" s="28"/>
    </row>
    <row r="672" spans="43:49" x14ac:dyDescent="0.25">
      <c r="AQ672" s="40"/>
      <c r="AU672" s="28"/>
      <c r="AV672" s="28"/>
      <c r="AW672" s="28"/>
    </row>
    <row r="673" spans="43:49" x14ac:dyDescent="0.25">
      <c r="AQ673" s="40"/>
      <c r="AU673" s="28"/>
      <c r="AV673" s="28"/>
      <c r="AW673" s="28"/>
    </row>
    <row r="674" spans="43:49" x14ac:dyDescent="0.25">
      <c r="AQ674" s="40"/>
      <c r="AU674" s="28"/>
      <c r="AV674" s="28"/>
      <c r="AW674" s="28"/>
    </row>
    <row r="675" spans="43:49" x14ac:dyDescent="0.25">
      <c r="AQ675" s="40"/>
      <c r="AU675" s="28"/>
      <c r="AV675" s="28"/>
      <c r="AW675" s="28"/>
    </row>
    <row r="676" spans="43:49" x14ac:dyDescent="0.25">
      <c r="AQ676" s="40"/>
      <c r="AU676" s="28"/>
      <c r="AV676" s="28"/>
      <c r="AW676" s="28"/>
    </row>
    <row r="677" spans="43:49" x14ac:dyDescent="0.25">
      <c r="AQ677" s="40"/>
      <c r="AU677" s="28"/>
      <c r="AV677" s="28"/>
      <c r="AW677" s="28"/>
    </row>
    <row r="678" spans="43:49" x14ac:dyDescent="0.25">
      <c r="AQ678" s="40"/>
      <c r="AU678" s="28"/>
      <c r="AV678" s="28"/>
      <c r="AW678" s="28"/>
    </row>
    <row r="679" spans="43:49" x14ac:dyDescent="0.25">
      <c r="AQ679" s="40"/>
      <c r="AU679" s="28"/>
      <c r="AV679" s="28"/>
      <c r="AW679" s="28"/>
    </row>
    <row r="680" spans="43:49" x14ac:dyDescent="0.25">
      <c r="AQ680" s="40"/>
      <c r="AU680" s="28"/>
      <c r="AV680" s="28"/>
      <c r="AW680" s="28"/>
    </row>
    <row r="681" spans="43:49" x14ac:dyDescent="0.25">
      <c r="AQ681" s="40"/>
      <c r="AU681" s="28"/>
      <c r="AV681" s="28"/>
      <c r="AW681" s="28"/>
    </row>
    <row r="682" spans="43:49" x14ac:dyDescent="0.25">
      <c r="AQ682" s="40"/>
      <c r="AU682" s="28"/>
      <c r="AV682" s="28"/>
      <c r="AW682" s="28"/>
    </row>
    <row r="683" spans="43:49" x14ac:dyDescent="0.25">
      <c r="AQ683" s="40"/>
      <c r="AU683" s="28"/>
      <c r="AV683" s="28"/>
      <c r="AW683" s="28"/>
    </row>
    <row r="684" spans="43:49" x14ac:dyDescent="0.25">
      <c r="AQ684" s="40"/>
      <c r="AU684" s="28"/>
      <c r="AV684" s="28"/>
      <c r="AW684" s="28"/>
    </row>
    <row r="685" spans="43:49" x14ac:dyDescent="0.25">
      <c r="AQ685" s="40"/>
      <c r="AU685" s="28"/>
      <c r="AV685" s="28"/>
      <c r="AW685" s="28"/>
    </row>
    <row r="686" spans="43:49" x14ac:dyDescent="0.25">
      <c r="AQ686" s="40"/>
      <c r="AU686" s="28"/>
      <c r="AV686" s="28"/>
      <c r="AW686" s="28"/>
    </row>
    <row r="687" spans="43:49" x14ac:dyDescent="0.25">
      <c r="AQ687" s="40"/>
      <c r="AU687" s="28"/>
      <c r="AV687" s="28"/>
      <c r="AW687" s="28"/>
    </row>
    <row r="688" spans="43:49" x14ac:dyDescent="0.25">
      <c r="AQ688" s="40"/>
      <c r="AU688" s="28"/>
      <c r="AV688" s="28"/>
      <c r="AW688" s="28"/>
    </row>
    <row r="689" spans="43:49" x14ac:dyDescent="0.25">
      <c r="AQ689" s="40"/>
      <c r="AU689" s="28"/>
      <c r="AV689" s="28"/>
      <c r="AW689" s="28"/>
    </row>
    <row r="690" spans="43:49" x14ac:dyDescent="0.25">
      <c r="AQ690" s="40"/>
      <c r="AU690" s="28"/>
      <c r="AV690" s="28"/>
      <c r="AW690" s="28"/>
    </row>
    <row r="691" spans="43:49" x14ac:dyDescent="0.25">
      <c r="AQ691" s="40"/>
      <c r="AU691" s="28"/>
      <c r="AV691" s="28"/>
      <c r="AW691" s="28"/>
    </row>
    <row r="692" spans="43:49" x14ac:dyDescent="0.25">
      <c r="AQ692" s="40"/>
      <c r="AU692" s="28"/>
      <c r="AV692" s="28"/>
      <c r="AW692" s="28"/>
    </row>
    <row r="693" spans="43:49" x14ac:dyDescent="0.25">
      <c r="AQ693" s="40"/>
      <c r="AU693" s="28"/>
      <c r="AV693" s="28"/>
      <c r="AW693" s="28"/>
    </row>
    <row r="694" spans="43:49" x14ac:dyDescent="0.25">
      <c r="AQ694" s="40"/>
      <c r="AU694" s="28"/>
      <c r="AV694" s="28"/>
      <c r="AW694" s="28"/>
    </row>
    <row r="695" spans="43:49" x14ac:dyDescent="0.25">
      <c r="AQ695" s="40"/>
      <c r="AU695" s="28"/>
      <c r="AV695" s="28"/>
      <c r="AW695" s="28"/>
    </row>
    <row r="696" spans="43:49" x14ac:dyDescent="0.25">
      <c r="AQ696" s="40"/>
      <c r="AU696" s="28"/>
      <c r="AV696" s="28"/>
      <c r="AW696" s="28"/>
    </row>
    <row r="697" spans="43:49" x14ac:dyDescent="0.25">
      <c r="AQ697" s="40"/>
      <c r="AU697" s="28"/>
      <c r="AV697" s="28"/>
      <c r="AW697" s="28"/>
    </row>
    <row r="698" spans="43:49" x14ac:dyDescent="0.25">
      <c r="AQ698" s="40"/>
      <c r="AU698" s="28"/>
      <c r="AV698" s="28"/>
      <c r="AW698" s="28"/>
    </row>
    <row r="699" spans="43:49" x14ac:dyDescent="0.25">
      <c r="AQ699" s="40"/>
      <c r="AU699" s="28"/>
      <c r="AV699" s="28"/>
      <c r="AW699" s="28"/>
    </row>
    <row r="700" spans="43:49" x14ac:dyDescent="0.25">
      <c r="AQ700" s="40"/>
      <c r="AU700" s="28"/>
      <c r="AV700" s="28"/>
      <c r="AW700" s="28"/>
    </row>
    <row r="701" spans="43:49" x14ac:dyDescent="0.25">
      <c r="AQ701" s="40"/>
      <c r="AU701" s="28"/>
      <c r="AV701" s="28"/>
      <c r="AW701" s="28"/>
    </row>
    <row r="702" spans="43:49" x14ac:dyDescent="0.25">
      <c r="AQ702" s="40"/>
      <c r="AU702" s="28"/>
      <c r="AV702" s="28"/>
      <c r="AW702" s="28"/>
    </row>
    <row r="703" spans="43:49" x14ac:dyDescent="0.25">
      <c r="AQ703" s="40"/>
      <c r="AU703" s="28"/>
      <c r="AV703" s="28"/>
      <c r="AW703" s="28"/>
    </row>
    <row r="704" spans="43:49" x14ac:dyDescent="0.25">
      <c r="AQ704" s="40"/>
      <c r="AU704" s="28"/>
      <c r="AV704" s="28"/>
      <c r="AW704" s="28"/>
    </row>
    <row r="705" spans="43:49" x14ac:dyDescent="0.25">
      <c r="AQ705" s="40"/>
      <c r="AU705" s="28"/>
      <c r="AV705" s="28"/>
      <c r="AW705" s="28"/>
    </row>
    <row r="706" spans="43:49" x14ac:dyDescent="0.25">
      <c r="AQ706" s="40"/>
      <c r="AU706" s="28"/>
      <c r="AV706" s="28"/>
      <c r="AW706" s="28"/>
    </row>
    <row r="707" spans="43:49" x14ac:dyDescent="0.25">
      <c r="AQ707" s="40"/>
      <c r="AU707" s="28"/>
      <c r="AV707" s="28"/>
      <c r="AW707" s="28"/>
    </row>
    <row r="708" spans="43:49" x14ac:dyDescent="0.25">
      <c r="AQ708" s="40"/>
      <c r="AU708" s="28"/>
      <c r="AV708" s="28"/>
      <c r="AW708" s="28"/>
    </row>
    <row r="709" spans="43:49" x14ac:dyDescent="0.25">
      <c r="AQ709" s="40"/>
      <c r="AU709" s="28"/>
      <c r="AV709" s="28"/>
      <c r="AW709" s="28"/>
    </row>
    <row r="710" spans="43:49" x14ac:dyDescent="0.25">
      <c r="AQ710" s="40"/>
      <c r="AU710" s="28"/>
      <c r="AV710" s="28"/>
      <c r="AW710" s="28"/>
    </row>
    <row r="711" spans="43:49" x14ac:dyDescent="0.25">
      <c r="AQ711" s="40"/>
      <c r="AU711" s="28"/>
      <c r="AV711" s="28"/>
      <c r="AW711" s="28"/>
    </row>
    <row r="712" spans="43:49" x14ac:dyDescent="0.25">
      <c r="AQ712" s="40"/>
      <c r="AU712" s="28"/>
      <c r="AV712" s="28"/>
      <c r="AW712" s="28"/>
    </row>
    <row r="713" spans="43:49" x14ac:dyDescent="0.25">
      <c r="AQ713" s="40"/>
      <c r="AU713" s="28"/>
      <c r="AV713" s="28"/>
      <c r="AW713" s="28"/>
    </row>
    <row r="714" spans="43:49" x14ac:dyDescent="0.25">
      <c r="AQ714" s="40"/>
      <c r="AU714" s="28"/>
      <c r="AV714" s="28"/>
      <c r="AW714" s="28"/>
    </row>
    <row r="715" spans="43:49" x14ac:dyDescent="0.25">
      <c r="AQ715" s="40"/>
      <c r="AU715" s="28"/>
      <c r="AV715" s="28"/>
      <c r="AW715" s="28"/>
    </row>
    <row r="716" spans="43:49" x14ac:dyDescent="0.25">
      <c r="AQ716" s="40"/>
      <c r="AU716" s="28"/>
      <c r="AV716" s="28"/>
      <c r="AW716" s="28"/>
    </row>
    <row r="717" spans="43:49" x14ac:dyDescent="0.25">
      <c r="AQ717" s="40"/>
      <c r="AU717" s="28"/>
      <c r="AV717" s="28"/>
      <c r="AW717" s="28"/>
    </row>
    <row r="718" spans="43:49" x14ac:dyDescent="0.25">
      <c r="AQ718" s="40"/>
      <c r="AU718" s="28"/>
      <c r="AV718" s="28"/>
      <c r="AW718" s="28"/>
    </row>
    <row r="719" spans="43:49" x14ac:dyDescent="0.25">
      <c r="AQ719" s="40"/>
      <c r="AU719" s="28"/>
      <c r="AV719" s="28"/>
      <c r="AW719" s="28"/>
    </row>
    <row r="720" spans="43:49" x14ac:dyDescent="0.25">
      <c r="AQ720" s="40"/>
      <c r="AU720" s="28"/>
      <c r="AV720" s="28"/>
      <c r="AW720" s="28"/>
    </row>
    <row r="721" spans="43:49" x14ac:dyDescent="0.25">
      <c r="AQ721" s="40"/>
      <c r="AU721" s="28"/>
      <c r="AV721" s="28"/>
      <c r="AW721" s="28"/>
    </row>
    <row r="722" spans="43:49" x14ac:dyDescent="0.25">
      <c r="AQ722" s="40"/>
      <c r="AU722" s="28"/>
      <c r="AV722" s="28"/>
      <c r="AW722" s="28"/>
    </row>
    <row r="723" spans="43:49" x14ac:dyDescent="0.25">
      <c r="AQ723" s="40"/>
      <c r="AU723" s="28"/>
      <c r="AV723" s="28"/>
      <c r="AW723" s="28"/>
    </row>
    <row r="724" spans="43:49" x14ac:dyDescent="0.25">
      <c r="AQ724" s="40"/>
      <c r="AU724" s="28"/>
      <c r="AV724" s="28"/>
      <c r="AW724" s="28"/>
    </row>
    <row r="725" spans="43:49" x14ac:dyDescent="0.25">
      <c r="AQ725" s="40"/>
      <c r="AU725" s="28"/>
      <c r="AV725" s="28"/>
      <c r="AW725" s="28"/>
    </row>
    <row r="726" spans="43:49" x14ac:dyDescent="0.25">
      <c r="AQ726" s="40"/>
      <c r="AU726" s="28"/>
      <c r="AV726" s="28"/>
      <c r="AW726" s="28"/>
    </row>
    <row r="727" spans="43:49" x14ac:dyDescent="0.25">
      <c r="AQ727" s="40"/>
      <c r="AU727" s="28"/>
      <c r="AV727" s="28"/>
      <c r="AW727" s="28"/>
    </row>
    <row r="728" spans="43:49" x14ac:dyDescent="0.25">
      <c r="AQ728" s="40"/>
      <c r="AU728" s="28"/>
      <c r="AV728" s="28"/>
      <c r="AW728" s="28"/>
    </row>
    <row r="729" spans="43:49" x14ac:dyDescent="0.25">
      <c r="AQ729" s="40"/>
      <c r="AU729" s="28"/>
      <c r="AV729" s="28"/>
      <c r="AW729" s="28"/>
    </row>
    <row r="730" spans="43:49" x14ac:dyDescent="0.25">
      <c r="AQ730" s="40"/>
      <c r="AU730" s="28"/>
      <c r="AV730" s="28"/>
      <c r="AW730" s="28"/>
    </row>
    <row r="731" spans="43:49" x14ac:dyDescent="0.25">
      <c r="AQ731" s="40"/>
      <c r="AU731" s="28"/>
      <c r="AV731" s="28"/>
      <c r="AW731" s="28"/>
    </row>
    <row r="732" spans="43:49" x14ac:dyDescent="0.25">
      <c r="AQ732" s="40"/>
      <c r="AU732" s="28"/>
      <c r="AV732" s="28"/>
      <c r="AW732" s="28"/>
    </row>
    <row r="733" spans="43:49" x14ac:dyDescent="0.25">
      <c r="AQ733" s="40"/>
      <c r="AU733" s="28"/>
      <c r="AV733" s="28"/>
      <c r="AW733" s="28"/>
    </row>
    <row r="734" spans="43:49" x14ac:dyDescent="0.25">
      <c r="AQ734" s="40"/>
      <c r="AU734" s="28"/>
      <c r="AV734" s="28"/>
      <c r="AW734" s="28"/>
    </row>
    <row r="735" spans="43:49" x14ac:dyDescent="0.25">
      <c r="AQ735" s="40"/>
      <c r="AU735" s="28"/>
      <c r="AV735" s="28"/>
      <c r="AW735" s="28"/>
    </row>
    <row r="736" spans="43:49" x14ac:dyDescent="0.25">
      <c r="AQ736" s="40"/>
      <c r="AU736" s="28"/>
      <c r="AV736" s="28"/>
      <c r="AW736" s="28"/>
    </row>
    <row r="737" spans="43:49" x14ac:dyDescent="0.25">
      <c r="AQ737" s="40"/>
      <c r="AU737" s="28"/>
      <c r="AV737" s="28"/>
      <c r="AW737" s="28"/>
    </row>
    <row r="738" spans="43:49" x14ac:dyDescent="0.25">
      <c r="AQ738" s="40"/>
      <c r="AU738" s="28"/>
      <c r="AV738" s="28"/>
      <c r="AW738" s="28"/>
    </row>
    <row r="739" spans="43:49" x14ac:dyDescent="0.25">
      <c r="AQ739" s="40"/>
      <c r="AU739" s="28"/>
      <c r="AV739" s="28"/>
      <c r="AW739" s="28"/>
    </row>
    <row r="740" spans="43:49" x14ac:dyDescent="0.25">
      <c r="AQ740" s="40"/>
      <c r="AU740" s="28"/>
      <c r="AV740" s="28"/>
      <c r="AW740" s="28"/>
    </row>
    <row r="741" spans="43:49" x14ac:dyDescent="0.25">
      <c r="AQ741" s="40"/>
      <c r="AU741" s="28"/>
      <c r="AV741" s="28"/>
      <c r="AW741" s="28"/>
    </row>
    <row r="742" spans="43:49" x14ac:dyDescent="0.25">
      <c r="AQ742" s="40"/>
      <c r="AU742" s="28"/>
      <c r="AV742" s="28"/>
      <c r="AW742" s="28"/>
    </row>
    <row r="743" spans="43:49" x14ac:dyDescent="0.25">
      <c r="AQ743" s="40"/>
      <c r="AU743" s="28"/>
      <c r="AV743" s="28"/>
      <c r="AW743" s="28"/>
    </row>
    <row r="744" spans="43:49" x14ac:dyDescent="0.25">
      <c r="AQ744" s="40"/>
      <c r="AU744" s="28"/>
      <c r="AV744" s="28"/>
      <c r="AW744" s="28"/>
    </row>
    <row r="745" spans="43:49" x14ac:dyDescent="0.25">
      <c r="AQ745" s="40"/>
      <c r="AU745" s="28"/>
      <c r="AV745" s="28"/>
      <c r="AW745" s="28"/>
    </row>
    <row r="746" spans="43:49" x14ac:dyDescent="0.25">
      <c r="AQ746" s="40"/>
      <c r="AU746" s="28"/>
      <c r="AV746" s="28"/>
      <c r="AW746" s="28"/>
    </row>
    <row r="747" spans="43:49" x14ac:dyDescent="0.25">
      <c r="AQ747" s="40"/>
      <c r="AU747" s="28"/>
      <c r="AV747" s="28"/>
      <c r="AW747" s="28"/>
    </row>
    <row r="748" spans="43:49" x14ac:dyDescent="0.25">
      <c r="AQ748" s="40"/>
      <c r="AU748" s="28"/>
      <c r="AV748" s="28"/>
      <c r="AW748" s="28"/>
    </row>
    <row r="749" spans="43:49" x14ac:dyDescent="0.25">
      <c r="AQ749" s="40"/>
      <c r="AU749" s="28"/>
      <c r="AV749" s="28"/>
      <c r="AW749" s="28"/>
    </row>
    <row r="750" spans="43:49" x14ac:dyDescent="0.25">
      <c r="AQ750" s="40"/>
      <c r="AU750" s="28"/>
      <c r="AV750" s="28"/>
      <c r="AW750" s="28"/>
    </row>
    <row r="751" spans="43:49" x14ac:dyDescent="0.25">
      <c r="AQ751" s="40"/>
      <c r="AU751" s="28"/>
      <c r="AV751" s="28"/>
      <c r="AW751" s="28"/>
    </row>
    <row r="752" spans="43:49" x14ac:dyDescent="0.25">
      <c r="AQ752" s="40"/>
      <c r="AU752" s="28"/>
      <c r="AV752" s="28"/>
      <c r="AW752" s="28"/>
    </row>
    <row r="753" spans="43:49" x14ac:dyDescent="0.25">
      <c r="AQ753" s="40"/>
      <c r="AU753" s="28"/>
      <c r="AV753" s="28"/>
      <c r="AW753" s="28"/>
    </row>
    <row r="754" spans="43:49" x14ac:dyDescent="0.25">
      <c r="AQ754" s="40"/>
      <c r="AU754" s="28"/>
      <c r="AV754" s="28"/>
      <c r="AW754" s="28"/>
    </row>
    <row r="755" spans="43:49" x14ac:dyDescent="0.25">
      <c r="AQ755" s="40"/>
      <c r="AU755" s="28"/>
      <c r="AV755" s="28"/>
      <c r="AW755" s="28"/>
    </row>
    <row r="756" spans="43:49" x14ac:dyDescent="0.25">
      <c r="AQ756" s="40"/>
      <c r="AU756" s="28"/>
      <c r="AV756" s="28"/>
      <c r="AW756" s="28"/>
    </row>
    <row r="757" spans="43:49" x14ac:dyDescent="0.25">
      <c r="AQ757" s="40"/>
      <c r="AU757" s="28"/>
      <c r="AV757" s="28"/>
      <c r="AW757" s="28"/>
    </row>
    <row r="758" spans="43:49" x14ac:dyDescent="0.25">
      <c r="AQ758" s="40"/>
      <c r="AU758" s="28"/>
      <c r="AV758" s="28"/>
      <c r="AW758" s="28"/>
    </row>
    <row r="759" spans="43:49" x14ac:dyDescent="0.25">
      <c r="AQ759" s="40"/>
      <c r="AU759" s="28"/>
      <c r="AV759" s="28"/>
      <c r="AW759" s="28"/>
    </row>
    <row r="760" spans="43:49" x14ac:dyDescent="0.25">
      <c r="AQ760" s="40"/>
      <c r="AU760" s="28"/>
      <c r="AV760" s="28"/>
      <c r="AW760" s="28"/>
    </row>
    <row r="761" spans="43:49" x14ac:dyDescent="0.25">
      <c r="AQ761" s="40"/>
      <c r="AU761" s="28"/>
      <c r="AV761" s="28"/>
      <c r="AW761" s="28"/>
    </row>
    <row r="762" spans="43:49" x14ac:dyDescent="0.25">
      <c r="AQ762" s="40"/>
      <c r="AU762" s="28"/>
      <c r="AV762" s="28"/>
      <c r="AW762" s="28"/>
    </row>
    <row r="763" spans="43:49" x14ac:dyDescent="0.25">
      <c r="AQ763" s="40"/>
      <c r="AU763" s="28"/>
      <c r="AV763" s="28"/>
      <c r="AW763" s="28"/>
    </row>
    <row r="764" spans="43:49" x14ac:dyDescent="0.25">
      <c r="AQ764" s="40"/>
      <c r="AU764" s="28"/>
      <c r="AV764" s="28"/>
      <c r="AW764" s="28"/>
    </row>
    <row r="765" spans="43:49" x14ac:dyDescent="0.25">
      <c r="AQ765" s="40"/>
      <c r="AU765" s="28"/>
      <c r="AV765" s="28"/>
      <c r="AW765" s="28"/>
    </row>
    <row r="766" spans="43:49" x14ac:dyDescent="0.25">
      <c r="AQ766" s="40"/>
      <c r="AU766" s="28"/>
      <c r="AV766" s="28"/>
      <c r="AW766" s="28"/>
    </row>
    <row r="767" spans="43:49" x14ac:dyDescent="0.25">
      <c r="AQ767" s="40"/>
      <c r="AU767" s="28"/>
      <c r="AV767" s="28"/>
      <c r="AW767" s="28"/>
    </row>
    <row r="768" spans="43:49" x14ac:dyDescent="0.25">
      <c r="AQ768" s="40"/>
      <c r="AU768" s="28"/>
      <c r="AV768" s="28"/>
      <c r="AW768" s="28"/>
    </row>
    <row r="769" spans="43:49" x14ac:dyDescent="0.25">
      <c r="AQ769" s="40"/>
      <c r="AU769" s="28"/>
      <c r="AV769" s="28"/>
      <c r="AW769" s="28"/>
    </row>
    <row r="770" spans="43:49" x14ac:dyDescent="0.25">
      <c r="AQ770" s="40"/>
      <c r="AU770" s="28"/>
      <c r="AV770" s="28"/>
      <c r="AW770" s="28"/>
    </row>
    <row r="771" spans="43:49" x14ac:dyDescent="0.25">
      <c r="AQ771" s="40"/>
      <c r="AU771" s="28"/>
      <c r="AV771" s="28"/>
      <c r="AW771" s="28"/>
    </row>
    <row r="772" spans="43:49" x14ac:dyDescent="0.25">
      <c r="AQ772" s="40"/>
      <c r="AU772" s="28"/>
      <c r="AV772" s="28"/>
      <c r="AW772" s="28"/>
    </row>
    <row r="773" spans="43:49" x14ac:dyDescent="0.25">
      <c r="AQ773" s="40"/>
      <c r="AU773" s="28"/>
      <c r="AV773" s="28"/>
      <c r="AW773" s="28"/>
    </row>
    <row r="774" spans="43:49" x14ac:dyDescent="0.25">
      <c r="AQ774" s="40"/>
      <c r="AU774" s="28"/>
      <c r="AV774" s="28"/>
      <c r="AW774" s="28"/>
    </row>
    <row r="775" spans="43:49" x14ac:dyDescent="0.25">
      <c r="AQ775" s="40"/>
      <c r="AU775" s="28"/>
      <c r="AV775" s="28"/>
      <c r="AW775" s="28"/>
    </row>
    <row r="776" spans="43:49" x14ac:dyDescent="0.25">
      <c r="AQ776" s="40"/>
      <c r="AU776" s="28"/>
      <c r="AV776" s="28"/>
      <c r="AW776" s="28"/>
    </row>
    <row r="777" spans="43:49" x14ac:dyDescent="0.25">
      <c r="AQ777" s="40"/>
      <c r="AU777" s="28"/>
      <c r="AV777" s="28"/>
      <c r="AW777" s="28"/>
    </row>
    <row r="778" spans="43:49" x14ac:dyDescent="0.25">
      <c r="AQ778" s="40"/>
      <c r="AU778" s="28"/>
      <c r="AV778" s="28"/>
      <c r="AW778" s="28"/>
    </row>
    <row r="779" spans="43:49" x14ac:dyDescent="0.25">
      <c r="AQ779" s="40"/>
      <c r="AU779" s="28"/>
      <c r="AV779" s="28"/>
      <c r="AW779" s="28"/>
    </row>
    <row r="780" spans="43:49" x14ac:dyDescent="0.25">
      <c r="AQ780" s="40"/>
      <c r="AU780" s="28"/>
      <c r="AV780" s="28"/>
      <c r="AW780" s="28"/>
    </row>
    <row r="781" spans="43:49" x14ac:dyDescent="0.25">
      <c r="AQ781" s="40"/>
      <c r="AU781" s="28"/>
      <c r="AV781" s="28"/>
      <c r="AW781" s="28"/>
    </row>
    <row r="782" spans="43:49" x14ac:dyDescent="0.25">
      <c r="AQ782" s="40"/>
      <c r="AU782" s="28"/>
      <c r="AV782" s="28"/>
      <c r="AW782" s="28"/>
    </row>
    <row r="783" spans="43:49" x14ac:dyDescent="0.25">
      <c r="AQ783" s="40"/>
      <c r="AU783" s="28"/>
      <c r="AV783" s="28"/>
      <c r="AW783" s="28"/>
    </row>
    <row r="784" spans="43:49" x14ac:dyDescent="0.25">
      <c r="AQ784" s="40"/>
      <c r="AU784" s="28"/>
      <c r="AV784" s="28"/>
      <c r="AW784" s="28"/>
    </row>
    <row r="785" spans="43:49" x14ac:dyDescent="0.25">
      <c r="AQ785" s="40"/>
      <c r="AU785" s="28"/>
      <c r="AV785" s="28"/>
      <c r="AW785" s="28"/>
    </row>
    <row r="786" spans="43:49" x14ac:dyDescent="0.25">
      <c r="AQ786" s="40"/>
      <c r="AU786" s="28"/>
      <c r="AV786" s="28"/>
      <c r="AW786" s="28"/>
    </row>
    <row r="787" spans="43:49" x14ac:dyDescent="0.25">
      <c r="AQ787" s="40"/>
      <c r="AU787" s="28"/>
      <c r="AV787" s="28"/>
      <c r="AW787" s="28"/>
    </row>
    <row r="788" spans="43:49" x14ac:dyDescent="0.25">
      <c r="AQ788" s="40"/>
      <c r="AU788" s="28"/>
      <c r="AV788" s="28"/>
      <c r="AW788" s="28"/>
    </row>
    <row r="789" spans="43:49" x14ac:dyDescent="0.25">
      <c r="AQ789" s="40"/>
      <c r="AU789" s="28"/>
      <c r="AV789" s="28"/>
      <c r="AW789" s="28"/>
    </row>
    <row r="790" spans="43:49" x14ac:dyDescent="0.25">
      <c r="AQ790" s="40"/>
      <c r="AU790" s="28"/>
      <c r="AV790" s="28"/>
      <c r="AW790" s="28"/>
    </row>
    <row r="791" spans="43:49" x14ac:dyDescent="0.25">
      <c r="AQ791" s="40"/>
      <c r="AU791" s="28"/>
      <c r="AV791" s="28"/>
      <c r="AW791" s="28"/>
    </row>
    <row r="792" spans="43:49" x14ac:dyDescent="0.25">
      <c r="AQ792" s="40"/>
      <c r="AU792" s="28"/>
      <c r="AV792" s="28"/>
      <c r="AW792" s="28"/>
    </row>
    <row r="793" spans="43:49" x14ac:dyDescent="0.25">
      <c r="AQ793" s="40"/>
      <c r="AU793" s="28"/>
      <c r="AV793" s="28"/>
      <c r="AW793" s="28"/>
    </row>
    <row r="794" spans="43:49" x14ac:dyDescent="0.25">
      <c r="AQ794" s="40"/>
      <c r="AU794" s="28"/>
      <c r="AV794" s="28"/>
      <c r="AW794" s="28"/>
    </row>
    <row r="795" spans="43:49" x14ac:dyDescent="0.25">
      <c r="AQ795" s="40"/>
      <c r="AU795" s="28"/>
      <c r="AV795" s="28"/>
      <c r="AW795" s="28"/>
    </row>
    <row r="796" spans="43:49" x14ac:dyDescent="0.25">
      <c r="AQ796" s="40"/>
      <c r="AU796" s="28"/>
      <c r="AV796" s="28"/>
      <c r="AW796" s="28"/>
    </row>
    <row r="797" spans="43:49" x14ac:dyDescent="0.25">
      <c r="AQ797" s="40"/>
      <c r="AU797" s="28"/>
      <c r="AV797" s="28"/>
      <c r="AW797" s="28"/>
    </row>
    <row r="798" spans="43:49" x14ac:dyDescent="0.25">
      <c r="AQ798" s="40"/>
      <c r="AU798" s="28"/>
      <c r="AV798" s="28"/>
      <c r="AW798" s="28"/>
    </row>
    <row r="799" spans="43:49" x14ac:dyDescent="0.25">
      <c r="AQ799" s="40"/>
      <c r="AU799" s="28"/>
      <c r="AV799" s="28"/>
      <c r="AW799" s="28"/>
    </row>
    <row r="800" spans="43:49" x14ac:dyDescent="0.25">
      <c r="AQ800" s="40"/>
      <c r="AU800" s="28"/>
      <c r="AV800" s="28"/>
      <c r="AW800" s="28"/>
    </row>
    <row r="801" spans="43:49" x14ac:dyDescent="0.25">
      <c r="AQ801" s="40"/>
      <c r="AU801" s="28"/>
      <c r="AV801" s="28"/>
      <c r="AW801" s="28"/>
    </row>
    <row r="802" spans="43:49" x14ac:dyDescent="0.25">
      <c r="AQ802" s="40"/>
      <c r="AU802" s="28"/>
      <c r="AV802" s="28"/>
      <c r="AW802" s="28"/>
    </row>
    <row r="803" spans="43:49" x14ac:dyDescent="0.25">
      <c r="AQ803" s="40"/>
      <c r="AU803" s="28"/>
      <c r="AV803" s="28"/>
      <c r="AW803" s="28"/>
    </row>
    <row r="804" spans="43:49" x14ac:dyDescent="0.25">
      <c r="AQ804" s="40"/>
      <c r="AU804" s="28"/>
      <c r="AV804" s="28"/>
      <c r="AW804" s="28"/>
    </row>
    <row r="805" spans="43:49" x14ac:dyDescent="0.25">
      <c r="AQ805" s="40"/>
      <c r="AU805" s="28"/>
      <c r="AV805" s="28"/>
      <c r="AW805" s="28"/>
    </row>
    <row r="806" spans="43:49" x14ac:dyDescent="0.25">
      <c r="AQ806" s="40"/>
      <c r="AU806" s="28"/>
      <c r="AV806" s="28"/>
      <c r="AW806" s="28"/>
    </row>
    <row r="807" spans="43:49" x14ac:dyDescent="0.25">
      <c r="AQ807" s="40"/>
      <c r="AU807" s="28"/>
      <c r="AV807" s="28"/>
      <c r="AW807" s="28"/>
    </row>
    <row r="808" spans="43:49" x14ac:dyDescent="0.25">
      <c r="AQ808" s="40"/>
      <c r="AU808" s="28"/>
      <c r="AV808" s="28"/>
      <c r="AW808" s="28"/>
    </row>
    <row r="809" spans="43:49" x14ac:dyDescent="0.25">
      <c r="AQ809" s="40"/>
      <c r="AU809" s="28"/>
      <c r="AV809" s="28"/>
      <c r="AW809" s="28"/>
    </row>
    <row r="810" spans="43:49" x14ac:dyDescent="0.25">
      <c r="AQ810" s="40"/>
      <c r="AU810" s="28"/>
      <c r="AV810" s="28"/>
      <c r="AW810" s="28"/>
    </row>
    <row r="811" spans="43:49" x14ac:dyDescent="0.25">
      <c r="AQ811" s="40"/>
      <c r="AU811" s="28"/>
      <c r="AV811" s="28"/>
      <c r="AW811" s="28"/>
    </row>
    <row r="812" spans="43:49" x14ac:dyDescent="0.25">
      <c r="AQ812" s="40"/>
      <c r="AU812" s="28"/>
      <c r="AV812" s="28"/>
      <c r="AW812" s="28"/>
    </row>
    <row r="813" spans="43:49" x14ac:dyDescent="0.25">
      <c r="AQ813" s="40"/>
      <c r="AU813" s="28"/>
      <c r="AV813" s="28"/>
      <c r="AW813" s="28"/>
    </row>
    <row r="814" spans="43:49" x14ac:dyDescent="0.25">
      <c r="AQ814" s="40"/>
      <c r="AU814" s="28"/>
      <c r="AV814" s="28"/>
      <c r="AW814" s="28"/>
    </row>
    <row r="815" spans="43:49" x14ac:dyDescent="0.25">
      <c r="AQ815" s="40"/>
      <c r="AU815" s="28"/>
      <c r="AV815" s="28"/>
      <c r="AW815" s="28"/>
    </row>
    <row r="816" spans="43:49" x14ac:dyDescent="0.25">
      <c r="AQ816" s="40"/>
      <c r="AU816" s="28"/>
      <c r="AV816" s="28"/>
      <c r="AW816" s="28"/>
    </row>
    <row r="817" spans="43:49" x14ac:dyDescent="0.25">
      <c r="AQ817" s="40"/>
      <c r="AU817" s="28"/>
      <c r="AV817" s="28"/>
      <c r="AW817" s="28"/>
    </row>
    <row r="818" spans="43:49" x14ac:dyDescent="0.25">
      <c r="AQ818" s="40"/>
      <c r="AU818" s="28"/>
      <c r="AV818" s="28"/>
      <c r="AW818" s="28"/>
    </row>
    <row r="819" spans="43:49" x14ac:dyDescent="0.25">
      <c r="AQ819" s="40"/>
      <c r="AU819" s="28"/>
      <c r="AV819" s="28"/>
      <c r="AW819" s="28"/>
    </row>
    <row r="820" spans="43:49" x14ac:dyDescent="0.25">
      <c r="AQ820" s="40"/>
      <c r="AU820" s="28"/>
      <c r="AV820" s="28"/>
      <c r="AW820" s="28"/>
    </row>
    <row r="821" spans="43:49" x14ac:dyDescent="0.25">
      <c r="AQ821" s="40"/>
      <c r="AU821" s="28"/>
      <c r="AV821" s="28"/>
      <c r="AW821" s="28"/>
    </row>
    <row r="822" spans="43:49" x14ac:dyDescent="0.25">
      <c r="AQ822" s="40"/>
      <c r="AU822" s="28"/>
      <c r="AV822" s="28"/>
      <c r="AW822" s="28"/>
    </row>
    <row r="823" spans="43:49" x14ac:dyDescent="0.25">
      <c r="AQ823" s="40"/>
      <c r="AU823" s="28"/>
      <c r="AV823" s="28"/>
      <c r="AW823" s="28"/>
    </row>
    <row r="824" spans="43:49" x14ac:dyDescent="0.25">
      <c r="AQ824" s="40"/>
      <c r="AU824" s="28"/>
      <c r="AV824" s="28"/>
      <c r="AW824" s="28"/>
    </row>
    <row r="825" spans="43:49" x14ac:dyDescent="0.25">
      <c r="AQ825" s="40"/>
      <c r="AU825" s="28"/>
      <c r="AV825" s="28"/>
      <c r="AW825" s="28"/>
    </row>
    <row r="826" spans="43:49" x14ac:dyDescent="0.25">
      <c r="AQ826" s="40"/>
      <c r="AU826" s="28"/>
      <c r="AV826" s="28"/>
      <c r="AW826" s="28"/>
    </row>
    <row r="827" spans="43:49" x14ac:dyDescent="0.25">
      <c r="AQ827" s="40"/>
      <c r="AU827" s="28"/>
      <c r="AV827" s="28"/>
      <c r="AW827" s="28"/>
    </row>
    <row r="828" spans="43:49" x14ac:dyDescent="0.25">
      <c r="AQ828" s="40"/>
      <c r="AU828" s="28"/>
      <c r="AV828" s="28"/>
      <c r="AW828" s="28"/>
    </row>
    <row r="829" spans="43:49" x14ac:dyDescent="0.25">
      <c r="AQ829" s="40"/>
      <c r="AU829" s="28"/>
      <c r="AV829" s="28"/>
      <c r="AW829" s="28"/>
    </row>
    <row r="830" spans="43:49" x14ac:dyDescent="0.25">
      <c r="AQ830" s="40"/>
      <c r="AU830" s="28"/>
      <c r="AV830" s="28"/>
      <c r="AW830" s="28"/>
    </row>
    <row r="831" spans="43:49" x14ac:dyDescent="0.25">
      <c r="AQ831" s="40"/>
      <c r="AU831" s="28"/>
      <c r="AV831" s="28"/>
      <c r="AW831" s="28"/>
    </row>
    <row r="832" spans="43:49" x14ac:dyDescent="0.25">
      <c r="AQ832" s="40"/>
      <c r="AU832" s="28"/>
      <c r="AV832" s="28"/>
      <c r="AW832" s="28"/>
    </row>
    <row r="833" spans="43:49" x14ac:dyDescent="0.25">
      <c r="AQ833" s="40"/>
      <c r="AU833" s="28"/>
      <c r="AV833" s="28"/>
      <c r="AW833" s="28"/>
    </row>
    <row r="834" spans="43:49" x14ac:dyDescent="0.25">
      <c r="AQ834" s="40"/>
      <c r="AU834" s="28"/>
      <c r="AV834" s="28"/>
      <c r="AW834" s="28"/>
    </row>
    <row r="835" spans="43:49" x14ac:dyDescent="0.25">
      <c r="AQ835" s="40"/>
      <c r="AU835" s="28"/>
      <c r="AV835" s="28"/>
      <c r="AW835" s="28"/>
    </row>
    <row r="836" spans="43:49" x14ac:dyDescent="0.25">
      <c r="AQ836" s="40"/>
      <c r="AU836" s="28"/>
      <c r="AV836" s="28"/>
      <c r="AW836" s="28"/>
    </row>
    <row r="837" spans="43:49" x14ac:dyDescent="0.25">
      <c r="AQ837" s="40"/>
      <c r="AU837" s="28"/>
      <c r="AV837" s="28"/>
      <c r="AW837" s="28"/>
    </row>
    <row r="838" spans="43:49" x14ac:dyDescent="0.25">
      <c r="AQ838" s="40"/>
      <c r="AU838" s="28"/>
      <c r="AV838" s="28"/>
      <c r="AW838" s="28"/>
    </row>
    <row r="839" spans="43:49" x14ac:dyDescent="0.25">
      <c r="AQ839" s="40"/>
      <c r="AU839" s="28"/>
      <c r="AV839" s="28"/>
      <c r="AW839" s="28"/>
    </row>
    <row r="840" spans="43:49" x14ac:dyDescent="0.25">
      <c r="AQ840" s="40"/>
      <c r="AU840" s="28"/>
      <c r="AV840" s="28"/>
      <c r="AW840" s="28"/>
    </row>
    <row r="841" spans="43:49" x14ac:dyDescent="0.25">
      <c r="AQ841" s="40"/>
      <c r="AU841" s="28"/>
      <c r="AV841" s="28"/>
      <c r="AW841" s="28"/>
    </row>
    <row r="842" spans="43:49" x14ac:dyDescent="0.25">
      <c r="AQ842" s="40"/>
      <c r="AU842" s="28"/>
      <c r="AV842" s="28"/>
      <c r="AW842" s="28"/>
    </row>
    <row r="843" spans="43:49" x14ac:dyDescent="0.25">
      <c r="AQ843" s="40"/>
      <c r="AU843" s="28"/>
      <c r="AV843" s="28"/>
      <c r="AW843" s="28"/>
    </row>
    <row r="844" spans="43:49" x14ac:dyDescent="0.25">
      <c r="AQ844" s="40"/>
      <c r="AU844" s="28"/>
      <c r="AV844" s="28"/>
      <c r="AW844" s="28"/>
    </row>
    <row r="845" spans="43:49" x14ac:dyDescent="0.25">
      <c r="AQ845" s="40"/>
      <c r="AU845" s="28"/>
      <c r="AV845" s="28"/>
      <c r="AW845" s="28"/>
    </row>
    <row r="846" spans="43:49" x14ac:dyDescent="0.25">
      <c r="AQ846" s="40"/>
      <c r="AU846" s="28"/>
      <c r="AV846" s="28"/>
      <c r="AW846" s="28"/>
    </row>
    <row r="847" spans="43:49" x14ac:dyDescent="0.25">
      <c r="AQ847" s="40"/>
      <c r="AU847" s="28"/>
      <c r="AV847" s="28"/>
      <c r="AW847" s="28"/>
    </row>
    <row r="848" spans="43:49" x14ac:dyDescent="0.25">
      <c r="AQ848" s="40"/>
      <c r="AU848" s="28"/>
      <c r="AV848" s="28"/>
      <c r="AW848" s="28"/>
    </row>
    <row r="849" spans="43:49" x14ac:dyDescent="0.25">
      <c r="AQ849" s="40"/>
      <c r="AU849" s="28"/>
      <c r="AV849" s="28"/>
      <c r="AW849" s="28"/>
    </row>
    <row r="850" spans="43:49" x14ac:dyDescent="0.25">
      <c r="AQ850" s="40"/>
      <c r="AU850" s="28"/>
      <c r="AV850" s="28"/>
      <c r="AW850" s="28"/>
    </row>
    <row r="851" spans="43:49" x14ac:dyDescent="0.25">
      <c r="AQ851" s="40"/>
      <c r="AU851" s="28"/>
      <c r="AV851" s="28"/>
      <c r="AW851" s="28"/>
    </row>
    <row r="852" spans="43:49" x14ac:dyDescent="0.25">
      <c r="AQ852" s="40"/>
      <c r="AU852" s="28"/>
      <c r="AV852" s="28"/>
      <c r="AW852" s="28"/>
    </row>
    <row r="853" spans="43:49" x14ac:dyDescent="0.25">
      <c r="AQ853" s="40"/>
      <c r="AU853" s="28"/>
      <c r="AV853" s="28"/>
      <c r="AW853" s="28"/>
    </row>
    <row r="854" spans="43:49" x14ac:dyDescent="0.25">
      <c r="AQ854" s="40"/>
      <c r="AU854" s="28"/>
      <c r="AV854" s="28"/>
      <c r="AW854" s="28"/>
    </row>
    <row r="855" spans="43:49" x14ac:dyDescent="0.25">
      <c r="AQ855" s="40"/>
      <c r="AU855" s="28"/>
      <c r="AV855" s="28"/>
      <c r="AW855" s="28"/>
    </row>
    <row r="856" spans="43:49" x14ac:dyDescent="0.25">
      <c r="AQ856" s="40"/>
      <c r="AU856" s="28"/>
      <c r="AV856" s="28"/>
      <c r="AW856" s="28"/>
    </row>
    <row r="857" spans="43:49" x14ac:dyDescent="0.25">
      <c r="AQ857" s="40"/>
      <c r="AU857" s="28"/>
      <c r="AV857" s="28"/>
      <c r="AW857" s="28"/>
    </row>
    <row r="858" spans="43:49" x14ac:dyDescent="0.25">
      <c r="AQ858" s="40"/>
      <c r="AU858" s="28"/>
      <c r="AV858" s="28"/>
      <c r="AW858" s="28"/>
    </row>
    <row r="859" spans="43:49" x14ac:dyDescent="0.25">
      <c r="AQ859" s="40"/>
      <c r="AU859" s="28"/>
      <c r="AV859" s="28"/>
      <c r="AW859" s="28"/>
    </row>
    <row r="860" spans="43:49" x14ac:dyDescent="0.25">
      <c r="AQ860" s="40"/>
      <c r="AU860" s="28"/>
      <c r="AV860" s="28"/>
      <c r="AW860" s="28"/>
    </row>
    <row r="861" spans="43:49" x14ac:dyDescent="0.25">
      <c r="AQ861" s="40"/>
      <c r="AU861" s="28"/>
      <c r="AV861" s="28"/>
      <c r="AW861" s="28"/>
    </row>
    <row r="862" spans="43:49" x14ac:dyDescent="0.25">
      <c r="AQ862" s="40"/>
      <c r="AU862" s="28"/>
      <c r="AV862" s="28"/>
      <c r="AW862" s="28"/>
    </row>
    <row r="863" spans="43:49" x14ac:dyDescent="0.25">
      <c r="AQ863" s="40"/>
      <c r="AU863" s="28"/>
      <c r="AV863" s="28"/>
      <c r="AW863" s="28"/>
    </row>
    <row r="864" spans="43:49" x14ac:dyDescent="0.25">
      <c r="AQ864" s="40"/>
      <c r="AU864" s="28"/>
      <c r="AV864" s="28"/>
      <c r="AW864" s="28"/>
    </row>
    <row r="865" spans="43:49" x14ac:dyDescent="0.25">
      <c r="AQ865" s="40"/>
      <c r="AU865" s="28"/>
      <c r="AV865" s="28"/>
      <c r="AW865" s="28"/>
    </row>
    <row r="866" spans="43:49" x14ac:dyDescent="0.25">
      <c r="AQ866" s="40"/>
      <c r="AU866" s="28"/>
      <c r="AV866" s="28"/>
      <c r="AW866" s="28"/>
    </row>
    <row r="867" spans="43:49" x14ac:dyDescent="0.25">
      <c r="AQ867" s="40"/>
      <c r="AU867" s="28"/>
      <c r="AV867" s="28"/>
      <c r="AW867" s="28"/>
    </row>
    <row r="868" spans="43:49" x14ac:dyDescent="0.25">
      <c r="AQ868" s="40"/>
      <c r="AU868" s="28"/>
      <c r="AV868" s="28"/>
      <c r="AW868" s="28"/>
    </row>
    <row r="869" spans="43:49" x14ac:dyDescent="0.25">
      <c r="AQ869" s="40"/>
      <c r="AU869" s="28"/>
      <c r="AV869" s="28"/>
      <c r="AW869" s="28"/>
    </row>
    <row r="870" spans="43:49" x14ac:dyDescent="0.25">
      <c r="AQ870" s="40"/>
      <c r="AU870" s="28"/>
      <c r="AV870" s="28"/>
      <c r="AW870" s="28"/>
    </row>
    <row r="871" spans="43:49" x14ac:dyDescent="0.25">
      <c r="AQ871" s="40"/>
      <c r="AU871" s="28"/>
      <c r="AV871" s="28"/>
      <c r="AW871" s="28"/>
    </row>
    <row r="872" spans="43:49" x14ac:dyDescent="0.25">
      <c r="AQ872" s="40"/>
      <c r="AU872" s="28"/>
      <c r="AV872" s="28"/>
      <c r="AW872" s="28"/>
    </row>
    <row r="873" spans="43:49" x14ac:dyDescent="0.25">
      <c r="AQ873" s="40"/>
      <c r="AU873" s="28"/>
      <c r="AV873" s="28"/>
      <c r="AW873" s="28"/>
    </row>
    <row r="874" spans="43:49" x14ac:dyDescent="0.25">
      <c r="AQ874" s="40"/>
      <c r="AU874" s="28"/>
      <c r="AV874" s="28"/>
      <c r="AW874" s="28"/>
    </row>
    <row r="875" spans="43:49" x14ac:dyDescent="0.25">
      <c r="AQ875" s="40"/>
      <c r="AU875" s="28"/>
      <c r="AV875" s="28"/>
      <c r="AW875" s="28"/>
    </row>
    <row r="876" spans="43:49" x14ac:dyDescent="0.25">
      <c r="AQ876" s="40"/>
      <c r="AU876" s="28"/>
      <c r="AV876" s="28"/>
      <c r="AW876" s="28"/>
    </row>
    <row r="877" spans="43:49" x14ac:dyDescent="0.25">
      <c r="AQ877" s="40"/>
      <c r="AU877" s="28"/>
      <c r="AV877" s="28"/>
      <c r="AW877" s="28"/>
    </row>
    <row r="878" spans="43:49" x14ac:dyDescent="0.25">
      <c r="AQ878" s="40"/>
      <c r="AU878" s="28"/>
      <c r="AV878" s="28"/>
      <c r="AW878" s="28"/>
    </row>
    <row r="879" spans="43:49" x14ac:dyDescent="0.25">
      <c r="AQ879" s="40"/>
      <c r="AU879" s="28"/>
      <c r="AV879" s="28"/>
      <c r="AW879" s="28"/>
    </row>
    <row r="880" spans="43:49" x14ac:dyDescent="0.25">
      <c r="AQ880" s="40"/>
      <c r="AU880" s="28"/>
      <c r="AV880" s="28"/>
      <c r="AW880" s="28"/>
    </row>
    <row r="881" spans="43:49" x14ac:dyDescent="0.25">
      <c r="AQ881" s="40"/>
      <c r="AU881" s="28"/>
      <c r="AV881" s="28"/>
      <c r="AW881" s="28"/>
    </row>
    <row r="882" spans="43:49" x14ac:dyDescent="0.25">
      <c r="AQ882" s="40"/>
      <c r="AU882" s="28"/>
      <c r="AV882" s="28"/>
      <c r="AW882" s="28"/>
    </row>
    <row r="883" spans="43:49" x14ac:dyDescent="0.25">
      <c r="AQ883" s="40"/>
      <c r="AU883" s="28"/>
      <c r="AV883" s="28"/>
      <c r="AW883" s="28"/>
    </row>
    <row r="884" spans="43:49" x14ac:dyDescent="0.25">
      <c r="AQ884" s="40"/>
      <c r="AU884" s="28"/>
      <c r="AV884" s="28"/>
      <c r="AW884" s="28"/>
    </row>
    <row r="885" spans="43:49" x14ac:dyDescent="0.25">
      <c r="AQ885" s="40"/>
      <c r="AU885" s="28"/>
      <c r="AV885" s="28"/>
      <c r="AW885" s="28"/>
    </row>
    <row r="886" spans="43:49" x14ac:dyDescent="0.25">
      <c r="AQ886" s="40"/>
      <c r="AU886" s="28"/>
      <c r="AV886" s="28"/>
      <c r="AW886" s="28"/>
    </row>
    <row r="887" spans="43:49" x14ac:dyDescent="0.25">
      <c r="AQ887" s="40"/>
      <c r="AU887" s="28"/>
      <c r="AV887" s="28"/>
      <c r="AW887" s="28"/>
    </row>
    <row r="888" spans="43:49" x14ac:dyDescent="0.25">
      <c r="AQ888" s="40"/>
      <c r="AU888" s="28"/>
      <c r="AV888" s="28"/>
      <c r="AW888" s="28"/>
    </row>
    <row r="889" spans="43:49" x14ac:dyDescent="0.25">
      <c r="AQ889" s="40"/>
      <c r="AU889" s="28"/>
      <c r="AV889" s="28"/>
      <c r="AW889" s="28"/>
    </row>
    <row r="890" spans="43:49" x14ac:dyDescent="0.25">
      <c r="AQ890" s="40"/>
      <c r="AU890" s="28"/>
      <c r="AV890" s="28"/>
      <c r="AW890" s="28"/>
    </row>
    <row r="891" spans="43:49" x14ac:dyDescent="0.25">
      <c r="AQ891" s="40"/>
      <c r="AU891" s="28"/>
      <c r="AV891" s="28"/>
      <c r="AW891" s="28"/>
    </row>
    <row r="892" spans="43:49" x14ac:dyDescent="0.25">
      <c r="AQ892" s="40"/>
      <c r="AU892" s="28"/>
      <c r="AV892" s="28"/>
      <c r="AW892" s="28"/>
    </row>
    <row r="893" spans="43:49" x14ac:dyDescent="0.25">
      <c r="AQ893" s="40"/>
      <c r="AU893" s="28"/>
      <c r="AV893" s="28"/>
      <c r="AW893" s="28"/>
    </row>
    <row r="894" spans="43:49" x14ac:dyDescent="0.25">
      <c r="AQ894" s="40"/>
      <c r="AU894" s="28"/>
      <c r="AV894" s="28"/>
      <c r="AW894" s="28"/>
    </row>
    <row r="895" spans="43:49" x14ac:dyDescent="0.25">
      <c r="AQ895" s="40"/>
      <c r="AU895" s="28"/>
      <c r="AV895" s="28"/>
      <c r="AW895" s="28"/>
    </row>
    <row r="896" spans="43:49" x14ac:dyDescent="0.25">
      <c r="AQ896" s="40"/>
      <c r="AU896" s="28"/>
      <c r="AV896" s="28"/>
      <c r="AW896" s="28"/>
    </row>
    <row r="897" spans="43:49" x14ac:dyDescent="0.25">
      <c r="AQ897" s="40"/>
      <c r="AU897" s="28"/>
      <c r="AV897" s="28"/>
      <c r="AW897" s="28"/>
    </row>
    <row r="898" spans="43:49" x14ac:dyDescent="0.25">
      <c r="AQ898" s="40"/>
      <c r="AU898" s="28"/>
      <c r="AV898" s="28"/>
      <c r="AW898" s="28"/>
    </row>
    <row r="899" spans="43:49" x14ac:dyDescent="0.25">
      <c r="AQ899" s="40"/>
      <c r="AU899" s="28"/>
      <c r="AV899" s="28"/>
      <c r="AW899" s="28"/>
    </row>
    <row r="900" spans="43:49" x14ac:dyDescent="0.25">
      <c r="AQ900" s="40"/>
      <c r="AU900" s="28"/>
      <c r="AV900" s="28"/>
      <c r="AW900" s="28"/>
    </row>
    <row r="901" spans="43:49" x14ac:dyDescent="0.25">
      <c r="AQ901" s="40"/>
      <c r="AU901" s="28"/>
      <c r="AV901" s="28"/>
      <c r="AW901" s="28"/>
    </row>
    <row r="902" spans="43:49" x14ac:dyDescent="0.25">
      <c r="AQ902" s="40"/>
      <c r="AU902" s="28"/>
      <c r="AV902" s="28"/>
      <c r="AW902" s="28"/>
    </row>
    <row r="903" spans="43:49" x14ac:dyDescent="0.25">
      <c r="AQ903" s="40"/>
      <c r="AU903" s="28"/>
      <c r="AV903" s="28"/>
      <c r="AW903" s="28"/>
    </row>
    <row r="904" spans="43:49" x14ac:dyDescent="0.25">
      <c r="AQ904" s="40"/>
      <c r="AU904" s="28"/>
      <c r="AV904" s="28"/>
      <c r="AW904" s="28"/>
    </row>
    <row r="905" spans="43:49" x14ac:dyDescent="0.25">
      <c r="AQ905" s="40"/>
      <c r="AU905" s="28"/>
      <c r="AV905" s="28"/>
      <c r="AW905" s="28"/>
    </row>
    <row r="906" spans="43:49" x14ac:dyDescent="0.25">
      <c r="AQ906" s="40"/>
      <c r="AU906" s="28"/>
      <c r="AV906" s="28"/>
      <c r="AW906" s="28"/>
    </row>
    <row r="907" spans="43:49" x14ac:dyDescent="0.25">
      <c r="AQ907" s="40"/>
      <c r="AU907" s="28"/>
      <c r="AV907" s="28"/>
      <c r="AW907" s="28"/>
    </row>
    <row r="908" spans="43:49" x14ac:dyDescent="0.25">
      <c r="AQ908" s="40"/>
      <c r="AU908" s="28"/>
      <c r="AV908" s="28"/>
      <c r="AW908" s="28"/>
    </row>
    <row r="909" spans="43:49" x14ac:dyDescent="0.25">
      <c r="AQ909" s="40"/>
      <c r="AU909" s="28"/>
      <c r="AV909" s="28"/>
      <c r="AW909" s="28"/>
    </row>
    <row r="910" spans="43:49" x14ac:dyDescent="0.25">
      <c r="AQ910" s="40"/>
      <c r="AU910" s="28"/>
      <c r="AV910" s="28"/>
      <c r="AW910" s="28"/>
    </row>
    <row r="911" spans="43:49" x14ac:dyDescent="0.25">
      <c r="AQ911" s="40"/>
      <c r="AU911" s="28"/>
      <c r="AV911" s="28"/>
      <c r="AW911" s="28"/>
    </row>
    <row r="912" spans="43:49" x14ac:dyDescent="0.25">
      <c r="AQ912" s="40"/>
      <c r="AU912" s="28"/>
      <c r="AV912" s="28"/>
      <c r="AW912" s="28"/>
    </row>
    <row r="913" spans="43:49" x14ac:dyDescent="0.25">
      <c r="AQ913" s="40"/>
      <c r="AU913" s="28"/>
      <c r="AV913" s="28"/>
      <c r="AW913" s="28"/>
    </row>
    <row r="914" spans="43:49" x14ac:dyDescent="0.25">
      <c r="AQ914" s="40"/>
      <c r="AU914" s="28"/>
      <c r="AV914" s="28"/>
      <c r="AW914" s="28"/>
    </row>
    <row r="915" spans="43:49" x14ac:dyDescent="0.25">
      <c r="AQ915" s="40"/>
      <c r="AU915" s="28"/>
      <c r="AV915" s="28"/>
      <c r="AW915" s="28"/>
    </row>
    <row r="916" spans="43:49" x14ac:dyDescent="0.25">
      <c r="AQ916" s="40"/>
      <c r="AU916" s="28"/>
      <c r="AV916" s="28"/>
      <c r="AW916" s="28"/>
    </row>
    <row r="917" spans="43:49" x14ac:dyDescent="0.25">
      <c r="AQ917" s="40"/>
      <c r="AU917" s="28"/>
      <c r="AV917" s="28"/>
      <c r="AW917" s="28"/>
    </row>
    <row r="918" spans="43:49" x14ac:dyDescent="0.25">
      <c r="AQ918" s="40"/>
      <c r="AU918" s="28"/>
      <c r="AV918" s="28"/>
      <c r="AW918" s="28"/>
    </row>
    <row r="919" spans="43:49" x14ac:dyDescent="0.25">
      <c r="AQ919" s="40"/>
      <c r="AU919" s="28"/>
      <c r="AV919" s="28"/>
      <c r="AW919" s="28"/>
    </row>
    <row r="920" spans="43:49" x14ac:dyDescent="0.25">
      <c r="AQ920" s="40"/>
      <c r="AU920" s="28"/>
      <c r="AV920" s="28"/>
      <c r="AW920" s="28"/>
    </row>
    <row r="921" spans="43:49" x14ac:dyDescent="0.25">
      <c r="AQ921" s="40"/>
      <c r="AU921" s="28"/>
      <c r="AV921" s="28"/>
      <c r="AW921" s="28"/>
    </row>
    <row r="922" spans="43:49" x14ac:dyDescent="0.25">
      <c r="AQ922" s="40"/>
      <c r="AU922" s="28"/>
      <c r="AV922" s="28"/>
      <c r="AW922" s="28"/>
    </row>
    <row r="923" spans="43:49" x14ac:dyDescent="0.25">
      <c r="AQ923" s="40"/>
      <c r="AU923" s="28"/>
      <c r="AV923" s="28"/>
      <c r="AW923" s="28"/>
    </row>
    <row r="924" spans="43:49" x14ac:dyDescent="0.25">
      <c r="AQ924" s="40"/>
      <c r="AU924" s="28"/>
      <c r="AV924" s="28"/>
      <c r="AW924" s="28"/>
    </row>
    <row r="925" spans="43:49" x14ac:dyDescent="0.25">
      <c r="AQ925" s="40"/>
      <c r="AU925" s="28"/>
      <c r="AV925" s="28"/>
      <c r="AW925" s="28"/>
    </row>
    <row r="926" spans="43:49" x14ac:dyDescent="0.25">
      <c r="AQ926" s="40"/>
      <c r="AU926" s="28"/>
      <c r="AV926" s="28"/>
      <c r="AW926" s="28"/>
    </row>
    <row r="927" spans="43:49" x14ac:dyDescent="0.25">
      <c r="AQ927" s="40"/>
      <c r="AU927" s="28"/>
      <c r="AV927" s="28"/>
      <c r="AW927" s="28"/>
    </row>
    <row r="928" spans="43:49" x14ac:dyDescent="0.25">
      <c r="AQ928" s="40"/>
      <c r="AU928" s="28"/>
      <c r="AV928" s="28"/>
      <c r="AW928" s="28"/>
    </row>
    <row r="929" spans="43:49" x14ac:dyDescent="0.25">
      <c r="AQ929" s="40"/>
      <c r="AU929" s="28"/>
      <c r="AV929" s="28"/>
      <c r="AW929" s="28"/>
    </row>
    <row r="930" spans="43:49" x14ac:dyDescent="0.25">
      <c r="AQ930" s="40"/>
      <c r="AU930" s="28"/>
      <c r="AV930" s="28"/>
      <c r="AW930" s="28"/>
    </row>
    <row r="931" spans="43:49" x14ac:dyDescent="0.25">
      <c r="AQ931" s="40"/>
      <c r="AU931" s="28"/>
      <c r="AV931" s="28"/>
      <c r="AW931" s="28"/>
    </row>
    <row r="932" spans="43:49" x14ac:dyDescent="0.25">
      <c r="AQ932" s="40"/>
      <c r="AU932" s="28"/>
      <c r="AV932" s="28"/>
      <c r="AW932" s="28"/>
    </row>
    <row r="933" spans="43:49" x14ac:dyDescent="0.25">
      <c r="AQ933" s="40"/>
      <c r="AU933" s="28"/>
      <c r="AV933" s="28"/>
      <c r="AW933" s="28"/>
    </row>
    <row r="934" spans="43:49" x14ac:dyDescent="0.25">
      <c r="AQ934" s="40"/>
      <c r="AU934" s="28"/>
      <c r="AV934" s="28"/>
      <c r="AW934" s="28"/>
    </row>
    <row r="935" spans="43:49" x14ac:dyDescent="0.25">
      <c r="AQ935" s="40"/>
      <c r="AU935" s="28"/>
      <c r="AV935" s="28"/>
      <c r="AW935" s="28"/>
    </row>
    <row r="936" spans="43:49" x14ac:dyDescent="0.25">
      <c r="AQ936" s="40"/>
      <c r="AU936" s="28"/>
      <c r="AV936" s="28"/>
      <c r="AW936" s="28"/>
    </row>
    <row r="937" spans="43:49" x14ac:dyDescent="0.25">
      <c r="AQ937" s="40"/>
      <c r="AU937" s="28"/>
      <c r="AV937" s="28"/>
      <c r="AW937" s="28"/>
    </row>
    <row r="938" spans="43:49" x14ac:dyDescent="0.25">
      <c r="AQ938" s="40"/>
      <c r="AU938" s="28"/>
      <c r="AV938" s="28"/>
      <c r="AW938" s="28"/>
    </row>
    <row r="939" spans="43:49" x14ac:dyDescent="0.25">
      <c r="AQ939" s="40"/>
      <c r="AU939" s="28"/>
      <c r="AV939" s="28"/>
      <c r="AW939" s="28"/>
    </row>
    <row r="940" spans="43:49" x14ac:dyDescent="0.25">
      <c r="AQ940" s="40"/>
      <c r="AU940" s="28"/>
      <c r="AV940" s="28"/>
      <c r="AW940" s="28"/>
    </row>
    <row r="941" spans="43:49" x14ac:dyDescent="0.25">
      <c r="AQ941" s="40"/>
      <c r="AU941" s="28"/>
      <c r="AV941" s="28"/>
      <c r="AW941" s="28"/>
    </row>
    <row r="942" spans="43:49" x14ac:dyDescent="0.25">
      <c r="AQ942" s="40"/>
      <c r="AU942" s="28"/>
      <c r="AV942" s="28"/>
      <c r="AW942" s="28"/>
    </row>
    <row r="943" spans="43:49" x14ac:dyDescent="0.25">
      <c r="AQ943" s="40"/>
      <c r="AU943" s="28"/>
      <c r="AV943" s="28"/>
      <c r="AW943" s="28"/>
    </row>
    <row r="944" spans="43:49" x14ac:dyDescent="0.25">
      <c r="AQ944" s="40"/>
      <c r="AU944" s="28"/>
      <c r="AV944" s="28"/>
      <c r="AW944" s="28"/>
    </row>
    <row r="945" spans="43:49" x14ac:dyDescent="0.25">
      <c r="AQ945" s="40"/>
      <c r="AU945" s="28"/>
      <c r="AV945" s="28"/>
      <c r="AW945" s="28"/>
    </row>
    <row r="946" spans="43:49" x14ac:dyDescent="0.25">
      <c r="AQ946" s="40"/>
      <c r="AU946" s="28"/>
      <c r="AV946" s="28"/>
      <c r="AW946" s="28"/>
    </row>
    <row r="947" spans="43:49" x14ac:dyDescent="0.25">
      <c r="AQ947" s="40"/>
      <c r="AU947" s="28"/>
      <c r="AV947" s="28"/>
      <c r="AW947" s="28"/>
    </row>
    <row r="948" spans="43:49" x14ac:dyDescent="0.25">
      <c r="AQ948" s="40"/>
      <c r="AU948" s="28"/>
      <c r="AV948" s="28"/>
      <c r="AW948" s="28"/>
    </row>
    <row r="949" spans="43:49" x14ac:dyDescent="0.25">
      <c r="AQ949" s="40"/>
      <c r="AU949" s="28"/>
      <c r="AV949" s="28"/>
      <c r="AW949" s="28"/>
    </row>
    <row r="950" spans="43:49" x14ac:dyDescent="0.25">
      <c r="AQ950" s="40"/>
      <c r="AU950" s="28"/>
      <c r="AV950" s="28"/>
      <c r="AW950" s="28"/>
    </row>
    <row r="951" spans="43:49" x14ac:dyDescent="0.25">
      <c r="AQ951" s="40"/>
      <c r="AU951" s="28"/>
      <c r="AV951" s="28"/>
      <c r="AW951" s="28"/>
    </row>
    <row r="952" spans="43:49" x14ac:dyDescent="0.25">
      <c r="AQ952" s="40"/>
      <c r="AU952" s="28"/>
      <c r="AV952" s="28"/>
      <c r="AW952" s="28"/>
    </row>
    <row r="953" spans="43:49" x14ac:dyDescent="0.25">
      <c r="AQ953" s="40"/>
      <c r="AU953" s="28"/>
      <c r="AV953" s="28"/>
      <c r="AW953" s="28"/>
    </row>
    <row r="954" spans="43:49" x14ac:dyDescent="0.25">
      <c r="AQ954" s="40"/>
      <c r="AU954" s="28"/>
      <c r="AV954" s="28"/>
      <c r="AW954" s="28"/>
    </row>
    <row r="955" spans="43:49" x14ac:dyDescent="0.25">
      <c r="AQ955" s="40"/>
      <c r="AU955" s="28"/>
      <c r="AV955" s="28"/>
      <c r="AW955" s="28"/>
    </row>
    <row r="956" spans="43:49" x14ac:dyDescent="0.25">
      <c r="AQ956" s="40"/>
      <c r="AU956" s="28"/>
      <c r="AV956" s="28"/>
      <c r="AW956" s="28"/>
    </row>
    <row r="957" spans="43:49" x14ac:dyDescent="0.25">
      <c r="AQ957" s="40"/>
      <c r="AU957" s="28"/>
      <c r="AV957" s="28"/>
      <c r="AW957" s="28"/>
    </row>
    <row r="958" spans="43:49" x14ac:dyDescent="0.25">
      <c r="AQ958" s="40"/>
      <c r="AU958" s="28"/>
      <c r="AV958" s="28"/>
      <c r="AW958" s="28"/>
    </row>
    <row r="959" spans="43:49" x14ac:dyDescent="0.25">
      <c r="AQ959" s="40"/>
      <c r="AU959" s="28"/>
      <c r="AV959" s="28"/>
      <c r="AW959" s="28"/>
    </row>
    <row r="960" spans="43:49" x14ac:dyDescent="0.25">
      <c r="AQ960" s="40"/>
      <c r="AU960" s="28"/>
      <c r="AV960" s="28"/>
      <c r="AW960" s="28"/>
    </row>
    <row r="961" spans="43:49" x14ac:dyDescent="0.25">
      <c r="AQ961" s="40"/>
      <c r="AU961" s="28"/>
      <c r="AV961" s="28"/>
      <c r="AW961" s="28"/>
    </row>
    <row r="962" spans="43:49" x14ac:dyDescent="0.25">
      <c r="AQ962" s="40"/>
      <c r="AU962" s="28"/>
      <c r="AV962" s="28"/>
      <c r="AW962" s="28"/>
    </row>
    <row r="963" spans="43:49" x14ac:dyDescent="0.25">
      <c r="AQ963" s="40"/>
      <c r="AU963" s="28"/>
      <c r="AV963" s="28"/>
      <c r="AW963" s="28"/>
    </row>
    <row r="964" spans="43:49" x14ac:dyDescent="0.25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G92" sqref="G92:J93"/>
    </sheetView>
  </sheetViews>
  <sheetFormatPr defaultColWidth="9.140625" defaultRowHeight="15" outlineLevelRow="1" outlineLevelCol="1" x14ac:dyDescent="0.25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 x14ac:dyDescent="0.35">
      <c r="B2" s="90">
        <f>BILANCIO!B2</f>
        <v>46113</v>
      </c>
      <c r="W2" s="1427"/>
      <c r="X2" s="1427"/>
    </row>
    <row r="3" spans="2:24" x14ac:dyDescent="0.25">
      <c r="F3" s="21"/>
      <c r="G3" s="37"/>
      <c r="H3" s="37"/>
      <c r="J3" s="37"/>
      <c r="K3" s="31"/>
    </row>
    <row r="4" spans="2:24" ht="36.75" customHeight="1" x14ac:dyDescent="0.25">
      <c r="B4" s="779" t="s">
        <v>804</v>
      </c>
      <c r="C4" s="803">
        <f>L10+V10</f>
        <v>1458.731</v>
      </c>
      <c r="D4" s="942"/>
      <c r="E4" s="942"/>
      <c r="G4" s="978" t="s">
        <v>455</v>
      </c>
      <c r="H4" s="777" t="s">
        <v>471</v>
      </c>
      <c r="I4" s="778" t="s">
        <v>471</v>
      </c>
      <c r="J4" s="779" t="s">
        <v>475</v>
      </c>
      <c r="K4" s="778" t="s">
        <v>478</v>
      </c>
      <c r="L4" s="1429" t="s">
        <v>439</v>
      </c>
      <c r="M4" s="785"/>
      <c r="N4" s="777" t="s">
        <v>1080</v>
      </c>
      <c r="O4" s="778" t="s">
        <v>108</v>
      </c>
      <c r="P4" s="777" t="s">
        <v>108</v>
      </c>
      <c r="Q4" s="778" t="s">
        <v>108</v>
      </c>
      <c r="R4" s="779" t="s">
        <v>1186</v>
      </c>
      <c r="S4" s="778"/>
      <c r="T4" s="777" t="s">
        <v>1080</v>
      </c>
      <c r="U4" s="787"/>
      <c r="V4" s="1429" t="s">
        <v>439</v>
      </c>
      <c r="W4" s="978" t="s">
        <v>455</v>
      </c>
    </row>
    <row r="5" spans="2:24" ht="36.75" customHeight="1" x14ac:dyDescent="0.25">
      <c r="B5" s="779" t="s">
        <v>805</v>
      </c>
      <c r="C5" s="803">
        <f>H10+I10</f>
        <v>674.21100000000001</v>
      </c>
      <c r="D5" s="942"/>
      <c r="E5" s="942"/>
      <c r="G5" s="978" t="s">
        <v>801</v>
      </c>
      <c r="H5" s="777" t="s">
        <v>423</v>
      </c>
      <c r="I5" s="778" t="s">
        <v>423</v>
      </c>
      <c r="J5" s="779" t="s">
        <v>802</v>
      </c>
      <c r="K5" s="778" t="s">
        <v>802</v>
      </c>
      <c r="L5" s="1430"/>
      <c r="M5" s="785"/>
      <c r="N5" s="779" t="s">
        <v>1085</v>
      </c>
      <c r="O5" s="778" t="s">
        <v>1085</v>
      </c>
      <c r="P5" s="779" t="s">
        <v>1085</v>
      </c>
      <c r="Q5" s="778" t="s">
        <v>1085</v>
      </c>
      <c r="R5" s="779" t="s">
        <v>1085</v>
      </c>
      <c r="S5" s="778"/>
      <c r="T5" s="777" t="s">
        <v>1085</v>
      </c>
      <c r="U5" s="787"/>
      <c r="V5" s="1430"/>
      <c r="W5" s="978" t="s">
        <v>801</v>
      </c>
    </row>
    <row r="6" spans="2:24" s="91" customFormat="1" ht="39" customHeight="1" x14ac:dyDescent="0.25">
      <c r="B6" s="779" t="s">
        <v>806</v>
      </c>
      <c r="C6" s="804">
        <f>J10+K10</f>
        <v>268.5</v>
      </c>
      <c r="D6" s="943"/>
      <c r="E6" s="943"/>
      <c r="G6" s="979" t="s">
        <v>456</v>
      </c>
      <c r="H6" s="780" t="s">
        <v>472</v>
      </c>
      <c r="I6" s="781" t="s">
        <v>473</v>
      </c>
      <c r="J6" s="782" t="s">
        <v>477</v>
      </c>
      <c r="K6" s="781" t="s">
        <v>479</v>
      </c>
      <c r="L6" s="1431"/>
      <c r="M6" s="786"/>
      <c r="N6" s="782" t="s">
        <v>1197</v>
      </c>
      <c r="O6" s="781" t="s">
        <v>1086</v>
      </c>
      <c r="P6" s="782" t="s">
        <v>1177</v>
      </c>
      <c r="Q6" s="781" t="s">
        <v>1192</v>
      </c>
      <c r="R6" s="782" t="s">
        <v>1187</v>
      </c>
      <c r="S6" s="781"/>
      <c r="T6" s="780" t="s">
        <v>1183</v>
      </c>
      <c r="U6" s="788"/>
      <c r="V6" s="1431"/>
      <c r="W6" s="979" t="s">
        <v>456</v>
      </c>
    </row>
    <row r="7" spans="2:24" x14ac:dyDescent="0.25">
      <c r="B7" s="802" t="s">
        <v>807</v>
      </c>
      <c r="C7" s="803">
        <f>V10</f>
        <v>516.02</v>
      </c>
      <c r="D7" s="942"/>
      <c r="E7" s="942"/>
      <c r="G7" s="766" t="s">
        <v>428</v>
      </c>
      <c r="H7" s="768">
        <v>629.71100000000001</v>
      </c>
      <c r="I7" s="744">
        <v>44.5</v>
      </c>
      <c r="J7" s="743">
        <v>183</v>
      </c>
      <c r="K7" s="744">
        <v>80.5</v>
      </c>
      <c r="L7" s="764">
        <f>SUM(H7:K7)</f>
        <v>937.71100000000001</v>
      </c>
      <c r="M7" s="785"/>
      <c r="N7" s="768">
        <v>249.23</v>
      </c>
      <c r="O7" s="744">
        <v>94.8</v>
      </c>
      <c r="P7" s="749">
        <v>38.799999999999997</v>
      </c>
      <c r="Q7" s="744">
        <v>35.799999999999997</v>
      </c>
      <c r="R7" s="743">
        <v>68.92</v>
      </c>
      <c r="S7" s="744"/>
      <c r="T7" s="743">
        <v>120.77</v>
      </c>
      <c r="U7" s="791"/>
      <c r="V7" s="764">
        <f>SUM(N7:U7)</f>
        <v>608.32000000000005</v>
      </c>
      <c r="W7" s="980" t="s">
        <v>428</v>
      </c>
    </row>
    <row r="8" spans="2:24" x14ac:dyDescent="0.25">
      <c r="G8" s="766" t="s">
        <v>457</v>
      </c>
      <c r="H8" s="554"/>
      <c r="I8" s="746"/>
      <c r="J8" s="242">
        <v>2.5</v>
      </c>
      <c r="K8" s="746">
        <v>2.5</v>
      </c>
      <c r="L8" s="764"/>
      <c r="M8" s="785"/>
      <c r="N8" s="554"/>
      <c r="O8" s="746"/>
      <c r="P8" s="242"/>
      <c r="Q8" s="746"/>
      <c r="R8" s="242"/>
      <c r="S8" s="746"/>
      <c r="T8" s="242">
        <v>2.5</v>
      </c>
      <c r="U8" s="792"/>
      <c r="V8" s="764"/>
      <c r="W8" s="980" t="s">
        <v>457</v>
      </c>
    </row>
    <row r="9" spans="2:24" ht="20.25" customHeight="1" x14ac:dyDescent="0.25">
      <c r="G9" s="774" t="s">
        <v>795</v>
      </c>
      <c r="H9" s="554">
        <f>H7+H8</f>
        <v>629.71100000000001</v>
      </c>
      <c r="I9" s="746">
        <f t="shared" ref="I9:K9" si="0">I7+I8</f>
        <v>44.5</v>
      </c>
      <c r="J9" s="242">
        <f t="shared" si="0"/>
        <v>185.5</v>
      </c>
      <c r="K9" s="746">
        <f t="shared" si="0"/>
        <v>83</v>
      </c>
      <c r="L9" s="764">
        <f>SUM(H9:K9)</f>
        <v>942.71100000000001</v>
      </c>
      <c r="M9" s="785"/>
      <c r="N9" s="554">
        <f>N7+N8</f>
        <v>249.23</v>
      </c>
      <c r="O9" s="746">
        <f t="shared" ref="O9" si="1">O7+O8</f>
        <v>94.8</v>
      </c>
      <c r="P9" s="242">
        <f t="shared" ref="P9" si="2">P7+P8</f>
        <v>38.799999999999997</v>
      </c>
      <c r="Q9" s="746">
        <f t="shared" ref="Q9:S9" si="3">Q7+Q8</f>
        <v>35.799999999999997</v>
      </c>
      <c r="R9" s="242">
        <f t="shared" si="3"/>
        <v>68.92</v>
      </c>
      <c r="S9" s="746">
        <f t="shared" si="3"/>
        <v>0</v>
      </c>
      <c r="T9" s="242">
        <f t="shared" ref="T9" si="4">T7+T8</f>
        <v>123.27</v>
      </c>
      <c r="U9" s="792">
        <f t="shared" ref="U9" si="5">U7+U8</f>
        <v>0</v>
      </c>
      <c r="V9" s="764">
        <f>SUM(N9:U9)</f>
        <v>610.82000000000005</v>
      </c>
      <c r="W9" s="980" t="s">
        <v>795</v>
      </c>
    </row>
    <row r="10" spans="2:24" x14ac:dyDescent="0.25">
      <c r="G10" s="774" t="s">
        <v>803</v>
      </c>
      <c r="H10" s="554">
        <f>IF(H24&gt;0,H9,0)</f>
        <v>629.71100000000001</v>
      </c>
      <c r="I10" s="746">
        <f t="shared" ref="I10:K10" si="6">IF(I24&gt;0,I9,0)</f>
        <v>44.5</v>
      </c>
      <c r="J10" s="242">
        <f t="shared" si="6"/>
        <v>185.5</v>
      </c>
      <c r="K10" s="746">
        <f t="shared" si="6"/>
        <v>83</v>
      </c>
      <c r="L10" s="764">
        <f>SUM(H10:K10)</f>
        <v>942.71100000000001</v>
      </c>
      <c r="M10" s="785"/>
      <c r="N10" s="554">
        <f>IF(N24&gt;0,N9,0)</f>
        <v>249.23</v>
      </c>
      <c r="O10" s="746">
        <f t="shared" ref="O10" si="7">IF(O24&gt;0,O9,0)</f>
        <v>0</v>
      </c>
      <c r="P10" s="242">
        <f t="shared" ref="P10" si="8">IF(P24&gt;0,P9,0)</f>
        <v>38.799999999999997</v>
      </c>
      <c r="Q10" s="746">
        <f t="shared" ref="Q10:R10" si="9">IF(Q24&gt;0,Q9,0)</f>
        <v>35.799999999999997</v>
      </c>
      <c r="R10" s="242">
        <f t="shared" si="9"/>
        <v>68.92</v>
      </c>
      <c r="S10" s="746">
        <f t="shared" ref="S10" si="10">IF(S24&gt;0,S9,0)</f>
        <v>0</v>
      </c>
      <c r="T10" s="242">
        <f t="shared" ref="T10" si="11">IF(T24&gt;0,T9,0)</f>
        <v>123.27</v>
      </c>
      <c r="U10" s="792">
        <f t="shared" ref="U10" si="12">IF(U24&gt;0,U9,0)</f>
        <v>0</v>
      </c>
      <c r="V10" s="764">
        <f>SUM(N10:U10)</f>
        <v>516.02</v>
      </c>
      <c r="W10" s="980" t="s">
        <v>803</v>
      </c>
    </row>
    <row r="11" spans="2:24" x14ac:dyDescent="0.25">
      <c r="G11" s="766" t="s">
        <v>459</v>
      </c>
      <c r="H11" s="767">
        <v>240</v>
      </c>
      <c r="I11" s="741">
        <v>120</v>
      </c>
      <c r="J11" s="543">
        <f>COUNTA(J28:J267)</f>
        <v>120</v>
      </c>
      <c r="K11" s="741">
        <f>COUNTA(K28:K267)</f>
        <v>96</v>
      </c>
      <c r="L11" s="763"/>
      <c r="M11" s="785"/>
      <c r="N11" s="767">
        <v>3</v>
      </c>
      <c r="O11" s="741">
        <v>5</v>
      </c>
      <c r="P11" s="543">
        <v>5</v>
      </c>
      <c r="Q11" s="741">
        <v>5</v>
      </c>
      <c r="R11" s="543">
        <v>3</v>
      </c>
      <c r="S11" s="741"/>
      <c r="T11" s="543">
        <v>6</v>
      </c>
      <c r="U11" s="793"/>
      <c r="V11" s="763"/>
      <c r="W11" s="980" t="s">
        <v>459</v>
      </c>
    </row>
    <row r="12" spans="2:24" x14ac:dyDescent="0.25">
      <c r="G12" s="774" t="s">
        <v>460</v>
      </c>
      <c r="H12" s="554">
        <v>150500.93</v>
      </c>
      <c r="I12" s="746">
        <f>I7*I11</f>
        <v>5340</v>
      </c>
      <c r="J12" s="242">
        <f>(J7*J11)-2</f>
        <v>21958</v>
      </c>
      <c r="K12" s="746">
        <v>7681</v>
      </c>
      <c r="L12" s="764"/>
      <c r="M12" s="785"/>
      <c r="N12" s="554">
        <f>N7*N11</f>
        <v>747.68999999999994</v>
      </c>
      <c r="O12" s="746">
        <f>O7*O11</f>
        <v>474</v>
      </c>
      <c r="P12" s="242">
        <f>P11*P7</f>
        <v>194</v>
      </c>
      <c r="Q12" s="746">
        <f>Q11*Q7</f>
        <v>179</v>
      </c>
      <c r="R12" s="242">
        <f>R11*R7</f>
        <v>206.76</v>
      </c>
      <c r="S12" s="746">
        <f t="shared" ref="S12:U12" si="13">S11*S7</f>
        <v>0</v>
      </c>
      <c r="T12" s="242">
        <f t="shared" si="13"/>
        <v>724.62</v>
      </c>
      <c r="U12" s="792">
        <f t="shared" si="13"/>
        <v>0</v>
      </c>
      <c r="V12" s="764">
        <f>SUM(N12:U12)</f>
        <v>2526.0700000000002</v>
      </c>
      <c r="W12" s="980" t="s">
        <v>460</v>
      </c>
    </row>
    <row r="13" spans="2:24" x14ac:dyDescent="0.25">
      <c r="G13" s="766" t="s">
        <v>461</v>
      </c>
      <c r="H13" s="554">
        <v>128700</v>
      </c>
      <c r="I13" s="746">
        <v>4500</v>
      </c>
      <c r="J13" s="242">
        <v>14966.52</v>
      </c>
      <c r="K13" s="746">
        <v>5500</v>
      </c>
      <c r="L13" s="764">
        <f>SUM(H13:K13)</f>
        <v>153666.51999999999</v>
      </c>
      <c r="M13" s="785"/>
      <c r="N13" s="554">
        <v>730</v>
      </c>
      <c r="O13" s="746">
        <v>474</v>
      </c>
      <c r="P13" s="242">
        <v>194</v>
      </c>
      <c r="Q13" s="746">
        <v>178.99</v>
      </c>
      <c r="R13" s="242">
        <v>206.76</v>
      </c>
      <c r="S13" s="746"/>
      <c r="T13" s="242">
        <v>694.99</v>
      </c>
      <c r="U13" s="792"/>
      <c r="V13" s="764">
        <f>SUM(N13:U13)</f>
        <v>2478.7399999999998</v>
      </c>
      <c r="W13" s="980" t="s">
        <v>461</v>
      </c>
    </row>
    <row r="14" spans="2:24" x14ac:dyDescent="0.25">
      <c r="G14" s="766" t="s">
        <v>462</v>
      </c>
      <c r="H14" s="554">
        <f t="shared" ref="H14:K14" si="14">H12-H13</f>
        <v>21800.929999999993</v>
      </c>
      <c r="I14" s="746">
        <f t="shared" si="14"/>
        <v>840</v>
      </c>
      <c r="J14" s="242">
        <f t="shared" si="14"/>
        <v>6991.48</v>
      </c>
      <c r="K14" s="746">
        <f t="shared" si="14"/>
        <v>2181</v>
      </c>
      <c r="L14" s="764">
        <f>SUM(H14:K14)</f>
        <v>31813.409999999993</v>
      </c>
      <c r="M14" s="785"/>
      <c r="N14" s="554">
        <f t="shared" ref="N14:U14" si="15">N12-N13</f>
        <v>17.689999999999941</v>
      </c>
      <c r="O14" s="746">
        <f t="shared" si="15"/>
        <v>0</v>
      </c>
      <c r="P14" s="242">
        <f t="shared" si="15"/>
        <v>0</v>
      </c>
      <c r="Q14" s="746">
        <f t="shared" si="15"/>
        <v>9.9999999999909051E-3</v>
      </c>
      <c r="R14" s="242">
        <f t="shared" si="15"/>
        <v>0</v>
      </c>
      <c r="S14" s="746">
        <f t="shared" si="15"/>
        <v>0</v>
      </c>
      <c r="T14" s="242">
        <f t="shared" si="15"/>
        <v>29.629999999999995</v>
      </c>
      <c r="U14" s="792">
        <f t="shared" si="15"/>
        <v>0</v>
      </c>
      <c r="V14" s="764">
        <f>SUM(N14:U14)</f>
        <v>47.329999999999927</v>
      </c>
      <c r="W14" s="980" t="s">
        <v>462</v>
      </c>
    </row>
    <row r="15" spans="2:24" x14ac:dyDescent="0.25">
      <c r="G15" s="766" t="s">
        <v>463</v>
      </c>
      <c r="H15" s="769">
        <f t="shared" ref="H15:K15" si="16">H14/H13</f>
        <v>0.16939339549339544</v>
      </c>
      <c r="I15" s="748">
        <f t="shared" si="16"/>
        <v>0.18666666666666668</v>
      </c>
      <c r="J15" s="747">
        <f t="shared" si="16"/>
        <v>0.46714132610653641</v>
      </c>
      <c r="K15" s="748">
        <f t="shared" si="16"/>
        <v>0.39654545454545453</v>
      </c>
      <c r="L15" s="765"/>
      <c r="M15" s="785"/>
      <c r="N15" s="769">
        <f>IFERROR(N14/N13,"")</f>
        <v>2.4232876712328686E-2</v>
      </c>
      <c r="O15" s="748">
        <f t="shared" ref="O15:U15" si="17">IFERROR(O14/O13,"")</f>
        <v>0</v>
      </c>
      <c r="P15" s="956">
        <f t="shared" si="17"/>
        <v>0</v>
      </c>
      <c r="Q15" s="748">
        <f t="shared" si="17"/>
        <v>5.5869042963243223E-5</v>
      </c>
      <c r="R15" s="747">
        <f t="shared" si="17"/>
        <v>0</v>
      </c>
      <c r="S15" s="748" t="str">
        <f t="shared" si="17"/>
        <v/>
      </c>
      <c r="T15" s="747">
        <f t="shared" si="17"/>
        <v>4.2633706959812362E-2</v>
      </c>
      <c r="U15" s="794" t="str">
        <f t="shared" si="17"/>
        <v/>
      </c>
      <c r="V15" s="765">
        <f>V14/V12</f>
        <v>1.8736614583127122E-2</v>
      </c>
      <c r="W15" s="980" t="s">
        <v>463</v>
      </c>
    </row>
    <row r="16" spans="2:24" x14ac:dyDescent="0.25">
      <c r="G16" s="766" t="s">
        <v>464</v>
      </c>
      <c r="H16" s="772">
        <f>(H23+H24)/12</f>
        <v>20</v>
      </c>
      <c r="I16" s="756">
        <f t="shared" ref="I16:K16" si="18">(I23+I24)/12</f>
        <v>10</v>
      </c>
      <c r="J16" s="755">
        <f t="shared" si="18"/>
        <v>10</v>
      </c>
      <c r="K16" s="756">
        <f t="shared" si="18"/>
        <v>8</v>
      </c>
      <c r="L16" s="763"/>
      <c r="M16" s="785"/>
      <c r="N16" s="957">
        <f t="shared" ref="N16:U16" si="19">(N23+N24)/12</f>
        <v>0.25</v>
      </c>
      <c r="O16" s="789">
        <f t="shared" si="19"/>
        <v>0.41666666666666669</v>
      </c>
      <c r="P16" s="790">
        <f t="shared" si="19"/>
        <v>0.41666666666666669</v>
      </c>
      <c r="Q16" s="789">
        <f t="shared" si="19"/>
        <v>0.41666666666666669</v>
      </c>
      <c r="R16" s="790">
        <f t="shared" ref="R16" si="20">(R23+R24)/12</f>
        <v>0.25</v>
      </c>
      <c r="S16" s="789">
        <f t="shared" si="19"/>
        <v>0</v>
      </c>
      <c r="T16" s="790">
        <f t="shared" si="19"/>
        <v>0.5</v>
      </c>
      <c r="U16" s="795">
        <f t="shared" si="19"/>
        <v>0</v>
      </c>
      <c r="V16" s="763"/>
      <c r="W16" s="980" t="s">
        <v>464</v>
      </c>
    </row>
    <row r="17" spans="2:23" x14ac:dyDescent="0.25">
      <c r="G17" s="766" t="s">
        <v>465</v>
      </c>
      <c r="H17" s="768">
        <f t="shared" ref="H17:K17" si="21">((H23)*H7)+H20</f>
        <v>40931.215000000004</v>
      </c>
      <c r="I17" s="744">
        <f t="shared" si="21"/>
        <v>2892.5</v>
      </c>
      <c r="J17" s="743">
        <f t="shared" si="21"/>
        <v>9150</v>
      </c>
      <c r="K17" s="744">
        <f t="shared" si="21"/>
        <v>3864</v>
      </c>
      <c r="L17" s="764">
        <f>SUM(H17:K17)</f>
        <v>56837.715000000004</v>
      </c>
      <c r="M17" s="785"/>
      <c r="N17" s="768">
        <f t="shared" ref="N17:U17" si="22">((N23)*N7)+N20</f>
        <v>249.23</v>
      </c>
      <c r="O17" s="744">
        <f t="shared" si="22"/>
        <v>474</v>
      </c>
      <c r="P17" s="749">
        <f t="shared" si="22"/>
        <v>38.799999999999997</v>
      </c>
      <c r="Q17" s="744">
        <f>((Q23)*Q7)+Q20</f>
        <v>35.799999999999997</v>
      </c>
      <c r="R17" s="743">
        <f t="shared" si="22"/>
        <v>68.92</v>
      </c>
      <c r="S17" s="744">
        <f t="shared" si="22"/>
        <v>0</v>
      </c>
      <c r="T17" s="743">
        <f t="shared" si="22"/>
        <v>362.31</v>
      </c>
      <c r="U17" s="791">
        <f t="shared" si="22"/>
        <v>0</v>
      </c>
      <c r="V17" s="764">
        <f>SUM(N17:U17)</f>
        <v>1229.06</v>
      </c>
      <c r="W17" s="980" t="s">
        <v>465</v>
      </c>
    </row>
    <row r="18" spans="2:23" x14ac:dyDescent="0.25">
      <c r="B18" s="776"/>
      <c r="C18" s="740"/>
      <c r="D18" s="740"/>
      <c r="E18" s="740"/>
      <c r="G18" s="766" t="s">
        <v>466</v>
      </c>
      <c r="H18" s="768">
        <f>(H12-H17)</f>
        <v>109569.715</v>
      </c>
      <c r="I18" s="744">
        <f t="shared" ref="I18:K18" si="23">(I12-I17)</f>
        <v>2447.5</v>
      </c>
      <c r="J18" s="743">
        <f t="shared" si="23"/>
        <v>12808</v>
      </c>
      <c r="K18" s="744">
        <f t="shared" si="23"/>
        <v>3817</v>
      </c>
      <c r="L18" s="764">
        <f>SUM(H18:K18)</f>
        <v>128642.215</v>
      </c>
      <c r="M18" s="785"/>
      <c r="N18" s="768">
        <f t="shared" ref="N18:O18" si="24">(N12-N17)</f>
        <v>498.45999999999992</v>
      </c>
      <c r="O18" s="744">
        <f t="shared" si="24"/>
        <v>0</v>
      </c>
      <c r="P18" s="749">
        <f t="shared" ref="P18" si="25">(P12-P17)</f>
        <v>155.19999999999999</v>
      </c>
      <c r="Q18" s="744">
        <f t="shared" ref="Q18:S18" si="26">(Q12-Q17)</f>
        <v>143.19999999999999</v>
      </c>
      <c r="R18" s="743">
        <f t="shared" ref="R18" si="27">(R12-R17)</f>
        <v>137.83999999999997</v>
      </c>
      <c r="S18" s="744">
        <f t="shared" si="26"/>
        <v>0</v>
      </c>
      <c r="T18" s="743">
        <f t="shared" ref="T18" si="28">(T12-T17)</f>
        <v>362.31</v>
      </c>
      <c r="U18" s="791">
        <f t="shared" ref="U18" si="29">(U12-U17)</f>
        <v>0</v>
      </c>
      <c r="V18" s="764">
        <f>SUM(N18:U18)</f>
        <v>1297.0099999999998</v>
      </c>
      <c r="W18" s="980" t="s">
        <v>466</v>
      </c>
    </row>
    <row r="19" spans="2:23" x14ac:dyDescent="0.25">
      <c r="G19" s="766" t="s">
        <v>467</v>
      </c>
      <c r="H19" s="770">
        <f t="shared" ref="H19:K19" si="30">(H20/H9)/12</f>
        <v>0</v>
      </c>
      <c r="I19" s="751">
        <f t="shared" si="30"/>
        <v>0</v>
      </c>
      <c r="J19" s="750">
        <f t="shared" si="30"/>
        <v>0</v>
      </c>
      <c r="K19" s="751">
        <f t="shared" si="30"/>
        <v>0</v>
      </c>
      <c r="L19" s="764"/>
      <c r="M19" s="785"/>
      <c r="N19" s="770">
        <f>IFERROR((N20/N9)/12,"")</f>
        <v>0</v>
      </c>
      <c r="O19" s="751">
        <f t="shared" ref="O19:U19" si="31">IFERROR((O20/O9)/12,"")</f>
        <v>0</v>
      </c>
      <c r="P19" s="752">
        <f t="shared" si="31"/>
        <v>0</v>
      </c>
      <c r="Q19" s="751">
        <f t="shared" si="31"/>
        <v>0</v>
      </c>
      <c r="R19" s="750">
        <f t="shared" si="31"/>
        <v>0</v>
      </c>
      <c r="S19" s="751" t="str">
        <f t="shared" si="31"/>
        <v/>
      </c>
      <c r="T19" s="750">
        <f t="shared" si="31"/>
        <v>0</v>
      </c>
      <c r="U19" s="796" t="str">
        <f t="shared" si="31"/>
        <v/>
      </c>
      <c r="V19" s="764"/>
      <c r="W19" s="980" t="s">
        <v>467</v>
      </c>
    </row>
    <row r="20" spans="2:23" x14ac:dyDescent="0.25">
      <c r="B20" s="49"/>
      <c r="C20" s="37"/>
      <c r="D20" s="37"/>
      <c r="E20" s="37"/>
      <c r="G20" s="766" t="s">
        <v>796</v>
      </c>
      <c r="H20" s="768"/>
      <c r="I20" s="744"/>
      <c r="J20" s="743"/>
      <c r="K20" s="744"/>
      <c r="L20" s="763"/>
      <c r="M20" s="785"/>
      <c r="N20" s="768"/>
      <c r="O20" s="744"/>
      <c r="P20" s="749"/>
      <c r="Q20" s="744"/>
      <c r="R20" s="743"/>
      <c r="S20" s="744"/>
      <c r="T20" s="743"/>
      <c r="U20" s="791"/>
      <c r="V20" s="763"/>
      <c r="W20" s="980" t="s">
        <v>796</v>
      </c>
    </row>
    <row r="21" spans="2:23" x14ac:dyDescent="0.25">
      <c r="G21" s="766" t="s">
        <v>800</v>
      </c>
      <c r="H21" s="768" t="str">
        <f t="shared" ref="H21:K21" si="32">IF(H20&gt;0,(H12-H17)+((H11-H23)*H8),"")</f>
        <v/>
      </c>
      <c r="I21" s="744" t="str">
        <f t="shared" si="32"/>
        <v/>
      </c>
      <c r="J21" s="743" t="str">
        <f t="shared" si="32"/>
        <v/>
      </c>
      <c r="K21" s="744" t="str">
        <f t="shared" si="32"/>
        <v/>
      </c>
      <c r="L21" s="764"/>
      <c r="M21" s="785"/>
      <c r="N21" s="768" t="str">
        <f t="shared" ref="N21:U21" si="33">IF(N20&gt;0,(N12-N17)+((N11-N23)*N8),"")</f>
        <v/>
      </c>
      <c r="O21" s="744" t="str">
        <f t="shared" si="33"/>
        <v/>
      </c>
      <c r="P21" s="749" t="str">
        <f t="shared" si="33"/>
        <v/>
      </c>
      <c r="Q21" s="744" t="str">
        <f t="shared" si="33"/>
        <v/>
      </c>
      <c r="R21" s="743" t="str">
        <f t="shared" si="33"/>
        <v/>
      </c>
      <c r="S21" s="744" t="str">
        <f t="shared" si="33"/>
        <v/>
      </c>
      <c r="T21" s="743" t="str">
        <f t="shared" si="33"/>
        <v/>
      </c>
      <c r="U21" s="791" t="str">
        <f t="shared" si="33"/>
        <v/>
      </c>
      <c r="V21" s="764"/>
      <c r="W21" s="980" t="s">
        <v>800</v>
      </c>
    </row>
    <row r="22" spans="2:23" x14ac:dyDescent="0.25">
      <c r="G22" s="766" t="s">
        <v>799</v>
      </c>
      <c r="H22" s="768"/>
      <c r="I22" s="744"/>
      <c r="J22" s="743">
        <f t="shared" ref="J22" si="34">J8*(J23+J24)</f>
        <v>300</v>
      </c>
      <c r="K22" s="744">
        <f>K11*K8</f>
        <v>240</v>
      </c>
      <c r="L22" s="764">
        <f>SUM(H22:K22)</f>
        <v>540</v>
      </c>
      <c r="M22" s="785"/>
      <c r="N22" s="768"/>
      <c r="O22" s="744"/>
      <c r="P22" s="749">
        <f t="shared" ref="P22:U22" si="35">P8*(P23+P24)</f>
        <v>0</v>
      </c>
      <c r="Q22" s="744">
        <f t="shared" si="35"/>
        <v>0</v>
      </c>
      <c r="R22" s="743">
        <f t="shared" si="35"/>
        <v>0</v>
      </c>
      <c r="S22" s="744">
        <f t="shared" si="35"/>
        <v>0</v>
      </c>
      <c r="T22" s="743">
        <f t="shared" si="35"/>
        <v>15</v>
      </c>
      <c r="U22" s="791">
        <f t="shared" si="35"/>
        <v>0</v>
      </c>
      <c r="V22" s="764">
        <f>SUM(N22:U22)</f>
        <v>15</v>
      </c>
      <c r="W22" s="980" t="s">
        <v>799</v>
      </c>
    </row>
    <row r="23" spans="2:23" x14ac:dyDescent="0.25">
      <c r="G23" s="766" t="s">
        <v>468</v>
      </c>
      <c r="H23" s="770">
        <f>IF(H20,COUNTIFS(G28:G267,"&lt;"&amp;$B$2,H28:H267,"&gt;0")-1,COUNTIFS(G28:G267,"&lt;"&amp;$B$2,H28:H267,"&gt;0"))</f>
        <v>65</v>
      </c>
      <c r="I23" s="751">
        <f>IF(I20,COUNTIFS(G28:G267,"&lt;"&amp;$B$2,I28:I267,"&gt;0")-1,COUNTIFS(G28:G267,"&lt;"&amp;$B$2,I28:I267,"&gt;0"))</f>
        <v>65</v>
      </c>
      <c r="J23" s="750">
        <f>IF(J20,COUNTIFS(G28:G267,"&lt;"&amp;$B$2,J28:J267,"&gt;0")-1,COUNTIFS(G28:G267,"&lt;"&amp;$B$2,J28:J267,"&gt;0"))</f>
        <v>50</v>
      </c>
      <c r="K23" s="751">
        <f>IF(K20,COUNTIFS(G28:G267,"&lt;"&amp;$B$2,K28:K267,"&gt;0")-1,COUNTIFS(G28:G267,"&lt;"&amp;$B$2,K28:K267,"&gt;0"))</f>
        <v>48</v>
      </c>
      <c r="L23" s="763"/>
      <c r="M23" s="785"/>
      <c r="N23" s="984">
        <f t="shared" ref="N23:U23" si="36">IF(N20,COUNTIFS($G28:$G267,"&lt;"&amp;$B$2,N28:N267,"&gt;0")-1,COUNTIFS($G28:$G267,"&lt;"&amp;$B$2,N28:N267,"&gt;0"))</f>
        <v>1</v>
      </c>
      <c r="O23" s="985">
        <f t="shared" si="36"/>
        <v>5</v>
      </c>
      <c r="P23" s="986">
        <f t="shared" si="36"/>
        <v>1</v>
      </c>
      <c r="Q23" s="985">
        <f t="shared" si="36"/>
        <v>1</v>
      </c>
      <c r="R23" s="987">
        <f t="shared" si="36"/>
        <v>1</v>
      </c>
      <c r="S23" s="985">
        <f t="shared" si="36"/>
        <v>0</v>
      </c>
      <c r="T23" s="750">
        <f t="shared" si="36"/>
        <v>3</v>
      </c>
      <c r="U23" s="797">
        <f t="shared" si="36"/>
        <v>0</v>
      </c>
      <c r="V23" s="763"/>
      <c r="W23" s="980" t="s">
        <v>468</v>
      </c>
    </row>
    <row r="24" spans="2:23" x14ac:dyDescent="0.25">
      <c r="C24" s="21"/>
      <c r="D24" s="21"/>
      <c r="E24" s="21"/>
      <c r="G24" s="766" t="s">
        <v>469</v>
      </c>
      <c r="H24" s="771">
        <f>IF(H20&lt;&gt;"",0,H11-H23)</f>
        <v>175</v>
      </c>
      <c r="I24" s="754">
        <f>IF(I20&lt;&gt;"",0,I11-I23)</f>
        <v>55</v>
      </c>
      <c r="J24" s="753">
        <f>IF(J20&lt;&gt;"",0,J11-J23)</f>
        <v>70</v>
      </c>
      <c r="K24" s="754">
        <f>IF(K20&lt;&gt;"",0,K11-K23)</f>
        <v>48</v>
      </c>
      <c r="L24" s="763"/>
      <c r="M24" s="785"/>
      <c r="N24" s="771">
        <f>IF(N20&lt;&gt;"",0,COUNTA(N28:N267)-N23)</f>
        <v>2</v>
      </c>
      <c r="O24" s="754">
        <f t="shared" ref="O24" si="37">IF(O20&lt;&gt;"",0,COUNTA(O28:O267)-O23)</f>
        <v>0</v>
      </c>
      <c r="P24" s="753">
        <f t="shared" ref="P24" si="38">IF(P20&lt;&gt;"",0,COUNTA(P28:P267)-P23)</f>
        <v>4</v>
      </c>
      <c r="Q24" s="754">
        <f t="shared" ref="Q24:S24" si="39">IF(Q20&lt;&gt;"",0,COUNTA(Q28:Q267)-Q23)</f>
        <v>4</v>
      </c>
      <c r="R24" s="753">
        <f t="shared" ref="R24" si="40">IF(R20&lt;&gt;"",0,COUNTA(R28:R267)-R23)</f>
        <v>2</v>
      </c>
      <c r="S24" s="754">
        <f t="shared" si="39"/>
        <v>0</v>
      </c>
      <c r="T24" s="753">
        <f t="shared" ref="T24" si="41">IF(T20&lt;&gt;"",0,COUNTA(T28:T267)-T23)</f>
        <v>3</v>
      </c>
      <c r="U24" s="798">
        <f t="shared" ref="U24" si="42">IF(U20&lt;&gt;"",0,COUNTA(U28:U267)-U23)</f>
        <v>0</v>
      </c>
      <c r="V24" s="763"/>
      <c r="W24" s="980" t="s">
        <v>469</v>
      </c>
    </row>
    <row r="25" spans="2:23" x14ac:dyDescent="0.25">
      <c r="C25" s="21"/>
      <c r="D25" s="21"/>
      <c r="E25" s="21"/>
      <c r="G25" s="766" t="s">
        <v>1165</v>
      </c>
      <c r="H25" s="771">
        <f t="shared" ref="H25:K25" si="43">H24/12</f>
        <v>14.583333333333334</v>
      </c>
      <c r="I25" s="754">
        <f t="shared" si="43"/>
        <v>4.583333333333333</v>
      </c>
      <c r="J25" s="753">
        <f t="shared" si="43"/>
        <v>5.833333333333333</v>
      </c>
      <c r="K25" s="754">
        <f t="shared" si="43"/>
        <v>4</v>
      </c>
      <c r="L25" s="763"/>
      <c r="M25" s="785"/>
      <c r="N25" s="772">
        <f t="shared" ref="N25:U25" si="44">N24/12</f>
        <v>0.16666666666666666</v>
      </c>
      <c r="O25" s="756">
        <f t="shared" si="44"/>
        <v>0</v>
      </c>
      <c r="P25" s="755">
        <f t="shared" si="44"/>
        <v>0.33333333333333331</v>
      </c>
      <c r="Q25" s="756">
        <f t="shared" si="44"/>
        <v>0.33333333333333331</v>
      </c>
      <c r="R25" s="755">
        <f t="shared" si="44"/>
        <v>0.16666666666666666</v>
      </c>
      <c r="S25" s="756">
        <f t="shared" si="44"/>
        <v>0</v>
      </c>
      <c r="T25" s="753">
        <f t="shared" si="44"/>
        <v>0.25</v>
      </c>
      <c r="U25" s="798">
        <f t="shared" si="44"/>
        <v>0</v>
      </c>
      <c r="V25" s="763"/>
      <c r="W25" s="980" t="s">
        <v>470</v>
      </c>
    </row>
    <row r="26" spans="2:23" x14ac:dyDescent="0.25">
      <c r="C26" s="37"/>
      <c r="D26" s="37"/>
      <c r="E26" s="37"/>
      <c r="G26" s="766"/>
      <c r="H26" s="772"/>
      <c r="I26" s="756"/>
      <c r="J26" s="755"/>
      <c r="K26" s="756"/>
      <c r="L26" s="763"/>
      <c r="M26" s="785"/>
      <c r="N26" s="772"/>
      <c r="O26" s="756"/>
      <c r="P26" s="755"/>
      <c r="Q26" s="756"/>
      <c r="R26" s="755"/>
      <c r="S26" s="756"/>
      <c r="T26" s="755"/>
      <c r="U26" s="799"/>
      <c r="V26" s="763"/>
      <c r="W26" s="980"/>
    </row>
    <row r="27" spans="2:23" ht="26.25" customHeight="1" thickBot="1" x14ac:dyDescent="0.3">
      <c r="G27" s="775" t="s">
        <v>0</v>
      </c>
      <c r="H27" s="1428" t="s">
        <v>797</v>
      </c>
      <c r="I27" s="1428"/>
      <c r="J27" s="1428"/>
      <c r="K27" s="1428"/>
      <c r="L27" s="762" t="s">
        <v>798</v>
      </c>
      <c r="M27" s="785"/>
      <c r="N27" s="1428" t="s">
        <v>797</v>
      </c>
      <c r="O27" s="1428"/>
      <c r="P27" s="1428"/>
      <c r="Q27" s="1428"/>
      <c r="R27" s="1428"/>
      <c r="S27" s="1428"/>
      <c r="T27" s="1428"/>
      <c r="U27" s="1432"/>
      <c r="V27" s="762" t="s">
        <v>798</v>
      </c>
      <c r="W27" s="981" t="s">
        <v>0</v>
      </c>
    </row>
    <row r="28" spans="2:23" ht="15.75" outlineLevel="1" thickTop="1" x14ac:dyDescent="0.25">
      <c r="D28" s="9" t="b">
        <f>IF($B$2=G28,TRUE,FALSE)</f>
        <v>0</v>
      </c>
      <c r="E28" s="9">
        <f>IF(G28&lt;=$B$2,1,0)</f>
        <v>1</v>
      </c>
      <c r="G28" s="976">
        <v>44136</v>
      </c>
      <c r="H28" s="773">
        <f>H12</f>
        <v>150500.93</v>
      </c>
      <c r="I28" s="757">
        <f>I12-31.13</f>
        <v>5308.87</v>
      </c>
      <c r="J28" s="534"/>
      <c r="K28" s="758"/>
      <c r="L28" s="760">
        <f t="shared" ref="L28:L91" si="45">SUM(H28:K28)</f>
        <v>155809.79999999999</v>
      </c>
      <c r="M28" s="785"/>
      <c r="N28" s="773"/>
      <c r="O28" s="757"/>
      <c r="P28" s="534"/>
      <c r="Q28" s="758"/>
      <c r="R28" s="534"/>
      <c r="S28" s="954"/>
      <c r="T28" s="759"/>
      <c r="U28" s="800"/>
      <c r="V28" s="760">
        <f>SUM(N28:U28)</f>
        <v>0</v>
      </c>
      <c r="W28" s="982">
        <v>44136</v>
      </c>
    </row>
    <row r="29" spans="2:23" outlineLevel="1" x14ac:dyDescent="0.25">
      <c r="D29" s="9" t="b">
        <f t="shared" ref="D29:D92" si="46">IF($B$2=G29,TRUE,FALSE)</f>
        <v>0</v>
      </c>
      <c r="E29" s="9">
        <f t="shared" ref="E29:E92" si="47">IF(G29&lt;=$B$2,1,0)</f>
        <v>1</v>
      </c>
      <c r="G29" s="977">
        <v>44166</v>
      </c>
      <c r="H29" s="554">
        <f t="shared" ref="H29:H92" si="48">H28-$H$7</f>
        <v>149871.21899999998</v>
      </c>
      <c r="I29" s="746">
        <f>I28-I7</f>
        <v>5264.37</v>
      </c>
      <c r="J29" s="543"/>
      <c r="K29" s="741"/>
      <c r="L29" s="761">
        <f t="shared" si="45"/>
        <v>155135.58899999998</v>
      </c>
      <c r="M29" s="785"/>
      <c r="N29" s="554"/>
      <c r="O29" s="746"/>
      <c r="P29" s="543"/>
      <c r="Q29" s="741"/>
      <c r="R29" s="543"/>
      <c r="S29" s="742"/>
      <c r="T29" s="743"/>
      <c r="U29" s="793"/>
      <c r="V29" s="761">
        <f t="shared" ref="V29:V92" si="49">SUM(N29:U29)</f>
        <v>0</v>
      </c>
      <c r="W29" s="983">
        <v>44166</v>
      </c>
    </row>
    <row r="30" spans="2:23" outlineLevel="1" x14ac:dyDescent="0.25">
      <c r="D30" s="9" t="b">
        <f t="shared" si="46"/>
        <v>0</v>
      </c>
      <c r="E30" s="9">
        <f t="shared" si="47"/>
        <v>1</v>
      </c>
      <c r="G30" s="977">
        <v>44197</v>
      </c>
      <c r="H30" s="554">
        <f t="shared" si="48"/>
        <v>149241.50799999997</v>
      </c>
      <c r="I30" s="744">
        <f>I29-I7</f>
        <v>5219.87</v>
      </c>
      <c r="J30" s="743"/>
      <c r="K30" s="744"/>
      <c r="L30" s="761">
        <f t="shared" si="45"/>
        <v>154461.37799999997</v>
      </c>
      <c r="M30" s="785"/>
      <c r="N30" s="554"/>
      <c r="O30" s="744"/>
      <c r="P30" s="743"/>
      <c r="Q30" s="744"/>
      <c r="R30" s="743"/>
      <c r="S30" s="745"/>
      <c r="T30" s="743"/>
      <c r="U30" s="791"/>
      <c r="V30" s="761">
        <f t="shared" si="49"/>
        <v>0</v>
      </c>
      <c r="W30" s="983">
        <v>44197</v>
      </c>
    </row>
    <row r="31" spans="2:23" outlineLevel="1" x14ac:dyDescent="0.25">
      <c r="D31" s="9" t="b">
        <f t="shared" si="46"/>
        <v>0</v>
      </c>
      <c r="E31" s="9">
        <f t="shared" si="47"/>
        <v>1</v>
      </c>
      <c r="G31" s="977">
        <v>44228</v>
      </c>
      <c r="H31" s="554">
        <f t="shared" si="48"/>
        <v>148611.79699999996</v>
      </c>
      <c r="I31" s="744">
        <f t="shared" ref="I31:I62" si="50">I30-$I$7</f>
        <v>5175.37</v>
      </c>
      <c r="J31" s="743"/>
      <c r="K31" s="744"/>
      <c r="L31" s="761">
        <f t="shared" si="45"/>
        <v>153787.16699999996</v>
      </c>
      <c r="M31" s="785"/>
      <c r="N31" s="554"/>
      <c r="O31" s="744"/>
      <c r="P31" s="743"/>
      <c r="Q31" s="744"/>
      <c r="R31" s="743"/>
      <c r="S31" s="745"/>
      <c r="T31" s="743"/>
      <c r="U31" s="791"/>
      <c r="V31" s="761">
        <f t="shared" si="49"/>
        <v>0</v>
      </c>
      <c r="W31" s="983">
        <v>44228</v>
      </c>
    </row>
    <row r="32" spans="2:23" outlineLevel="1" x14ac:dyDescent="0.25">
      <c r="D32" s="9" t="b">
        <f t="shared" si="46"/>
        <v>0</v>
      </c>
      <c r="E32" s="9">
        <f t="shared" si="47"/>
        <v>1</v>
      </c>
      <c r="G32" s="977">
        <v>44256</v>
      </c>
      <c r="H32" s="554">
        <f t="shared" si="48"/>
        <v>147982.08599999995</v>
      </c>
      <c r="I32" s="744">
        <f t="shared" si="50"/>
        <v>5130.87</v>
      </c>
      <c r="J32" s="743"/>
      <c r="K32" s="744"/>
      <c r="L32" s="761">
        <f t="shared" si="45"/>
        <v>153112.95599999995</v>
      </c>
      <c r="M32" s="785"/>
      <c r="N32" s="554"/>
      <c r="O32" s="744"/>
      <c r="P32" s="743"/>
      <c r="Q32" s="744"/>
      <c r="R32" s="743"/>
      <c r="S32" s="745"/>
      <c r="T32" s="743"/>
      <c r="U32" s="791"/>
      <c r="V32" s="761">
        <f t="shared" si="49"/>
        <v>0</v>
      </c>
      <c r="W32" s="983">
        <v>44256</v>
      </c>
    </row>
    <row r="33" spans="4:23" outlineLevel="1" x14ac:dyDescent="0.25">
      <c r="D33" s="9" t="b">
        <f t="shared" si="46"/>
        <v>0</v>
      </c>
      <c r="E33" s="9">
        <f t="shared" si="47"/>
        <v>1</v>
      </c>
      <c r="G33" s="977">
        <v>44287</v>
      </c>
      <c r="H33" s="554">
        <f t="shared" si="48"/>
        <v>147352.37499999994</v>
      </c>
      <c r="I33" s="744">
        <f t="shared" si="50"/>
        <v>5086.37</v>
      </c>
      <c r="J33" s="743"/>
      <c r="K33" s="744"/>
      <c r="L33" s="761">
        <f t="shared" si="45"/>
        <v>152438.74499999994</v>
      </c>
      <c r="M33" s="785"/>
      <c r="N33" s="554"/>
      <c r="O33" s="744"/>
      <c r="P33" s="743"/>
      <c r="Q33" s="744"/>
      <c r="R33" s="743"/>
      <c r="S33" s="745"/>
      <c r="T33" s="743"/>
      <c r="U33" s="791"/>
      <c r="V33" s="761">
        <f t="shared" si="49"/>
        <v>0</v>
      </c>
      <c r="W33" s="983">
        <v>44287</v>
      </c>
    </row>
    <row r="34" spans="4:23" outlineLevel="1" x14ac:dyDescent="0.25">
      <c r="D34" s="9" t="b">
        <f t="shared" si="46"/>
        <v>0</v>
      </c>
      <c r="E34" s="9">
        <f t="shared" si="47"/>
        <v>1</v>
      </c>
      <c r="G34" s="977">
        <v>44317</v>
      </c>
      <c r="H34" s="554">
        <f t="shared" si="48"/>
        <v>146722.66399999993</v>
      </c>
      <c r="I34" s="744">
        <f t="shared" si="50"/>
        <v>5041.87</v>
      </c>
      <c r="J34" s="743"/>
      <c r="K34" s="744"/>
      <c r="L34" s="761">
        <f t="shared" si="45"/>
        <v>151764.53399999993</v>
      </c>
      <c r="M34" s="785"/>
      <c r="N34" s="554"/>
      <c r="O34" s="744"/>
      <c r="P34" s="743"/>
      <c r="Q34" s="744"/>
      <c r="R34" s="743"/>
      <c r="S34" s="745"/>
      <c r="T34" s="743"/>
      <c r="U34" s="791"/>
      <c r="V34" s="761">
        <f t="shared" si="49"/>
        <v>0</v>
      </c>
      <c r="W34" s="983">
        <v>44317</v>
      </c>
    </row>
    <row r="35" spans="4:23" outlineLevel="1" x14ac:dyDescent="0.25">
      <c r="D35" s="9" t="b">
        <f t="shared" si="46"/>
        <v>0</v>
      </c>
      <c r="E35" s="9">
        <f t="shared" si="47"/>
        <v>1</v>
      </c>
      <c r="G35" s="977">
        <v>44348</v>
      </c>
      <c r="H35" s="554">
        <f t="shared" si="48"/>
        <v>146092.95299999992</v>
      </c>
      <c r="I35" s="744">
        <f t="shared" si="50"/>
        <v>4997.37</v>
      </c>
      <c r="J35" s="743"/>
      <c r="K35" s="744"/>
      <c r="L35" s="761">
        <f t="shared" si="45"/>
        <v>151090.32299999992</v>
      </c>
      <c r="M35" s="785"/>
      <c r="N35" s="554"/>
      <c r="O35" s="744"/>
      <c r="P35" s="743"/>
      <c r="Q35" s="744"/>
      <c r="R35" s="743"/>
      <c r="S35" s="745"/>
      <c r="T35" s="743"/>
      <c r="U35" s="791"/>
      <c r="V35" s="761">
        <f t="shared" si="49"/>
        <v>0</v>
      </c>
      <c r="W35" s="983">
        <v>44348</v>
      </c>
    </row>
    <row r="36" spans="4:23" outlineLevel="1" x14ac:dyDescent="0.25">
      <c r="D36" s="9" t="b">
        <f t="shared" si="46"/>
        <v>0</v>
      </c>
      <c r="E36" s="9">
        <f t="shared" si="47"/>
        <v>1</v>
      </c>
      <c r="G36" s="977">
        <v>44378</v>
      </c>
      <c r="H36" s="554">
        <f t="shared" si="48"/>
        <v>145463.24199999991</v>
      </c>
      <c r="I36" s="744">
        <f t="shared" si="50"/>
        <v>4952.87</v>
      </c>
      <c r="J36" s="743"/>
      <c r="K36" s="744"/>
      <c r="L36" s="761">
        <f t="shared" si="45"/>
        <v>150416.11199999991</v>
      </c>
      <c r="M36" s="785"/>
      <c r="N36" s="554"/>
      <c r="O36" s="744"/>
      <c r="P36" s="743"/>
      <c r="Q36" s="744"/>
      <c r="R36" s="743"/>
      <c r="S36" s="745"/>
      <c r="T36" s="743"/>
      <c r="U36" s="791"/>
      <c r="V36" s="761">
        <f t="shared" si="49"/>
        <v>0</v>
      </c>
      <c r="W36" s="983">
        <v>44378</v>
      </c>
    </row>
    <row r="37" spans="4:23" outlineLevel="1" x14ac:dyDescent="0.25">
      <c r="D37" s="9" t="b">
        <f t="shared" si="46"/>
        <v>0</v>
      </c>
      <c r="E37" s="9">
        <f t="shared" si="47"/>
        <v>1</v>
      </c>
      <c r="G37" s="977">
        <v>44409</v>
      </c>
      <c r="H37" s="554">
        <f t="shared" si="48"/>
        <v>144833.5309999999</v>
      </c>
      <c r="I37" s="744">
        <f t="shared" si="50"/>
        <v>4908.37</v>
      </c>
      <c r="J37" s="743"/>
      <c r="K37" s="744"/>
      <c r="L37" s="761">
        <f t="shared" si="45"/>
        <v>149741.9009999999</v>
      </c>
      <c r="M37" s="785"/>
      <c r="N37" s="554"/>
      <c r="O37" s="744"/>
      <c r="P37" s="743"/>
      <c r="Q37" s="744"/>
      <c r="R37" s="743"/>
      <c r="S37" s="745"/>
      <c r="T37" s="743"/>
      <c r="U37" s="791"/>
      <c r="V37" s="761">
        <f t="shared" si="49"/>
        <v>0</v>
      </c>
      <c r="W37" s="983">
        <v>44409</v>
      </c>
    </row>
    <row r="38" spans="4:23" outlineLevel="1" x14ac:dyDescent="0.25">
      <c r="D38" s="9" t="b">
        <f t="shared" si="46"/>
        <v>0</v>
      </c>
      <c r="E38" s="9">
        <f t="shared" si="47"/>
        <v>1</v>
      </c>
      <c r="G38" s="977">
        <v>44440</v>
      </c>
      <c r="H38" s="554">
        <f t="shared" si="48"/>
        <v>144203.81999999989</v>
      </c>
      <c r="I38" s="744">
        <f t="shared" si="50"/>
        <v>4863.87</v>
      </c>
      <c r="J38" s="743"/>
      <c r="K38" s="744"/>
      <c r="L38" s="761">
        <f t="shared" si="45"/>
        <v>149067.68999999989</v>
      </c>
      <c r="M38" s="785"/>
      <c r="N38" s="554"/>
      <c r="O38" s="744"/>
      <c r="P38" s="743"/>
      <c r="Q38" s="744"/>
      <c r="R38" s="743"/>
      <c r="S38" s="745"/>
      <c r="T38" s="743"/>
      <c r="U38" s="791"/>
      <c r="V38" s="761">
        <f t="shared" si="49"/>
        <v>0</v>
      </c>
      <c r="W38" s="983">
        <v>44440</v>
      </c>
    </row>
    <row r="39" spans="4:23" outlineLevel="1" x14ac:dyDescent="0.25">
      <c r="D39" s="9" t="b">
        <f t="shared" si="46"/>
        <v>0</v>
      </c>
      <c r="E39" s="9">
        <f t="shared" si="47"/>
        <v>1</v>
      </c>
      <c r="G39" s="977">
        <v>44470</v>
      </c>
      <c r="H39" s="554">
        <f t="shared" si="48"/>
        <v>143574.10899999988</v>
      </c>
      <c r="I39" s="744">
        <f t="shared" si="50"/>
        <v>4819.37</v>
      </c>
      <c r="J39" s="743"/>
      <c r="K39" s="744"/>
      <c r="L39" s="761">
        <f t="shared" si="45"/>
        <v>148393.47899999988</v>
      </c>
      <c r="M39" s="785"/>
      <c r="N39" s="554"/>
      <c r="O39" s="744"/>
      <c r="P39" s="743"/>
      <c r="Q39" s="744"/>
      <c r="R39" s="743"/>
      <c r="S39" s="745"/>
      <c r="T39" s="743"/>
      <c r="U39" s="791"/>
      <c r="V39" s="761">
        <f t="shared" si="49"/>
        <v>0</v>
      </c>
      <c r="W39" s="983">
        <v>44470</v>
      </c>
    </row>
    <row r="40" spans="4:23" outlineLevel="1" x14ac:dyDescent="0.25">
      <c r="D40" s="9" t="b">
        <f t="shared" si="46"/>
        <v>0</v>
      </c>
      <c r="E40" s="9">
        <f t="shared" si="47"/>
        <v>1</v>
      </c>
      <c r="G40" s="977">
        <v>44501</v>
      </c>
      <c r="H40" s="554">
        <f t="shared" si="48"/>
        <v>142944.39799999987</v>
      </c>
      <c r="I40" s="744">
        <f t="shared" si="50"/>
        <v>4774.87</v>
      </c>
      <c r="J40" s="743"/>
      <c r="K40" s="744"/>
      <c r="L40" s="761">
        <f t="shared" si="45"/>
        <v>147719.26799999987</v>
      </c>
      <c r="M40" s="785"/>
      <c r="N40" s="554"/>
      <c r="O40" s="744"/>
      <c r="P40" s="743"/>
      <c r="Q40" s="744"/>
      <c r="R40" s="743"/>
      <c r="S40" s="745"/>
      <c r="T40" s="743"/>
      <c r="U40" s="791"/>
      <c r="V40" s="761">
        <f t="shared" si="49"/>
        <v>0</v>
      </c>
      <c r="W40" s="983">
        <v>44501</v>
      </c>
    </row>
    <row r="41" spans="4:23" outlineLevel="1" x14ac:dyDescent="0.25">
      <c r="D41" s="9" t="b">
        <f t="shared" si="46"/>
        <v>0</v>
      </c>
      <c r="E41" s="9">
        <f t="shared" si="47"/>
        <v>1</v>
      </c>
      <c r="G41" s="977">
        <v>44531</v>
      </c>
      <c r="H41" s="554">
        <f t="shared" si="48"/>
        <v>142314.68699999986</v>
      </c>
      <c r="I41" s="744">
        <f t="shared" si="50"/>
        <v>4730.37</v>
      </c>
      <c r="J41" s="743"/>
      <c r="K41" s="744"/>
      <c r="L41" s="761">
        <f t="shared" si="45"/>
        <v>147045.05699999986</v>
      </c>
      <c r="M41" s="785"/>
      <c r="N41" s="554"/>
      <c r="O41" s="744"/>
      <c r="P41" s="743"/>
      <c r="Q41" s="744"/>
      <c r="R41" s="743"/>
      <c r="S41" s="745"/>
      <c r="T41" s="743"/>
      <c r="U41" s="791"/>
      <c r="V41" s="761">
        <f t="shared" si="49"/>
        <v>0</v>
      </c>
      <c r="W41" s="983">
        <v>44531</v>
      </c>
    </row>
    <row r="42" spans="4:23" outlineLevel="1" x14ac:dyDescent="0.25">
      <c r="D42" s="9" t="b">
        <f t="shared" si="46"/>
        <v>0</v>
      </c>
      <c r="E42" s="9">
        <f t="shared" si="47"/>
        <v>1</v>
      </c>
      <c r="G42" s="977">
        <v>44562</v>
      </c>
      <c r="H42" s="554">
        <f t="shared" si="48"/>
        <v>141684.97599999985</v>
      </c>
      <c r="I42" s="744">
        <f t="shared" si="50"/>
        <v>4685.87</v>
      </c>
      <c r="J42" s="743"/>
      <c r="K42" s="744"/>
      <c r="L42" s="761">
        <f t="shared" si="45"/>
        <v>146370.84599999984</v>
      </c>
      <c r="M42" s="785"/>
      <c r="N42" s="554"/>
      <c r="O42" s="744"/>
      <c r="P42" s="743"/>
      <c r="Q42" s="744"/>
      <c r="R42" s="743"/>
      <c r="S42" s="745"/>
      <c r="T42" s="743"/>
      <c r="U42" s="791"/>
      <c r="V42" s="761">
        <f t="shared" si="49"/>
        <v>0</v>
      </c>
      <c r="W42" s="983">
        <v>44562</v>
      </c>
    </row>
    <row r="43" spans="4:23" outlineLevel="1" x14ac:dyDescent="0.25">
      <c r="D43" s="9" t="b">
        <f t="shared" si="46"/>
        <v>0</v>
      </c>
      <c r="E43" s="9">
        <f t="shared" si="47"/>
        <v>1</v>
      </c>
      <c r="G43" s="977">
        <v>44593</v>
      </c>
      <c r="H43" s="554">
        <f t="shared" si="48"/>
        <v>141055.26499999984</v>
      </c>
      <c r="I43" s="744">
        <f t="shared" si="50"/>
        <v>4641.37</v>
      </c>
      <c r="J43" s="743">
        <f>J44+185.5+16</f>
        <v>22325.75</v>
      </c>
      <c r="K43" s="744"/>
      <c r="L43" s="761">
        <f t="shared" si="45"/>
        <v>168022.38499999983</v>
      </c>
      <c r="M43" s="785"/>
      <c r="N43" s="554"/>
      <c r="O43" s="744"/>
      <c r="P43" s="743"/>
      <c r="Q43" s="744"/>
      <c r="R43" s="743"/>
      <c r="S43" s="745"/>
      <c r="T43" s="743"/>
      <c r="U43" s="791"/>
      <c r="V43" s="761">
        <f t="shared" si="49"/>
        <v>0</v>
      </c>
      <c r="W43" s="983">
        <v>44593</v>
      </c>
    </row>
    <row r="44" spans="4:23" outlineLevel="1" x14ac:dyDescent="0.25">
      <c r="D44" s="9" t="b">
        <f t="shared" si="46"/>
        <v>0</v>
      </c>
      <c r="E44" s="9">
        <f t="shared" si="47"/>
        <v>1</v>
      </c>
      <c r="G44" s="977">
        <v>44621</v>
      </c>
      <c r="H44" s="554">
        <f t="shared" si="48"/>
        <v>140425.55399999983</v>
      </c>
      <c r="I44" s="744">
        <f t="shared" si="50"/>
        <v>4596.87</v>
      </c>
      <c r="J44" s="743">
        <v>22124.25</v>
      </c>
      <c r="K44" s="744"/>
      <c r="L44" s="761">
        <f t="shared" si="45"/>
        <v>167146.67399999982</v>
      </c>
      <c r="M44" s="785"/>
      <c r="N44" s="554"/>
      <c r="O44" s="744"/>
      <c r="P44" s="743"/>
      <c r="Q44" s="744"/>
      <c r="R44" s="743"/>
      <c r="S44" s="745"/>
      <c r="T44" s="743"/>
      <c r="U44" s="791"/>
      <c r="V44" s="761">
        <f t="shared" si="49"/>
        <v>0</v>
      </c>
      <c r="W44" s="983">
        <v>44621</v>
      </c>
    </row>
    <row r="45" spans="4:23" outlineLevel="1" x14ac:dyDescent="0.25">
      <c r="D45" s="9" t="b">
        <f t="shared" si="46"/>
        <v>0</v>
      </c>
      <c r="E45" s="9">
        <f t="shared" si="47"/>
        <v>1</v>
      </c>
      <c r="G45" s="977">
        <v>44652</v>
      </c>
      <c r="H45" s="554">
        <f t="shared" si="48"/>
        <v>139795.84299999982</v>
      </c>
      <c r="I45" s="744">
        <f t="shared" si="50"/>
        <v>4552.37</v>
      </c>
      <c r="J45" s="743">
        <v>21938.5</v>
      </c>
      <c r="K45" s="744">
        <v>7697.05</v>
      </c>
      <c r="L45" s="761">
        <f t="shared" si="45"/>
        <v>173983.7629999998</v>
      </c>
      <c r="M45" s="785"/>
      <c r="N45" s="554"/>
      <c r="O45" s="744"/>
      <c r="P45" s="743"/>
      <c r="Q45" s="744"/>
      <c r="R45" s="743"/>
      <c r="S45" s="745"/>
      <c r="T45" s="743"/>
      <c r="U45" s="791"/>
      <c r="V45" s="761">
        <f t="shared" si="49"/>
        <v>0</v>
      </c>
      <c r="W45" s="983">
        <v>44652</v>
      </c>
    </row>
    <row r="46" spans="4:23" outlineLevel="1" x14ac:dyDescent="0.25">
      <c r="D46" s="9" t="b">
        <f t="shared" si="46"/>
        <v>0</v>
      </c>
      <c r="E46" s="9">
        <f t="shared" si="47"/>
        <v>1</v>
      </c>
      <c r="G46" s="977">
        <v>44682</v>
      </c>
      <c r="H46" s="554">
        <f t="shared" si="48"/>
        <v>139166.13199999981</v>
      </c>
      <c r="I46" s="744">
        <f t="shared" si="50"/>
        <v>4507.87</v>
      </c>
      <c r="J46" s="743">
        <v>21750.75</v>
      </c>
      <c r="K46" s="744">
        <v>7616.55</v>
      </c>
      <c r="L46" s="761">
        <f t="shared" si="45"/>
        <v>173041.30199999979</v>
      </c>
      <c r="M46" s="785"/>
      <c r="N46" s="554"/>
      <c r="O46" s="744"/>
      <c r="P46" s="743"/>
      <c r="Q46" s="744"/>
      <c r="R46" s="743"/>
      <c r="S46" s="745"/>
      <c r="T46" s="743"/>
      <c r="U46" s="791"/>
      <c r="V46" s="761">
        <f t="shared" si="49"/>
        <v>0</v>
      </c>
      <c r="W46" s="983">
        <v>44682</v>
      </c>
    </row>
    <row r="47" spans="4:23" outlineLevel="1" x14ac:dyDescent="0.25">
      <c r="D47" s="9" t="b">
        <f t="shared" si="46"/>
        <v>0</v>
      </c>
      <c r="E47" s="9">
        <f t="shared" si="47"/>
        <v>1</v>
      </c>
      <c r="G47" s="977">
        <v>44713</v>
      </c>
      <c r="H47" s="554">
        <f t="shared" si="48"/>
        <v>138536.4209999998</v>
      </c>
      <c r="I47" s="744">
        <f t="shared" si="50"/>
        <v>4463.37</v>
      </c>
      <c r="J47" s="743">
        <v>21565</v>
      </c>
      <c r="K47" s="744">
        <v>7536.05</v>
      </c>
      <c r="L47" s="761">
        <f t="shared" si="45"/>
        <v>172100.84099999978</v>
      </c>
      <c r="M47" s="785"/>
      <c r="N47" s="554"/>
      <c r="O47" s="744"/>
      <c r="P47" s="743"/>
      <c r="Q47" s="744"/>
      <c r="R47" s="743"/>
      <c r="S47" s="745"/>
      <c r="T47" s="743"/>
      <c r="U47" s="791"/>
      <c r="V47" s="761">
        <f t="shared" si="49"/>
        <v>0</v>
      </c>
      <c r="W47" s="983">
        <v>44713</v>
      </c>
    </row>
    <row r="48" spans="4:23" outlineLevel="1" x14ac:dyDescent="0.25">
      <c r="D48" s="9" t="b">
        <f t="shared" si="46"/>
        <v>0</v>
      </c>
      <c r="E48" s="9">
        <f t="shared" si="47"/>
        <v>1</v>
      </c>
      <c r="G48" s="977">
        <v>44743</v>
      </c>
      <c r="H48" s="554">
        <f t="shared" si="48"/>
        <v>137906.70999999979</v>
      </c>
      <c r="I48" s="744">
        <f t="shared" si="50"/>
        <v>4418.87</v>
      </c>
      <c r="J48" s="743">
        <v>21379.25</v>
      </c>
      <c r="K48" s="744">
        <v>7455.55</v>
      </c>
      <c r="L48" s="761">
        <f t="shared" si="45"/>
        <v>171160.37999999977</v>
      </c>
      <c r="M48" s="785"/>
      <c r="N48" s="554"/>
      <c r="O48" s="744"/>
      <c r="P48" s="743"/>
      <c r="Q48" s="744"/>
      <c r="R48" s="743"/>
      <c r="S48" s="745"/>
      <c r="T48" s="743"/>
      <c r="U48" s="791"/>
      <c r="V48" s="761">
        <f t="shared" si="49"/>
        <v>0</v>
      </c>
      <c r="W48" s="983">
        <v>44743</v>
      </c>
    </row>
    <row r="49" spans="4:23" outlineLevel="1" x14ac:dyDescent="0.25">
      <c r="D49" s="9" t="b">
        <f t="shared" si="46"/>
        <v>0</v>
      </c>
      <c r="E49" s="9">
        <f t="shared" si="47"/>
        <v>1</v>
      </c>
      <c r="G49" s="977">
        <v>44774</v>
      </c>
      <c r="H49" s="554">
        <f t="shared" si="48"/>
        <v>137276.99899999978</v>
      </c>
      <c r="I49" s="744">
        <f t="shared" si="50"/>
        <v>4374.37</v>
      </c>
      <c r="J49" s="743">
        <v>21193.5</v>
      </c>
      <c r="K49" s="744">
        <v>7375.05</v>
      </c>
      <c r="L49" s="761">
        <f t="shared" si="45"/>
        <v>170219.91899999976</v>
      </c>
      <c r="M49" s="785"/>
      <c r="N49" s="554"/>
      <c r="O49" s="744"/>
      <c r="P49" s="743"/>
      <c r="Q49" s="744"/>
      <c r="R49" s="743"/>
      <c r="S49" s="745"/>
      <c r="T49" s="743"/>
      <c r="U49" s="791"/>
      <c r="V49" s="761">
        <f t="shared" si="49"/>
        <v>0</v>
      </c>
      <c r="W49" s="983">
        <v>44774</v>
      </c>
    </row>
    <row r="50" spans="4:23" outlineLevel="1" x14ac:dyDescent="0.25">
      <c r="D50" s="9" t="b">
        <f t="shared" si="46"/>
        <v>0</v>
      </c>
      <c r="E50" s="9">
        <f t="shared" si="47"/>
        <v>1</v>
      </c>
      <c r="G50" s="977">
        <v>44805</v>
      </c>
      <c r="H50" s="554">
        <f t="shared" si="48"/>
        <v>136647.28799999977</v>
      </c>
      <c r="I50" s="744">
        <f t="shared" si="50"/>
        <v>4329.87</v>
      </c>
      <c r="J50" s="743">
        <v>21007.75</v>
      </c>
      <c r="K50" s="744">
        <v>7294.55</v>
      </c>
      <c r="L50" s="761">
        <f t="shared" si="45"/>
        <v>169279.45799999975</v>
      </c>
      <c r="M50" s="785"/>
      <c r="N50" s="554"/>
      <c r="O50" s="744"/>
      <c r="P50" s="743"/>
      <c r="Q50" s="744"/>
      <c r="R50" s="743"/>
      <c r="S50" s="745"/>
      <c r="T50" s="743"/>
      <c r="U50" s="791"/>
      <c r="V50" s="761">
        <f t="shared" si="49"/>
        <v>0</v>
      </c>
      <c r="W50" s="983">
        <v>44805</v>
      </c>
    </row>
    <row r="51" spans="4:23" outlineLevel="1" x14ac:dyDescent="0.25">
      <c r="D51" s="9" t="b">
        <f t="shared" si="46"/>
        <v>0</v>
      </c>
      <c r="E51" s="9">
        <f t="shared" si="47"/>
        <v>1</v>
      </c>
      <c r="G51" s="977">
        <v>44835</v>
      </c>
      <c r="H51" s="554">
        <f t="shared" si="48"/>
        <v>136017.57699999976</v>
      </c>
      <c r="I51" s="744">
        <f t="shared" si="50"/>
        <v>4285.37</v>
      </c>
      <c r="J51" s="743">
        <v>20822</v>
      </c>
      <c r="K51" s="744">
        <v>7214.05</v>
      </c>
      <c r="L51" s="761">
        <f t="shared" si="45"/>
        <v>168338.99699999974</v>
      </c>
      <c r="M51" s="785"/>
      <c r="N51" s="554"/>
      <c r="O51" s="744"/>
      <c r="P51" s="743"/>
      <c r="Q51" s="744"/>
      <c r="R51" s="743"/>
      <c r="S51" s="745"/>
      <c r="T51" s="743"/>
      <c r="U51" s="791"/>
      <c r="V51" s="761">
        <f t="shared" si="49"/>
        <v>0</v>
      </c>
      <c r="W51" s="983">
        <v>44835</v>
      </c>
    </row>
    <row r="52" spans="4:23" outlineLevel="1" x14ac:dyDescent="0.25">
      <c r="D52" s="9" t="b">
        <f t="shared" si="46"/>
        <v>0</v>
      </c>
      <c r="E52" s="9">
        <f t="shared" si="47"/>
        <v>1</v>
      </c>
      <c r="G52" s="977">
        <v>44866</v>
      </c>
      <c r="H52" s="554">
        <f t="shared" si="48"/>
        <v>135387.86599999975</v>
      </c>
      <c r="I52" s="744">
        <f t="shared" si="50"/>
        <v>4240.87</v>
      </c>
      <c r="J52" s="743">
        <v>20636.25</v>
      </c>
      <c r="K52" s="744">
        <v>7133.55</v>
      </c>
      <c r="L52" s="761">
        <f t="shared" si="45"/>
        <v>167398.53599999973</v>
      </c>
      <c r="M52" s="785"/>
      <c r="N52" s="554"/>
      <c r="O52" s="744"/>
      <c r="P52" s="743"/>
      <c r="Q52" s="744"/>
      <c r="R52" s="743"/>
      <c r="S52" s="745"/>
      <c r="T52" s="743"/>
      <c r="U52" s="791"/>
      <c r="V52" s="761">
        <f t="shared" si="49"/>
        <v>0</v>
      </c>
      <c r="W52" s="983">
        <v>44866</v>
      </c>
    </row>
    <row r="53" spans="4:23" outlineLevel="1" x14ac:dyDescent="0.25">
      <c r="D53" s="9" t="b">
        <f t="shared" si="46"/>
        <v>0</v>
      </c>
      <c r="E53" s="9">
        <f t="shared" si="47"/>
        <v>1</v>
      </c>
      <c r="G53" s="977">
        <v>44896</v>
      </c>
      <c r="H53" s="554">
        <f t="shared" si="48"/>
        <v>134758.15499999974</v>
      </c>
      <c r="I53" s="744">
        <f t="shared" si="50"/>
        <v>4196.37</v>
      </c>
      <c r="J53" s="743">
        <v>20450.5</v>
      </c>
      <c r="K53" s="744">
        <v>7053.05</v>
      </c>
      <c r="L53" s="761">
        <f t="shared" si="45"/>
        <v>166458.07499999972</v>
      </c>
      <c r="M53" s="785"/>
      <c r="N53" s="554"/>
      <c r="O53" s="744"/>
      <c r="P53" s="743"/>
      <c r="Q53" s="744"/>
      <c r="R53" s="743"/>
      <c r="S53" s="745"/>
      <c r="T53" s="743"/>
      <c r="U53" s="791"/>
      <c r="V53" s="761">
        <f t="shared" si="49"/>
        <v>0</v>
      </c>
      <c r="W53" s="983">
        <v>44896</v>
      </c>
    </row>
    <row r="54" spans="4:23" outlineLevel="1" x14ac:dyDescent="0.25">
      <c r="D54" s="9" t="b">
        <f t="shared" si="46"/>
        <v>0</v>
      </c>
      <c r="E54" s="9">
        <f t="shared" si="47"/>
        <v>1</v>
      </c>
      <c r="G54" s="977">
        <v>44927</v>
      </c>
      <c r="H54" s="554">
        <f t="shared" si="48"/>
        <v>134128.44399999973</v>
      </c>
      <c r="I54" s="744">
        <f t="shared" si="50"/>
        <v>4151.87</v>
      </c>
      <c r="J54" s="743">
        <v>20264.75</v>
      </c>
      <c r="K54" s="744">
        <v>6972.55</v>
      </c>
      <c r="L54" s="761">
        <f t="shared" si="45"/>
        <v>165517.61399999971</v>
      </c>
      <c r="M54" s="785"/>
      <c r="N54" s="554"/>
      <c r="O54" s="744"/>
      <c r="P54" s="743"/>
      <c r="Q54" s="744"/>
      <c r="R54" s="743"/>
      <c r="S54" s="745"/>
      <c r="T54" s="743"/>
      <c r="U54" s="791"/>
      <c r="V54" s="761">
        <f t="shared" si="49"/>
        <v>0</v>
      </c>
      <c r="W54" s="983">
        <v>44927</v>
      </c>
    </row>
    <row r="55" spans="4:23" outlineLevel="1" x14ac:dyDescent="0.25">
      <c r="D55" s="9" t="b">
        <f t="shared" si="46"/>
        <v>0</v>
      </c>
      <c r="E55" s="9">
        <f t="shared" si="47"/>
        <v>1</v>
      </c>
      <c r="G55" s="977">
        <v>44958</v>
      </c>
      <c r="H55" s="554">
        <f t="shared" si="48"/>
        <v>133498.73299999972</v>
      </c>
      <c r="I55" s="744">
        <f t="shared" si="50"/>
        <v>4107.37</v>
      </c>
      <c r="J55" s="743">
        <v>20079</v>
      </c>
      <c r="K55" s="744">
        <v>6892.05</v>
      </c>
      <c r="L55" s="761">
        <f t="shared" si="45"/>
        <v>164577.1529999997</v>
      </c>
      <c r="M55" s="785"/>
      <c r="N55" s="554"/>
      <c r="O55" s="744"/>
      <c r="P55" s="743"/>
      <c r="Q55" s="744"/>
      <c r="R55" s="743"/>
      <c r="S55" s="745"/>
      <c r="T55" s="743"/>
      <c r="U55" s="791"/>
      <c r="V55" s="761">
        <f t="shared" si="49"/>
        <v>0</v>
      </c>
      <c r="W55" s="983">
        <v>44958</v>
      </c>
    </row>
    <row r="56" spans="4:23" outlineLevel="1" x14ac:dyDescent="0.25">
      <c r="D56" s="9" t="b">
        <f t="shared" si="46"/>
        <v>0</v>
      </c>
      <c r="E56" s="9">
        <f t="shared" si="47"/>
        <v>1</v>
      </c>
      <c r="G56" s="977">
        <v>44986</v>
      </c>
      <c r="H56" s="554">
        <f t="shared" si="48"/>
        <v>132869.02199999971</v>
      </c>
      <c r="I56" s="744">
        <f t="shared" si="50"/>
        <v>4062.87</v>
      </c>
      <c r="J56" s="743">
        <v>19893.25</v>
      </c>
      <c r="K56" s="744">
        <v>6811.55</v>
      </c>
      <c r="L56" s="761">
        <f t="shared" si="45"/>
        <v>163636.69199999969</v>
      </c>
      <c r="M56" s="785"/>
      <c r="N56" s="554"/>
      <c r="O56" s="744"/>
      <c r="P56" s="743"/>
      <c r="Q56" s="744"/>
      <c r="R56" s="743"/>
      <c r="S56" s="745"/>
      <c r="T56" s="743"/>
      <c r="U56" s="791"/>
      <c r="V56" s="761">
        <f t="shared" si="49"/>
        <v>0</v>
      </c>
      <c r="W56" s="983">
        <v>44986</v>
      </c>
    </row>
    <row r="57" spans="4:23" outlineLevel="1" x14ac:dyDescent="0.25">
      <c r="D57" s="9" t="b">
        <f t="shared" si="46"/>
        <v>0</v>
      </c>
      <c r="E57" s="9">
        <f t="shared" si="47"/>
        <v>1</v>
      </c>
      <c r="G57" s="977">
        <v>45017</v>
      </c>
      <c r="H57" s="554">
        <f t="shared" si="48"/>
        <v>132239.3109999997</v>
      </c>
      <c r="I57" s="744">
        <f t="shared" si="50"/>
        <v>4018.37</v>
      </c>
      <c r="J57" s="743">
        <v>19707.5</v>
      </c>
      <c r="K57" s="744">
        <v>6729.05</v>
      </c>
      <c r="L57" s="761">
        <f t="shared" si="45"/>
        <v>162694.23099999968</v>
      </c>
      <c r="M57" s="785"/>
      <c r="N57" s="554"/>
      <c r="O57" s="744"/>
      <c r="P57" s="743"/>
      <c r="Q57" s="744"/>
      <c r="R57" s="743"/>
      <c r="S57" s="745"/>
      <c r="T57" s="743"/>
      <c r="U57" s="791"/>
      <c r="V57" s="761">
        <f t="shared" si="49"/>
        <v>0</v>
      </c>
      <c r="W57" s="983">
        <v>45017</v>
      </c>
    </row>
    <row r="58" spans="4:23" outlineLevel="1" x14ac:dyDescent="0.25">
      <c r="D58" s="9" t="b">
        <f t="shared" si="46"/>
        <v>0</v>
      </c>
      <c r="E58" s="9">
        <f t="shared" si="47"/>
        <v>1</v>
      </c>
      <c r="G58" s="977">
        <v>45047</v>
      </c>
      <c r="H58" s="554">
        <f t="shared" si="48"/>
        <v>131609.59999999969</v>
      </c>
      <c r="I58" s="744">
        <f t="shared" si="50"/>
        <v>3973.87</v>
      </c>
      <c r="J58" s="743">
        <v>19519.75</v>
      </c>
      <c r="K58" s="744">
        <v>6648.55</v>
      </c>
      <c r="L58" s="761">
        <f t="shared" si="45"/>
        <v>161751.76999999967</v>
      </c>
      <c r="M58" s="785"/>
      <c r="N58" s="554"/>
      <c r="O58" s="744"/>
      <c r="P58" s="743"/>
      <c r="Q58" s="744"/>
      <c r="R58" s="743"/>
      <c r="S58" s="745"/>
      <c r="T58" s="743"/>
      <c r="U58" s="791"/>
      <c r="V58" s="761">
        <f t="shared" si="49"/>
        <v>0</v>
      </c>
      <c r="W58" s="983">
        <v>45047</v>
      </c>
    </row>
    <row r="59" spans="4:23" outlineLevel="1" x14ac:dyDescent="0.25">
      <c r="D59" s="9" t="b">
        <f t="shared" si="46"/>
        <v>0</v>
      </c>
      <c r="E59" s="9">
        <f t="shared" si="47"/>
        <v>1</v>
      </c>
      <c r="G59" s="977">
        <v>45078</v>
      </c>
      <c r="H59" s="554">
        <f t="shared" si="48"/>
        <v>130979.88899999969</v>
      </c>
      <c r="I59" s="744">
        <f t="shared" si="50"/>
        <v>3929.37</v>
      </c>
      <c r="J59" s="743">
        <v>19334</v>
      </c>
      <c r="K59" s="744">
        <v>6568.05</v>
      </c>
      <c r="L59" s="761">
        <f t="shared" si="45"/>
        <v>160811.30899999969</v>
      </c>
      <c r="M59" s="785"/>
      <c r="N59" s="554"/>
      <c r="O59" s="744"/>
      <c r="P59" s="743"/>
      <c r="Q59" s="744"/>
      <c r="R59" s="743"/>
      <c r="S59" s="745"/>
      <c r="T59" s="743"/>
      <c r="U59" s="791"/>
      <c r="V59" s="761">
        <f t="shared" si="49"/>
        <v>0</v>
      </c>
      <c r="W59" s="983">
        <v>45078</v>
      </c>
    </row>
    <row r="60" spans="4:23" outlineLevel="1" x14ac:dyDescent="0.25">
      <c r="D60" s="9" t="b">
        <f t="shared" si="46"/>
        <v>0</v>
      </c>
      <c r="E60" s="9">
        <f t="shared" si="47"/>
        <v>1</v>
      </c>
      <c r="G60" s="977">
        <v>45108</v>
      </c>
      <c r="H60" s="554">
        <f t="shared" si="48"/>
        <v>130350.17799999969</v>
      </c>
      <c r="I60" s="744">
        <f t="shared" si="50"/>
        <v>3884.87</v>
      </c>
      <c r="J60" s="743">
        <v>19148.25</v>
      </c>
      <c r="K60" s="744">
        <v>6487.55</v>
      </c>
      <c r="L60" s="761">
        <f t="shared" si="45"/>
        <v>159870.84799999968</v>
      </c>
      <c r="M60" s="785"/>
      <c r="N60" s="554"/>
      <c r="O60" s="744"/>
      <c r="P60" s="743"/>
      <c r="Q60" s="744"/>
      <c r="R60" s="743"/>
      <c r="S60" s="745"/>
      <c r="T60" s="743"/>
      <c r="U60" s="791"/>
      <c r="V60" s="761">
        <f t="shared" si="49"/>
        <v>0</v>
      </c>
      <c r="W60" s="983">
        <v>45108</v>
      </c>
    </row>
    <row r="61" spans="4:23" outlineLevel="1" x14ac:dyDescent="0.25">
      <c r="D61" s="9" t="b">
        <f t="shared" si="46"/>
        <v>0</v>
      </c>
      <c r="E61" s="9">
        <f t="shared" si="47"/>
        <v>1</v>
      </c>
      <c r="G61" s="977">
        <v>45139</v>
      </c>
      <c r="H61" s="554">
        <f t="shared" si="48"/>
        <v>129720.4669999997</v>
      </c>
      <c r="I61" s="744">
        <f t="shared" si="50"/>
        <v>3840.37</v>
      </c>
      <c r="J61" s="743">
        <v>18962.5</v>
      </c>
      <c r="K61" s="744">
        <v>6407.05</v>
      </c>
      <c r="L61" s="761">
        <f t="shared" si="45"/>
        <v>158930.3869999997</v>
      </c>
      <c r="M61" s="785"/>
      <c r="N61" s="554"/>
      <c r="O61" s="744"/>
      <c r="P61" s="743"/>
      <c r="Q61" s="744"/>
      <c r="R61" s="743"/>
      <c r="S61" s="745"/>
      <c r="T61" s="743"/>
      <c r="U61" s="791"/>
      <c r="V61" s="761">
        <f t="shared" si="49"/>
        <v>0</v>
      </c>
      <c r="W61" s="983">
        <v>45139</v>
      </c>
    </row>
    <row r="62" spans="4:23" outlineLevel="1" x14ac:dyDescent="0.25">
      <c r="D62" s="9" t="b">
        <f t="shared" si="46"/>
        <v>0</v>
      </c>
      <c r="E62" s="9">
        <f t="shared" si="47"/>
        <v>1</v>
      </c>
      <c r="G62" s="977">
        <v>45170</v>
      </c>
      <c r="H62" s="554">
        <f t="shared" si="48"/>
        <v>129090.7559999997</v>
      </c>
      <c r="I62" s="744">
        <f t="shared" si="50"/>
        <v>3795.87</v>
      </c>
      <c r="J62" s="743">
        <v>18776.75</v>
      </c>
      <c r="K62" s="744">
        <v>6326.55</v>
      </c>
      <c r="L62" s="761">
        <f t="shared" si="45"/>
        <v>157989.92599999969</v>
      </c>
      <c r="M62" s="785"/>
      <c r="N62" s="554"/>
      <c r="O62" s="744"/>
      <c r="P62" s="743"/>
      <c r="Q62" s="744"/>
      <c r="R62" s="743"/>
      <c r="S62" s="745"/>
      <c r="T62" s="743"/>
      <c r="U62" s="791"/>
      <c r="V62" s="761">
        <f t="shared" si="49"/>
        <v>0</v>
      </c>
      <c r="W62" s="983">
        <v>45170</v>
      </c>
    </row>
    <row r="63" spans="4:23" outlineLevel="1" x14ac:dyDescent="0.25">
      <c r="D63" s="9" t="b">
        <f t="shared" si="46"/>
        <v>0</v>
      </c>
      <c r="E63" s="9">
        <f t="shared" si="47"/>
        <v>1</v>
      </c>
      <c r="G63" s="977">
        <v>45200</v>
      </c>
      <c r="H63" s="554">
        <f t="shared" si="48"/>
        <v>128461.04499999971</v>
      </c>
      <c r="I63" s="744">
        <f t="shared" ref="I63:I94" si="51">I62-$I$7</f>
        <v>3751.37</v>
      </c>
      <c r="J63" s="743">
        <v>18591</v>
      </c>
      <c r="K63" s="744">
        <v>6246.05</v>
      </c>
      <c r="L63" s="761">
        <f t="shared" si="45"/>
        <v>157049.46499999971</v>
      </c>
      <c r="M63" s="785"/>
      <c r="N63" s="554"/>
      <c r="O63" s="744"/>
      <c r="P63" s="743"/>
      <c r="Q63" s="744"/>
      <c r="R63" s="743"/>
      <c r="S63" s="745"/>
      <c r="T63" s="743"/>
      <c r="U63" s="791"/>
      <c r="V63" s="761">
        <f t="shared" si="49"/>
        <v>0</v>
      </c>
      <c r="W63" s="983">
        <v>45200</v>
      </c>
    </row>
    <row r="64" spans="4:23" outlineLevel="1" x14ac:dyDescent="0.25">
      <c r="D64" s="9" t="b">
        <f t="shared" si="46"/>
        <v>0</v>
      </c>
      <c r="E64" s="9">
        <f t="shared" si="47"/>
        <v>1</v>
      </c>
      <c r="G64" s="977">
        <v>45231</v>
      </c>
      <c r="H64" s="554">
        <f t="shared" si="48"/>
        <v>127831.33399999971</v>
      </c>
      <c r="I64" s="744">
        <f t="shared" si="51"/>
        <v>3706.87</v>
      </c>
      <c r="J64" s="743">
        <v>18405.25</v>
      </c>
      <c r="K64" s="744">
        <v>6165.55</v>
      </c>
      <c r="L64" s="761">
        <f t="shared" si="45"/>
        <v>156109.0039999997</v>
      </c>
      <c r="M64" s="785"/>
      <c r="N64" s="554"/>
      <c r="O64" s="744"/>
      <c r="P64" s="743"/>
      <c r="Q64" s="744"/>
      <c r="R64" s="743"/>
      <c r="S64" s="745"/>
      <c r="T64" s="743"/>
      <c r="U64" s="791"/>
      <c r="V64" s="761">
        <f t="shared" si="49"/>
        <v>0</v>
      </c>
      <c r="W64" s="983">
        <v>45231</v>
      </c>
    </row>
    <row r="65" spans="4:23" outlineLevel="1" x14ac:dyDescent="0.25">
      <c r="D65" s="9" t="b">
        <f t="shared" si="46"/>
        <v>0</v>
      </c>
      <c r="E65" s="9">
        <f t="shared" si="47"/>
        <v>1</v>
      </c>
      <c r="G65" s="977">
        <v>45261</v>
      </c>
      <c r="H65" s="554">
        <f t="shared" si="48"/>
        <v>127201.62299999972</v>
      </c>
      <c r="I65" s="744">
        <f t="shared" si="51"/>
        <v>3662.37</v>
      </c>
      <c r="J65" s="743">
        <v>18219.5</v>
      </c>
      <c r="K65" s="744">
        <v>6085.05</v>
      </c>
      <c r="L65" s="761">
        <f t="shared" si="45"/>
        <v>155168.54299999971</v>
      </c>
      <c r="M65" s="785"/>
      <c r="N65" s="554"/>
      <c r="O65" s="744"/>
      <c r="P65" s="743"/>
      <c r="Q65" s="744"/>
      <c r="R65" s="743"/>
      <c r="S65" s="745"/>
      <c r="T65" s="743"/>
      <c r="U65" s="791"/>
      <c r="V65" s="761">
        <f t="shared" si="49"/>
        <v>0</v>
      </c>
      <c r="W65" s="983">
        <v>45261</v>
      </c>
    </row>
    <row r="66" spans="4:23" outlineLevel="1" x14ac:dyDescent="0.25">
      <c r="D66" s="9" t="b">
        <f t="shared" si="46"/>
        <v>0</v>
      </c>
      <c r="E66" s="9">
        <f t="shared" si="47"/>
        <v>1</v>
      </c>
      <c r="G66" s="977">
        <v>45292</v>
      </c>
      <c r="H66" s="554">
        <f t="shared" si="48"/>
        <v>126571.91199999972</v>
      </c>
      <c r="I66" s="744">
        <f t="shared" si="51"/>
        <v>3617.87</v>
      </c>
      <c r="J66" s="743">
        <v>18033.75</v>
      </c>
      <c r="K66" s="744">
        <v>6004.55</v>
      </c>
      <c r="L66" s="761">
        <f t="shared" si="45"/>
        <v>154228.0819999997</v>
      </c>
      <c r="M66" s="785"/>
      <c r="N66" s="554"/>
      <c r="O66" s="744"/>
      <c r="P66" s="743"/>
      <c r="Q66" s="744"/>
      <c r="R66" s="743"/>
      <c r="S66" s="745"/>
      <c r="T66" s="743"/>
      <c r="U66" s="791"/>
      <c r="V66" s="761">
        <f t="shared" si="49"/>
        <v>0</v>
      </c>
      <c r="W66" s="983">
        <v>45292</v>
      </c>
    </row>
    <row r="67" spans="4:23" outlineLevel="1" x14ac:dyDescent="0.25">
      <c r="D67" s="9" t="b">
        <f t="shared" si="46"/>
        <v>0</v>
      </c>
      <c r="E67" s="9">
        <f t="shared" si="47"/>
        <v>1</v>
      </c>
      <c r="G67" s="977">
        <v>45323</v>
      </c>
      <c r="H67" s="554">
        <f t="shared" si="48"/>
        <v>125942.20099999972</v>
      </c>
      <c r="I67" s="744">
        <f t="shared" si="51"/>
        <v>3573.37</v>
      </c>
      <c r="J67" s="743">
        <v>17848</v>
      </c>
      <c r="K67" s="744">
        <v>5924.05</v>
      </c>
      <c r="L67" s="761">
        <f t="shared" si="45"/>
        <v>153287.62099999969</v>
      </c>
      <c r="M67" s="785"/>
      <c r="N67" s="554"/>
      <c r="O67" s="744"/>
      <c r="P67" s="743"/>
      <c r="Q67" s="744"/>
      <c r="R67" s="743"/>
      <c r="S67" s="745"/>
      <c r="T67" s="743"/>
      <c r="U67" s="791"/>
      <c r="V67" s="761">
        <f t="shared" si="49"/>
        <v>0</v>
      </c>
      <c r="W67" s="983">
        <v>45323</v>
      </c>
    </row>
    <row r="68" spans="4:23" outlineLevel="1" x14ac:dyDescent="0.25">
      <c r="D68" s="9" t="b">
        <f t="shared" si="46"/>
        <v>0</v>
      </c>
      <c r="E68" s="9">
        <f t="shared" si="47"/>
        <v>1</v>
      </c>
      <c r="G68" s="977">
        <v>45352</v>
      </c>
      <c r="H68" s="554">
        <f t="shared" si="48"/>
        <v>125312.48999999973</v>
      </c>
      <c r="I68" s="744">
        <f t="shared" si="51"/>
        <v>3528.87</v>
      </c>
      <c r="J68" s="743">
        <v>17662.25</v>
      </c>
      <c r="K68" s="744">
        <v>5843.55</v>
      </c>
      <c r="L68" s="761">
        <f t="shared" si="45"/>
        <v>152347.15999999971</v>
      </c>
      <c r="M68" s="785"/>
      <c r="N68" s="554"/>
      <c r="O68" s="744"/>
      <c r="P68" s="743"/>
      <c r="Q68" s="744"/>
      <c r="R68" s="743"/>
      <c r="S68" s="745"/>
      <c r="T68" s="743"/>
      <c r="U68" s="791"/>
      <c r="V68" s="761">
        <f t="shared" si="49"/>
        <v>0</v>
      </c>
      <c r="W68" s="983">
        <v>45352</v>
      </c>
    </row>
    <row r="69" spans="4:23" outlineLevel="1" x14ac:dyDescent="0.25">
      <c r="D69" s="9" t="b">
        <f t="shared" si="46"/>
        <v>0</v>
      </c>
      <c r="E69" s="9">
        <f t="shared" si="47"/>
        <v>1</v>
      </c>
      <c r="G69" s="977">
        <v>45383</v>
      </c>
      <c r="H69" s="554">
        <f t="shared" si="48"/>
        <v>124682.77899999973</v>
      </c>
      <c r="I69" s="744">
        <f t="shared" si="51"/>
        <v>3484.37</v>
      </c>
      <c r="J69" s="743">
        <v>17476.5</v>
      </c>
      <c r="K69" s="744">
        <v>5761.05</v>
      </c>
      <c r="L69" s="761">
        <f t="shared" si="45"/>
        <v>151404.69899999973</v>
      </c>
      <c r="M69" s="785"/>
      <c r="N69" s="554"/>
      <c r="O69" s="744"/>
      <c r="P69" s="743"/>
      <c r="Q69" s="744"/>
      <c r="R69" s="743"/>
      <c r="S69" s="745"/>
      <c r="T69" s="743"/>
      <c r="U69" s="791"/>
      <c r="V69" s="761">
        <f t="shared" si="49"/>
        <v>0</v>
      </c>
      <c r="W69" s="983">
        <v>45383</v>
      </c>
    </row>
    <row r="70" spans="4:23" outlineLevel="1" x14ac:dyDescent="0.25">
      <c r="D70" s="9" t="b">
        <f t="shared" si="46"/>
        <v>0</v>
      </c>
      <c r="E70" s="9">
        <f t="shared" si="47"/>
        <v>1</v>
      </c>
      <c r="G70" s="977">
        <v>45413</v>
      </c>
      <c r="H70" s="554">
        <f t="shared" si="48"/>
        <v>124053.06799999974</v>
      </c>
      <c r="I70" s="744">
        <f t="shared" si="51"/>
        <v>3439.87</v>
      </c>
      <c r="J70" s="743">
        <v>17288.75</v>
      </c>
      <c r="K70" s="744">
        <v>5680.55</v>
      </c>
      <c r="L70" s="761">
        <f t="shared" si="45"/>
        <v>150462.23799999972</v>
      </c>
      <c r="M70" s="785"/>
      <c r="N70" s="554"/>
      <c r="O70" s="744"/>
      <c r="P70" s="743"/>
      <c r="Q70" s="744"/>
      <c r="R70" s="743"/>
      <c r="S70" s="745"/>
      <c r="T70" s="743"/>
      <c r="U70" s="791"/>
      <c r="V70" s="761">
        <f t="shared" si="49"/>
        <v>0</v>
      </c>
      <c r="W70" s="983">
        <v>45413</v>
      </c>
    </row>
    <row r="71" spans="4:23" outlineLevel="1" x14ac:dyDescent="0.25">
      <c r="D71" s="9" t="b">
        <f t="shared" si="46"/>
        <v>0</v>
      </c>
      <c r="E71" s="9">
        <f t="shared" si="47"/>
        <v>1</v>
      </c>
      <c r="G71" s="977">
        <v>45444</v>
      </c>
      <c r="H71" s="554">
        <f t="shared" si="48"/>
        <v>123423.35699999974</v>
      </c>
      <c r="I71" s="744">
        <f t="shared" si="51"/>
        <v>3395.37</v>
      </c>
      <c r="J71" s="743">
        <v>17103</v>
      </c>
      <c r="K71" s="744">
        <v>5600.05</v>
      </c>
      <c r="L71" s="761">
        <f t="shared" si="45"/>
        <v>149521.77699999971</v>
      </c>
      <c r="M71" s="785"/>
      <c r="N71" s="554"/>
      <c r="O71" s="744"/>
      <c r="P71" s="743"/>
      <c r="Q71" s="744"/>
      <c r="R71" s="743"/>
      <c r="S71" s="745"/>
      <c r="T71" s="743"/>
      <c r="U71" s="791"/>
      <c r="V71" s="761">
        <f t="shared" si="49"/>
        <v>0</v>
      </c>
      <c r="W71" s="983">
        <v>45444</v>
      </c>
    </row>
    <row r="72" spans="4:23" outlineLevel="1" x14ac:dyDescent="0.25">
      <c r="D72" s="9" t="b">
        <f t="shared" si="46"/>
        <v>0</v>
      </c>
      <c r="E72" s="9">
        <f t="shared" si="47"/>
        <v>1</v>
      </c>
      <c r="G72" s="977">
        <v>45474</v>
      </c>
      <c r="H72" s="554">
        <f t="shared" si="48"/>
        <v>122793.64599999975</v>
      </c>
      <c r="I72" s="744">
        <f t="shared" si="51"/>
        <v>3350.87</v>
      </c>
      <c r="J72" s="743">
        <v>16917.25</v>
      </c>
      <c r="K72" s="744">
        <v>5519.55</v>
      </c>
      <c r="L72" s="761">
        <f t="shared" si="45"/>
        <v>148581.31599999973</v>
      </c>
      <c r="M72" s="785"/>
      <c r="N72" s="554"/>
      <c r="O72" s="744"/>
      <c r="P72" s="743"/>
      <c r="Q72" s="744"/>
      <c r="R72" s="743"/>
      <c r="S72" s="745"/>
      <c r="T72" s="743"/>
      <c r="U72" s="791"/>
      <c r="V72" s="761">
        <f t="shared" si="49"/>
        <v>0</v>
      </c>
      <c r="W72" s="983">
        <v>45474</v>
      </c>
    </row>
    <row r="73" spans="4:23" outlineLevel="1" x14ac:dyDescent="0.25">
      <c r="D73" s="9" t="b">
        <f t="shared" si="46"/>
        <v>0</v>
      </c>
      <c r="E73" s="9">
        <f t="shared" si="47"/>
        <v>1</v>
      </c>
      <c r="G73" s="977">
        <v>45505</v>
      </c>
      <c r="H73" s="554">
        <f t="shared" si="48"/>
        <v>122163.93499999975</v>
      </c>
      <c r="I73" s="744">
        <f t="shared" si="51"/>
        <v>3306.37</v>
      </c>
      <c r="J73" s="743">
        <v>16731.5</v>
      </c>
      <c r="K73" s="744">
        <v>5439.05</v>
      </c>
      <c r="L73" s="761">
        <f t="shared" si="45"/>
        <v>147640.85499999975</v>
      </c>
      <c r="M73" s="785"/>
      <c r="N73" s="554"/>
      <c r="O73" s="744"/>
      <c r="P73" s="743"/>
      <c r="Q73" s="744"/>
      <c r="R73" s="743"/>
      <c r="S73" s="745"/>
      <c r="T73" s="743"/>
      <c r="U73" s="791"/>
      <c r="V73" s="761">
        <f t="shared" si="49"/>
        <v>0</v>
      </c>
      <c r="W73" s="983">
        <v>45505</v>
      </c>
    </row>
    <row r="74" spans="4:23" outlineLevel="1" x14ac:dyDescent="0.25">
      <c r="D74" s="9" t="b">
        <f t="shared" si="46"/>
        <v>0</v>
      </c>
      <c r="E74" s="9">
        <f t="shared" si="47"/>
        <v>1</v>
      </c>
      <c r="G74" s="977">
        <v>45536</v>
      </c>
      <c r="H74" s="554">
        <f t="shared" si="48"/>
        <v>121534.22399999975</v>
      </c>
      <c r="I74" s="744">
        <f t="shared" si="51"/>
        <v>3261.87</v>
      </c>
      <c r="J74" s="743">
        <v>16545.75</v>
      </c>
      <c r="K74" s="744">
        <v>5358.55</v>
      </c>
      <c r="L74" s="761">
        <f t="shared" si="45"/>
        <v>146700.39399999974</v>
      </c>
      <c r="M74" s="785"/>
      <c r="N74" s="554"/>
      <c r="O74" s="744"/>
      <c r="P74" s="743"/>
      <c r="Q74" s="744"/>
      <c r="R74" s="743"/>
      <c r="S74" s="745"/>
      <c r="T74" s="743"/>
      <c r="U74" s="791"/>
      <c r="V74" s="761">
        <f t="shared" si="49"/>
        <v>0</v>
      </c>
      <c r="W74" s="983">
        <v>45536</v>
      </c>
    </row>
    <row r="75" spans="4:23" outlineLevel="1" x14ac:dyDescent="0.25">
      <c r="D75" s="9" t="b">
        <f t="shared" si="46"/>
        <v>0</v>
      </c>
      <c r="E75" s="9">
        <f t="shared" si="47"/>
        <v>1</v>
      </c>
      <c r="G75" s="977">
        <v>45566</v>
      </c>
      <c r="H75" s="554">
        <f t="shared" si="48"/>
        <v>120904.51299999976</v>
      </c>
      <c r="I75" s="744">
        <f t="shared" si="51"/>
        <v>3217.37</v>
      </c>
      <c r="J75" s="743">
        <v>16360</v>
      </c>
      <c r="K75" s="744">
        <v>5278.05</v>
      </c>
      <c r="L75" s="761">
        <f t="shared" si="45"/>
        <v>145759.93299999973</v>
      </c>
      <c r="M75" s="785"/>
      <c r="N75" s="554"/>
      <c r="O75" s="744"/>
      <c r="P75" s="743"/>
      <c r="Q75" s="744"/>
      <c r="R75" s="743"/>
      <c r="S75" s="745"/>
      <c r="T75" s="743"/>
      <c r="U75" s="791"/>
      <c r="V75" s="761">
        <f t="shared" si="49"/>
        <v>0</v>
      </c>
      <c r="W75" s="983">
        <v>45566</v>
      </c>
    </row>
    <row r="76" spans="4:23" outlineLevel="1" x14ac:dyDescent="0.25">
      <c r="D76" s="9" t="b">
        <f t="shared" si="46"/>
        <v>0</v>
      </c>
      <c r="E76" s="9">
        <f t="shared" si="47"/>
        <v>1</v>
      </c>
      <c r="G76" s="977">
        <v>45597</v>
      </c>
      <c r="H76" s="554">
        <f t="shared" si="48"/>
        <v>120274.80199999976</v>
      </c>
      <c r="I76" s="744">
        <f t="shared" si="51"/>
        <v>3172.87</v>
      </c>
      <c r="J76" s="743">
        <v>16174.25</v>
      </c>
      <c r="K76" s="744">
        <v>5197.55</v>
      </c>
      <c r="L76" s="761">
        <f t="shared" si="45"/>
        <v>144819.47199999975</v>
      </c>
      <c r="M76" s="785"/>
      <c r="N76" s="554"/>
      <c r="O76" s="744"/>
      <c r="P76" s="743"/>
      <c r="Q76" s="744"/>
      <c r="R76" s="743"/>
      <c r="S76" s="745"/>
      <c r="T76" s="743"/>
      <c r="U76" s="791"/>
      <c r="V76" s="761">
        <f t="shared" si="49"/>
        <v>0</v>
      </c>
      <c r="W76" s="983">
        <v>45597</v>
      </c>
    </row>
    <row r="77" spans="4:23" x14ac:dyDescent="0.25">
      <c r="D77" s="9" t="b">
        <f t="shared" si="46"/>
        <v>0</v>
      </c>
      <c r="E77" s="9">
        <f t="shared" si="47"/>
        <v>1</v>
      </c>
      <c r="G77" s="977">
        <v>45627</v>
      </c>
      <c r="H77" s="554">
        <f t="shared" si="48"/>
        <v>119645.09099999977</v>
      </c>
      <c r="I77" s="744">
        <f t="shared" si="51"/>
        <v>3128.37</v>
      </c>
      <c r="J77" s="743">
        <v>15988.5</v>
      </c>
      <c r="K77" s="744">
        <v>5117.05</v>
      </c>
      <c r="L77" s="761">
        <f t="shared" si="45"/>
        <v>143879.01099999977</v>
      </c>
      <c r="M77" s="785"/>
      <c r="N77" s="554"/>
      <c r="O77" s="744"/>
      <c r="P77" s="743"/>
      <c r="Q77" s="744"/>
      <c r="R77" s="743"/>
      <c r="S77" s="745"/>
      <c r="T77" s="743"/>
      <c r="U77" s="791"/>
      <c r="V77" s="761">
        <f t="shared" si="49"/>
        <v>0</v>
      </c>
      <c r="W77" s="983">
        <v>45627</v>
      </c>
    </row>
    <row r="78" spans="4:23" x14ac:dyDescent="0.25">
      <c r="D78" s="9" t="b">
        <f t="shared" si="46"/>
        <v>0</v>
      </c>
      <c r="E78" s="9">
        <f t="shared" si="47"/>
        <v>1</v>
      </c>
      <c r="G78" s="977">
        <v>45658</v>
      </c>
      <c r="H78" s="554">
        <f t="shared" si="48"/>
        <v>119015.37999999977</v>
      </c>
      <c r="I78" s="744">
        <f t="shared" si="51"/>
        <v>3083.87</v>
      </c>
      <c r="J78" s="743">
        <v>15802.75</v>
      </c>
      <c r="K78" s="744">
        <v>5036.55</v>
      </c>
      <c r="L78" s="761">
        <f t="shared" si="45"/>
        <v>142938.54999999976</v>
      </c>
      <c r="M78" s="785"/>
      <c r="N78" s="554"/>
      <c r="O78" s="744"/>
      <c r="P78" s="783"/>
      <c r="Q78" s="744"/>
      <c r="R78" s="743"/>
      <c r="S78" s="745"/>
      <c r="T78" s="743"/>
      <c r="U78" s="791"/>
      <c r="V78" s="761">
        <f t="shared" si="49"/>
        <v>0</v>
      </c>
      <c r="W78" s="983">
        <v>45658</v>
      </c>
    </row>
    <row r="79" spans="4:23" x14ac:dyDescent="0.25">
      <c r="D79" s="9" t="b">
        <f t="shared" si="46"/>
        <v>0</v>
      </c>
      <c r="E79" s="9">
        <f t="shared" si="47"/>
        <v>1</v>
      </c>
      <c r="G79" s="977">
        <v>45689</v>
      </c>
      <c r="H79" s="554">
        <f t="shared" si="48"/>
        <v>118385.66899999978</v>
      </c>
      <c r="I79" s="744">
        <f t="shared" si="51"/>
        <v>3039.37</v>
      </c>
      <c r="J79" s="743">
        <v>15617</v>
      </c>
      <c r="K79" s="744">
        <v>4956.05</v>
      </c>
      <c r="L79" s="761">
        <f t="shared" si="45"/>
        <v>141998.08899999975</v>
      </c>
      <c r="M79" s="785"/>
      <c r="N79" s="554"/>
      <c r="O79" s="744"/>
      <c r="P79" s="743"/>
      <c r="Q79" s="744"/>
      <c r="R79" s="743"/>
      <c r="S79" s="745"/>
      <c r="T79" s="743"/>
      <c r="U79" s="791"/>
      <c r="V79" s="761">
        <f t="shared" si="49"/>
        <v>0</v>
      </c>
      <c r="W79" s="983">
        <v>45689</v>
      </c>
    </row>
    <row r="80" spans="4:23" x14ac:dyDescent="0.25">
      <c r="D80" s="9" t="b">
        <f t="shared" si="46"/>
        <v>0</v>
      </c>
      <c r="E80" s="9">
        <f t="shared" si="47"/>
        <v>1</v>
      </c>
      <c r="G80" s="977">
        <v>45717</v>
      </c>
      <c r="H80" s="554">
        <f t="shared" si="48"/>
        <v>117755.95799999978</v>
      </c>
      <c r="I80" s="744">
        <f t="shared" si="51"/>
        <v>2994.87</v>
      </c>
      <c r="J80" s="743">
        <v>15431.25</v>
      </c>
      <c r="K80" s="744">
        <v>4875.55</v>
      </c>
      <c r="L80" s="761">
        <f t="shared" si="45"/>
        <v>141057.62799999976</v>
      </c>
      <c r="M80" s="785"/>
      <c r="N80" s="554"/>
      <c r="O80" s="784"/>
      <c r="P80" s="743"/>
      <c r="Q80" s="744"/>
      <c r="R80" s="743"/>
      <c r="S80" s="745"/>
      <c r="T80" s="743"/>
      <c r="U80" s="791"/>
      <c r="V80" s="761">
        <f t="shared" si="49"/>
        <v>0</v>
      </c>
      <c r="W80" s="983">
        <v>45717</v>
      </c>
    </row>
    <row r="81" spans="4:23" x14ac:dyDescent="0.25">
      <c r="D81" s="9" t="b">
        <f t="shared" si="46"/>
        <v>0</v>
      </c>
      <c r="E81" s="9">
        <f t="shared" si="47"/>
        <v>1</v>
      </c>
      <c r="G81" s="977">
        <v>45748</v>
      </c>
      <c r="H81" s="554">
        <f t="shared" si="48"/>
        <v>117126.24699999978</v>
      </c>
      <c r="I81" s="744">
        <f t="shared" si="51"/>
        <v>2950.37</v>
      </c>
      <c r="J81" s="743">
        <v>15245.5</v>
      </c>
      <c r="K81" s="744">
        <v>4793.05</v>
      </c>
      <c r="L81" s="761">
        <f t="shared" si="45"/>
        <v>140115.16699999978</v>
      </c>
      <c r="M81" s="785"/>
      <c r="N81" s="554"/>
      <c r="O81" s="744"/>
      <c r="P81" s="743"/>
      <c r="Q81" s="744"/>
      <c r="R81" s="743"/>
      <c r="S81" s="745"/>
      <c r="T81" s="743"/>
      <c r="U81" s="791"/>
      <c r="V81" s="761">
        <f t="shared" si="49"/>
        <v>0</v>
      </c>
      <c r="W81" s="983">
        <v>45748</v>
      </c>
    </row>
    <row r="82" spans="4:23" x14ac:dyDescent="0.25">
      <c r="D82" s="9" t="b">
        <f t="shared" si="46"/>
        <v>0</v>
      </c>
      <c r="E82" s="9">
        <f t="shared" si="47"/>
        <v>1</v>
      </c>
      <c r="G82" s="977">
        <v>45778</v>
      </c>
      <c r="H82" s="554">
        <f t="shared" si="48"/>
        <v>116496.53599999979</v>
      </c>
      <c r="I82" s="744">
        <f t="shared" si="51"/>
        <v>2905.87</v>
      </c>
      <c r="J82" s="743">
        <v>15057.75</v>
      </c>
      <c r="K82" s="744">
        <v>4712.55</v>
      </c>
      <c r="L82" s="761">
        <f t="shared" si="45"/>
        <v>139172.70599999977</v>
      </c>
      <c r="M82" s="785"/>
      <c r="N82" s="554"/>
      <c r="O82" s="744"/>
      <c r="P82" s="743"/>
      <c r="Q82" s="744"/>
      <c r="R82" s="743"/>
      <c r="S82" s="745"/>
      <c r="T82" s="743"/>
      <c r="U82" s="791"/>
      <c r="V82" s="761">
        <f t="shared" si="49"/>
        <v>0</v>
      </c>
      <c r="W82" s="983">
        <v>45778</v>
      </c>
    </row>
    <row r="83" spans="4:23" x14ac:dyDescent="0.25">
      <c r="D83" s="9" t="b">
        <f t="shared" si="46"/>
        <v>0</v>
      </c>
      <c r="E83" s="9">
        <f t="shared" si="47"/>
        <v>1</v>
      </c>
      <c r="G83" s="977">
        <v>45809</v>
      </c>
      <c r="H83" s="554">
        <f t="shared" si="48"/>
        <v>115866.82499999979</v>
      </c>
      <c r="I83" s="744">
        <f t="shared" si="51"/>
        <v>2861.37</v>
      </c>
      <c r="J83" s="743">
        <v>14872</v>
      </c>
      <c r="K83" s="744">
        <v>4632.05</v>
      </c>
      <c r="L83" s="761">
        <f t="shared" si="45"/>
        <v>138232.24499999976</v>
      </c>
      <c r="M83" s="785"/>
      <c r="N83" s="554"/>
      <c r="O83" s="744"/>
      <c r="P83" s="743"/>
      <c r="Q83" s="744"/>
      <c r="R83" s="743"/>
      <c r="S83" s="745"/>
      <c r="T83" s="743"/>
      <c r="U83" s="791"/>
      <c r="V83" s="761">
        <f t="shared" si="49"/>
        <v>0</v>
      </c>
      <c r="W83" s="983">
        <v>45809</v>
      </c>
    </row>
    <row r="84" spans="4:23" x14ac:dyDescent="0.25">
      <c r="D84" s="9" t="b">
        <f t="shared" si="46"/>
        <v>0</v>
      </c>
      <c r="E84" s="9">
        <f t="shared" si="47"/>
        <v>1</v>
      </c>
      <c r="G84" s="977">
        <v>45839</v>
      </c>
      <c r="H84" s="554">
        <f t="shared" si="48"/>
        <v>115237.1139999998</v>
      </c>
      <c r="I84" s="744">
        <f t="shared" si="51"/>
        <v>2816.87</v>
      </c>
      <c r="J84" s="743">
        <v>14686.25</v>
      </c>
      <c r="K84" s="744">
        <v>4551.55</v>
      </c>
      <c r="L84" s="761">
        <f t="shared" si="45"/>
        <v>137291.78399999978</v>
      </c>
      <c r="M84" s="785"/>
      <c r="N84" s="554"/>
      <c r="O84" s="744"/>
      <c r="P84" s="743"/>
      <c r="Q84" s="744"/>
      <c r="R84" s="743"/>
      <c r="S84" s="745"/>
      <c r="T84" s="743"/>
      <c r="U84" s="791"/>
      <c r="V84" s="761">
        <f t="shared" si="49"/>
        <v>0</v>
      </c>
      <c r="W84" s="983">
        <v>45839</v>
      </c>
    </row>
    <row r="85" spans="4:23" x14ac:dyDescent="0.25">
      <c r="D85" s="9" t="b">
        <f t="shared" si="46"/>
        <v>0</v>
      </c>
      <c r="E85" s="9">
        <f t="shared" si="47"/>
        <v>1</v>
      </c>
      <c r="G85" s="977">
        <v>45870</v>
      </c>
      <c r="H85" s="554">
        <f t="shared" si="48"/>
        <v>114607.4029999998</v>
      </c>
      <c r="I85" s="744">
        <f t="shared" si="51"/>
        <v>2772.37</v>
      </c>
      <c r="J85" s="743">
        <v>14500.5</v>
      </c>
      <c r="K85" s="744">
        <v>4471.05</v>
      </c>
      <c r="L85" s="761">
        <f t="shared" si="45"/>
        <v>136351.3229999998</v>
      </c>
      <c r="M85" s="785"/>
      <c r="N85" s="554"/>
      <c r="O85" s="744"/>
      <c r="P85" s="743"/>
      <c r="Q85" s="744"/>
      <c r="R85" s="743"/>
      <c r="S85" s="745"/>
      <c r="T85" s="743"/>
      <c r="U85" s="791"/>
      <c r="V85" s="761">
        <f t="shared" si="49"/>
        <v>0</v>
      </c>
      <c r="W85" s="983">
        <v>45870</v>
      </c>
    </row>
    <row r="86" spans="4:23" x14ac:dyDescent="0.25">
      <c r="D86" s="9" t="b">
        <f t="shared" si="46"/>
        <v>0</v>
      </c>
      <c r="E86" s="9">
        <f t="shared" si="47"/>
        <v>1</v>
      </c>
      <c r="G86" s="977">
        <v>45901</v>
      </c>
      <c r="H86" s="554">
        <f t="shared" si="48"/>
        <v>113977.69199999981</v>
      </c>
      <c r="I86" s="744">
        <f t="shared" si="51"/>
        <v>2727.87</v>
      </c>
      <c r="J86" s="743">
        <v>14314.75</v>
      </c>
      <c r="K86" s="744">
        <v>4390.55</v>
      </c>
      <c r="L86" s="761">
        <f t="shared" si="45"/>
        <v>135410.86199999979</v>
      </c>
      <c r="M86" s="785"/>
      <c r="N86" s="554"/>
      <c r="O86" s="744"/>
      <c r="P86" s="743"/>
      <c r="Q86" s="744"/>
      <c r="R86" s="743"/>
      <c r="S86" s="744"/>
      <c r="T86" s="743"/>
      <c r="U86" s="791"/>
      <c r="V86" s="761">
        <f t="shared" si="49"/>
        <v>0</v>
      </c>
      <c r="W86" s="983">
        <v>45901</v>
      </c>
    </row>
    <row r="87" spans="4:23" x14ac:dyDescent="0.25">
      <c r="D87" s="9" t="b">
        <f t="shared" si="46"/>
        <v>0</v>
      </c>
      <c r="E87" s="9">
        <f t="shared" si="47"/>
        <v>1</v>
      </c>
      <c r="G87" s="977">
        <v>45931</v>
      </c>
      <c r="H87" s="554">
        <f t="shared" si="48"/>
        <v>113347.98099999981</v>
      </c>
      <c r="I87" s="744">
        <f t="shared" si="51"/>
        <v>2683.37</v>
      </c>
      <c r="J87" s="743">
        <v>14129</v>
      </c>
      <c r="K87" s="744">
        <v>4310.05</v>
      </c>
      <c r="L87" s="761">
        <f t="shared" si="45"/>
        <v>134470.40099999981</v>
      </c>
      <c r="M87" s="785"/>
      <c r="N87" s="554"/>
      <c r="O87" s="744"/>
      <c r="P87" s="743"/>
      <c r="Q87" s="744"/>
      <c r="R87" s="743"/>
      <c r="S87" s="744"/>
      <c r="T87" s="743"/>
      <c r="U87" s="791"/>
      <c r="V87" s="761">
        <f t="shared" si="49"/>
        <v>0</v>
      </c>
      <c r="W87" s="983">
        <v>45931</v>
      </c>
    </row>
    <row r="88" spans="4:23" x14ac:dyDescent="0.25">
      <c r="D88" s="9" t="b">
        <f t="shared" si="46"/>
        <v>0</v>
      </c>
      <c r="E88" s="9">
        <f t="shared" si="47"/>
        <v>1</v>
      </c>
      <c r="G88" s="977">
        <v>45962</v>
      </c>
      <c r="H88" s="554">
        <f t="shared" si="48"/>
        <v>112718.26999999981</v>
      </c>
      <c r="I88" s="744">
        <f t="shared" si="51"/>
        <v>2638.87</v>
      </c>
      <c r="J88" s="743">
        <v>13943.25</v>
      </c>
      <c r="K88" s="744">
        <v>4229.55</v>
      </c>
      <c r="L88" s="761">
        <f t="shared" si="45"/>
        <v>133529.9399999998</v>
      </c>
      <c r="M88" s="785"/>
      <c r="N88" s="554"/>
      <c r="O88" s="744">
        <v>94.8</v>
      </c>
      <c r="P88" s="743"/>
      <c r="Q88" s="744"/>
      <c r="R88" s="743"/>
      <c r="S88" s="744"/>
      <c r="T88" s="743"/>
      <c r="U88" s="791"/>
      <c r="V88" s="761">
        <f t="shared" si="49"/>
        <v>94.8</v>
      </c>
      <c r="W88" s="983">
        <v>45962</v>
      </c>
    </row>
    <row r="89" spans="4:23" x14ac:dyDescent="0.25">
      <c r="D89" s="9" t="b">
        <f t="shared" si="46"/>
        <v>0</v>
      </c>
      <c r="E89" s="9">
        <f t="shared" si="47"/>
        <v>1</v>
      </c>
      <c r="G89" s="977">
        <v>45992</v>
      </c>
      <c r="H89" s="554">
        <f t="shared" si="48"/>
        <v>112088.55899999982</v>
      </c>
      <c r="I89" s="744">
        <f t="shared" si="51"/>
        <v>2594.37</v>
      </c>
      <c r="J89" s="743">
        <v>13757.5</v>
      </c>
      <c r="K89" s="744">
        <v>4149.05</v>
      </c>
      <c r="L89" s="761">
        <f t="shared" si="45"/>
        <v>132589.47899999982</v>
      </c>
      <c r="M89" s="785"/>
      <c r="N89" s="554"/>
      <c r="O89" s="744">
        <v>94.8</v>
      </c>
      <c r="P89" s="743"/>
      <c r="Q89" s="744"/>
      <c r="R89" s="743"/>
      <c r="S89" s="744"/>
      <c r="T89" s="743"/>
      <c r="U89" s="791"/>
      <c r="V89" s="761">
        <f t="shared" si="49"/>
        <v>94.8</v>
      </c>
      <c r="W89" s="983">
        <v>45992</v>
      </c>
    </row>
    <row r="90" spans="4:23" x14ac:dyDescent="0.25">
      <c r="D90" s="9" t="b">
        <f t="shared" si="46"/>
        <v>0</v>
      </c>
      <c r="E90" s="9">
        <f t="shared" si="47"/>
        <v>1</v>
      </c>
      <c r="G90" s="977">
        <v>46023</v>
      </c>
      <c r="H90" s="554">
        <f t="shared" si="48"/>
        <v>111458.84799999982</v>
      </c>
      <c r="I90" s="744">
        <f t="shared" si="51"/>
        <v>2549.87</v>
      </c>
      <c r="J90" s="743">
        <v>13571.75</v>
      </c>
      <c r="K90" s="744">
        <v>4068.55</v>
      </c>
      <c r="L90" s="761">
        <f t="shared" si="45"/>
        <v>131649.01799999981</v>
      </c>
      <c r="M90" s="785"/>
      <c r="N90" s="554"/>
      <c r="O90" s="744">
        <v>94.8</v>
      </c>
      <c r="P90" s="743"/>
      <c r="Q90" s="744"/>
      <c r="R90" s="743"/>
      <c r="S90" s="744"/>
      <c r="T90" s="743">
        <v>120.77</v>
      </c>
      <c r="U90" s="791"/>
      <c r="V90" s="761">
        <f t="shared" si="49"/>
        <v>215.57</v>
      </c>
      <c r="W90" s="983">
        <v>46023</v>
      </c>
    </row>
    <row r="91" spans="4:23" x14ac:dyDescent="0.25">
      <c r="D91" s="9" t="b">
        <f t="shared" si="46"/>
        <v>0</v>
      </c>
      <c r="E91" s="9">
        <f t="shared" si="47"/>
        <v>1</v>
      </c>
      <c r="G91" s="977">
        <v>46054</v>
      </c>
      <c r="H91" s="554">
        <f t="shared" si="48"/>
        <v>110829.13699999983</v>
      </c>
      <c r="I91" s="744">
        <f t="shared" si="51"/>
        <v>2505.37</v>
      </c>
      <c r="J91" s="743">
        <v>13386</v>
      </c>
      <c r="K91" s="744">
        <v>3988.05</v>
      </c>
      <c r="L91" s="761">
        <f t="shared" si="45"/>
        <v>130708.55699999983</v>
      </c>
      <c r="M91" s="785"/>
      <c r="N91" s="554"/>
      <c r="O91" s="744">
        <v>94.8</v>
      </c>
      <c r="P91" s="743"/>
      <c r="Q91" s="744"/>
      <c r="R91" s="743"/>
      <c r="S91" s="744"/>
      <c r="T91" s="743">
        <v>120.77</v>
      </c>
      <c r="U91" s="791"/>
      <c r="V91" s="761">
        <f t="shared" si="49"/>
        <v>215.57</v>
      </c>
      <c r="W91" s="983">
        <v>46054</v>
      </c>
    </row>
    <row r="92" spans="4:23" ht="15.75" thickBot="1" x14ac:dyDescent="0.3">
      <c r="D92" s="9" t="b">
        <f t="shared" si="46"/>
        <v>0</v>
      </c>
      <c r="E92" s="9">
        <f t="shared" si="47"/>
        <v>1</v>
      </c>
      <c r="G92" s="977">
        <v>46082</v>
      </c>
      <c r="H92" s="554">
        <f t="shared" si="48"/>
        <v>110199.42599999983</v>
      </c>
      <c r="I92" s="744">
        <f t="shared" si="51"/>
        <v>2460.87</v>
      </c>
      <c r="J92" s="743">
        <v>13200.25</v>
      </c>
      <c r="K92" s="744">
        <v>3907.55</v>
      </c>
      <c r="L92" s="761">
        <f t="shared" ref="L92:L155" si="52">SUM(H92:K92)</f>
        <v>129768.09599999983</v>
      </c>
      <c r="M92" s="785"/>
      <c r="N92" s="554">
        <v>249.33</v>
      </c>
      <c r="O92" s="1064">
        <v>94.8</v>
      </c>
      <c r="P92" s="743">
        <v>38.799999999999997</v>
      </c>
      <c r="Q92" s="744">
        <v>35.799999999999997</v>
      </c>
      <c r="R92" s="743">
        <v>68.92</v>
      </c>
      <c r="S92" s="744"/>
      <c r="T92" s="743">
        <v>120.77</v>
      </c>
      <c r="U92" s="791"/>
      <c r="V92" s="761">
        <f t="shared" si="49"/>
        <v>608.42000000000007</v>
      </c>
      <c r="W92" s="983">
        <v>46082</v>
      </c>
    </row>
    <row r="93" spans="4:23" ht="15.75" thickTop="1" x14ac:dyDescent="0.25">
      <c r="D93" s="9" t="b">
        <f t="shared" ref="D93:D156" si="53">IF($B$2=G93,TRUE,FALSE)</f>
        <v>1</v>
      </c>
      <c r="E93" s="9">
        <f t="shared" ref="E93:E156" si="54">IF(G93&lt;=$B$2,1,0)</f>
        <v>1</v>
      </c>
      <c r="G93" s="977">
        <v>46113</v>
      </c>
      <c r="H93" s="554">
        <f t="shared" ref="H93:H156" si="55">H92-$H$7</f>
        <v>109569.71499999984</v>
      </c>
      <c r="I93" s="744">
        <f t="shared" si="51"/>
        <v>2416.37</v>
      </c>
      <c r="J93" s="743">
        <v>13014.5</v>
      </c>
      <c r="K93" s="744">
        <v>3825.05</v>
      </c>
      <c r="L93" s="761">
        <f t="shared" si="52"/>
        <v>128825.63499999983</v>
      </c>
      <c r="M93" s="785"/>
      <c r="N93" s="554">
        <v>249.33</v>
      </c>
      <c r="O93" s="744"/>
      <c r="P93" s="743">
        <v>38.799999999999997</v>
      </c>
      <c r="Q93" s="744">
        <v>35.799999999999997</v>
      </c>
      <c r="R93" s="743">
        <v>68.92</v>
      </c>
      <c r="S93" s="744"/>
      <c r="T93" s="743">
        <v>120.77</v>
      </c>
      <c r="U93" s="791"/>
      <c r="V93" s="761">
        <f t="shared" ref="V93:V156" si="56">SUM(N93:U93)</f>
        <v>513.62</v>
      </c>
      <c r="W93" s="983">
        <v>46113</v>
      </c>
    </row>
    <row r="94" spans="4:23" x14ac:dyDescent="0.25">
      <c r="D94" s="9" t="b">
        <f t="shared" si="53"/>
        <v>0</v>
      </c>
      <c r="E94" s="9">
        <f t="shared" si="54"/>
        <v>0</v>
      </c>
      <c r="G94" s="977">
        <v>46143</v>
      </c>
      <c r="H94" s="554">
        <f t="shared" si="55"/>
        <v>108940.00399999984</v>
      </c>
      <c r="I94" s="744">
        <f t="shared" si="51"/>
        <v>2371.87</v>
      </c>
      <c r="J94" s="743">
        <v>12826.75</v>
      </c>
      <c r="K94" s="744">
        <v>3744.55</v>
      </c>
      <c r="L94" s="761">
        <f t="shared" si="52"/>
        <v>127883.17399999984</v>
      </c>
      <c r="M94" s="785"/>
      <c r="N94" s="554">
        <v>249.33</v>
      </c>
      <c r="O94" s="744"/>
      <c r="P94" s="743">
        <v>38.799999999999997</v>
      </c>
      <c r="Q94" s="744">
        <v>35.799999999999997</v>
      </c>
      <c r="R94" s="743">
        <v>68.92</v>
      </c>
      <c r="S94" s="744"/>
      <c r="T94" s="743">
        <v>120.77</v>
      </c>
      <c r="U94" s="791"/>
      <c r="V94" s="761">
        <f t="shared" si="56"/>
        <v>513.62</v>
      </c>
      <c r="W94" s="983">
        <v>46143</v>
      </c>
    </row>
    <row r="95" spans="4:23" ht="15.75" thickBot="1" x14ac:dyDescent="0.3">
      <c r="D95" s="9" t="b">
        <f t="shared" si="53"/>
        <v>0</v>
      </c>
      <c r="E95" s="9">
        <f t="shared" si="54"/>
        <v>0</v>
      </c>
      <c r="G95" s="977">
        <v>46174</v>
      </c>
      <c r="H95" s="554">
        <f t="shared" si="55"/>
        <v>108310.29299999985</v>
      </c>
      <c r="I95" s="744">
        <f t="shared" ref="I95:I126" si="57">I94-$I$7</f>
        <v>2327.37</v>
      </c>
      <c r="J95" s="743">
        <v>12641</v>
      </c>
      <c r="K95" s="744">
        <v>3664.05</v>
      </c>
      <c r="L95" s="761">
        <f t="shared" si="52"/>
        <v>126942.71299999984</v>
      </c>
      <c r="M95" s="785"/>
      <c r="N95" s="554"/>
      <c r="O95" s="744"/>
      <c r="P95" s="743">
        <v>38.799999999999997</v>
      </c>
      <c r="Q95" s="744">
        <v>35.799999999999997</v>
      </c>
      <c r="R95" s="743"/>
      <c r="S95" s="745"/>
      <c r="T95" s="958">
        <v>120.77</v>
      </c>
      <c r="U95" s="791"/>
      <c r="V95" s="761">
        <f t="shared" si="56"/>
        <v>195.37</v>
      </c>
      <c r="W95" s="983">
        <v>46174</v>
      </c>
    </row>
    <row r="96" spans="4:23" ht="16.5" thickTop="1" thickBot="1" x14ac:dyDescent="0.3">
      <c r="D96" s="9" t="b">
        <f t="shared" si="53"/>
        <v>0</v>
      </c>
      <c r="E96" s="9">
        <f t="shared" si="54"/>
        <v>0</v>
      </c>
      <c r="G96" s="977">
        <v>46204</v>
      </c>
      <c r="H96" s="554">
        <f t="shared" si="55"/>
        <v>107680.58199999985</v>
      </c>
      <c r="I96" s="744">
        <f t="shared" si="57"/>
        <v>2282.87</v>
      </c>
      <c r="J96" s="743">
        <v>12455.25</v>
      </c>
      <c r="K96" s="744">
        <v>3583.55</v>
      </c>
      <c r="L96" s="761">
        <f t="shared" si="52"/>
        <v>126002.25199999985</v>
      </c>
      <c r="M96" s="785"/>
      <c r="N96" s="554"/>
      <c r="O96" s="744"/>
      <c r="P96" s="958">
        <v>38.799999999999997</v>
      </c>
      <c r="Q96" s="1064">
        <v>35.799999999999997</v>
      </c>
      <c r="R96" s="743"/>
      <c r="S96" s="745"/>
      <c r="T96" s="743"/>
      <c r="U96" s="791"/>
      <c r="V96" s="761">
        <f t="shared" si="56"/>
        <v>74.599999999999994</v>
      </c>
      <c r="W96" s="983">
        <v>46204</v>
      </c>
    </row>
    <row r="97" spans="4:23" ht="15.75" thickTop="1" x14ac:dyDescent="0.25">
      <c r="D97" s="9" t="b">
        <f t="shared" si="53"/>
        <v>0</v>
      </c>
      <c r="E97" s="9">
        <f t="shared" si="54"/>
        <v>0</v>
      </c>
      <c r="G97" s="977">
        <v>46235</v>
      </c>
      <c r="H97" s="554">
        <f t="shared" si="55"/>
        <v>107050.87099999985</v>
      </c>
      <c r="I97" s="744">
        <f t="shared" si="57"/>
        <v>2238.37</v>
      </c>
      <c r="J97" s="743">
        <v>12269.5</v>
      </c>
      <c r="K97" s="744">
        <v>3503.05</v>
      </c>
      <c r="L97" s="761">
        <f t="shared" si="52"/>
        <v>125061.79099999985</v>
      </c>
      <c r="M97" s="785"/>
      <c r="N97" s="554"/>
      <c r="O97" s="744"/>
      <c r="P97" s="743"/>
      <c r="Q97" s="744"/>
      <c r="R97" s="743"/>
      <c r="S97" s="745"/>
      <c r="T97" s="743"/>
      <c r="U97" s="791"/>
      <c r="V97" s="761">
        <f t="shared" si="56"/>
        <v>0</v>
      </c>
      <c r="W97" s="983">
        <v>46235</v>
      </c>
    </row>
    <row r="98" spans="4:23" x14ac:dyDescent="0.25">
      <c r="D98" s="9" t="b">
        <f t="shared" si="53"/>
        <v>0</v>
      </c>
      <c r="E98" s="9">
        <f t="shared" si="54"/>
        <v>0</v>
      </c>
      <c r="G98" s="977">
        <v>46266</v>
      </c>
      <c r="H98" s="554">
        <f t="shared" si="55"/>
        <v>106421.15999999986</v>
      </c>
      <c r="I98" s="744">
        <f t="shared" si="57"/>
        <v>2193.87</v>
      </c>
      <c r="J98" s="743">
        <v>12083.75</v>
      </c>
      <c r="K98" s="744">
        <v>3422.55</v>
      </c>
      <c r="L98" s="761">
        <f t="shared" si="52"/>
        <v>124121.32999999986</v>
      </c>
      <c r="M98" s="785"/>
      <c r="N98" s="554"/>
      <c r="O98" s="744"/>
      <c r="P98" s="743"/>
      <c r="Q98" s="744"/>
      <c r="R98" s="743"/>
      <c r="S98" s="745"/>
      <c r="T98" s="743"/>
      <c r="U98" s="791"/>
      <c r="V98" s="761">
        <f t="shared" si="56"/>
        <v>0</v>
      </c>
      <c r="W98" s="983">
        <v>46266</v>
      </c>
    </row>
    <row r="99" spans="4:23" x14ac:dyDescent="0.25">
      <c r="D99" s="9" t="b">
        <f t="shared" si="53"/>
        <v>0</v>
      </c>
      <c r="E99" s="9">
        <f t="shared" si="54"/>
        <v>0</v>
      </c>
      <c r="G99" s="977">
        <v>46296</v>
      </c>
      <c r="H99" s="554">
        <f t="shared" si="55"/>
        <v>105791.44899999986</v>
      </c>
      <c r="I99" s="744">
        <f t="shared" si="57"/>
        <v>2149.37</v>
      </c>
      <c r="J99" s="743">
        <v>11898</v>
      </c>
      <c r="K99" s="744">
        <v>3342.05</v>
      </c>
      <c r="L99" s="761">
        <f t="shared" si="52"/>
        <v>123180.86899999986</v>
      </c>
      <c r="M99" s="785"/>
      <c r="N99" s="554"/>
      <c r="O99" s="744"/>
      <c r="P99" s="743"/>
      <c r="Q99" s="744"/>
      <c r="R99" s="743"/>
      <c r="S99" s="745"/>
      <c r="T99" s="743"/>
      <c r="U99" s="791"/>
      <c r="V99" s="761">
        <f t="shared" si="56"/>
        <v>0</v>
      </c>
      <c r="W99" s="983">
        <v>46296</v>
      </c>
    </row>
    <row r="100" spans="4:23" x14ac:dyDescent="0.25">
      <c r="D100" s="9" t="b">
        <f t="shared" si="53"/>
        <v>0</v>
      </c>
      <c r="E100" s="9">
        <f t="shared" si="54"/>
        <v>0</v>
      </c>
      <c r="G100" s="977">
        <v>46327</v>
      </c>
      <c r="H100" s="554">
        <f t="shared" si="55"/>
        <v>105161.73799999987</v>
      </c>
      <c r="I100" s="744">
        <f t="shared" si="57"/>
        <v>2104.87</v>
      </c>
      <c r="J100" s="743">
        <v>11712.25</v>
      </c>
      <c r="K100" s="744">
        <v>3261.55</v>
      </c>
      <c r="L100" s="761">
        <f t="shared" si="52"/>
        <v>122240.40799999986</v>
      </c>
      <c r="M100" s="785"/>
      <c r="N100" s="554"/>
      <c r="O100" s="744"/>
      <c r="P100" s="743"/>
      <c r="Q100" s="744"/>
      <c r="R100" s="743"/>
      <c r="S100" s="745"/>
      <c r="T100" s="743"/>
      <c r="U100" s="791"/>
      <c r="V100" s="761">
        <f t="shared" si="56"/>
        <v>0</v>
      </c>
      <c r="W100" s="983">
        <v>46327</v>
      </c>
    </row>
    <row r="101" spans="4:23" x14ac:dyDescent="0.25">
      <c r="D101" s="9" t="b">
        <f t="shared" si="53"/>
        <v>0</v>
      </c>
      <c r="E101" s="9">
        <f t="shared" si="54"/>
        <v>0</v>
      </c>
      <c r="G101" s="977">
        <v>46357</v>
      </c>
      <c r="H101" s="554">
        <f t="shared" si="55"/>
        <v>104532.02699999987</v>
      </c>
      <c r="I101" s="744">
        <f t="shared" si="57"/>
        <v>2060.37</v>
      </c>
      <c r="J101" s="743">
        <v>11526.5</v>
      </c>
      <c r="K101" s="744">
        <v>3181.05</v>
      </c>
      <c r="L101" s="761">
        <f t="shared" si="52"/>
        <v>121299.94699999987</v>
      </c>
      <c r="M101" s="785"/>
      <c r="N101" s="554"/>
      <c r="O101" s="744"/>
      <c r="P101" s="743"/>
      <c r="Q101" s="744"/>
      <c r="R101" s="743"/>
      <c r="S101" s="745"/>
      <c r="T101" s="743"/>
      <c r="U101" s="791"/>
      <c r="V101" s="761">
        <f t="shared" si="56"/>
        <v>0</v>
      </c>
      <c r="W101" s="983">
        <v>46357</v>
      </c>
    </row>
    <row r="102" spans="4:23" x14ac:dyDescent="0.25">
      <c r="D102" s="9" t="b">
        <f t="shared" si="53"/>
        <v>0</v>
      </c>
      <c r="E102" s="9">
        <f t="shared" si="54"/>
        <v>0</v>
      </c>
      <c r="G102" s="977">
        <v>46388</v>
      </c>
      <c r="H102" s="554">
        <f t="shared" si="55"/>
        <v>103902.31599999988</v>
      </c>
      <c r="I102" s="744">
        <f t="shared" si="57"/>
        <v>2015.87</v>
      </c>
      <c r="J102" s="743">
        <v>11340.75</v>
      </c>
      <c r="K102" s="744">
        <v>3100.55</v>
      </c>
      <c r="L102" s="761">
        <f t="shared" si="52"/>
        <v>120359.48599999987</v>
      </c>
      <c r="M102" s="785"/>
      <c r="N102" s="554"/>
      <c r="O102" s="744"/>
      <c r="P102" s="743"/>
      <c r="Q102" s="744"/>
      <c r="R102" s="743"/>
      <c r="S102" s="745"/>
      <c r="T102" s="743"/>
      <c r="U102" s="791"/>
      <c r="V102" s="761">
        <f t="shared" si="56"/>
        <v>0</v>
      </c>
      <c r="W102" s="983">
        <v>46388</v>
      </c>
    </row>
    <row r="103" spans="4:23" x14ac:dyDescent="0.25">
      <c r="D103" s="9" t="b">
        <f t="shared" si="53"/>
        <v>0</v>
      </c>
      <c r="E103" s="9">
        <f t="shared" si="54"/>
        <v>0</v>
      </c>
      <c r="G103" s="977">
        <v>46419</v>
      </c>
      <c r="H103" s="554">
        <f t="shared" si="55"/>
        <v>103272.60499999988</v>
      </c>
      <c r="I103" s="744">
        <f t="shared" si="57"/>
        <v>1971.37</v>
      </c>
      <c r="J103" s="743">
        <v>11155</v>
      </c>
      <c r="K103" s="744">
        <v>3020.05</v>
      </c>
      <c r="L103" s="761">
        <f t="shared" si="52"/>
        <v>119419.02499999988</v>
      </c>
      <c r="M103" s="785"/>
      <c r="N103" s="554"/>
      <c r="O103" s="744"/>
      <c r="P103" s="743"/>
      <c r="Q103" s="744"/>
      <c r="R103" s="743"/>
      <c r="S103" s="745"/>
      <c r="T103" s="743"/>
      <c r="U103" s="791"/>
      <c r="V103" s="761">
        <f t="shared" si="56"/>
        <v>0</v>
      </c>
      <c r="W103" s="983">
        <v>46419</v>
      </c>
    </row>
    <row r="104" spans="4:23" x14ac:dyDescent="0.25">
      <c r="D104" s="9" t="b">
        <f t="shared" si="53"/>
        <v>0</v>
      </c>
      <c r="E104" s="9">
        <f t="shared" si="54"/>
        <v>0</v>
      </c>
      <c r="G104" s="977">
        <v>46447</v>
      </c>
      <c r="H104" s="554">
        <f t="shared" si="55"/>
        <v>102642.89399999988</v>
      </c>
      <c r="I104" s="744">
        <f t="shared" si="57"/>
        <v>1926.87</v>
      </c>
      <c r="J104" s="743">
        <v>10969.25</v>
      </c>
      <c r="K104" s="744">
        <v>2939.55</v>
      </c>
      <c r="L104" s="761">
        <f t="shared" si="52"/>
        <v>118478.56399999988</v>
      </c>
      <c r="M104" s="785"/>
      <c r="N104" s="554"/>
      <c r="O104" s="744"/>
      <c r="P104" s="743"/>
      <c r="Q104" s="744"/>
      <c r="R104" s="743"/>
      <c r="S104" s="745"/>
      <c r="T104" s="743"/>
      <c r="U104" s="791"/>
      <c r="V104" s="761">
        <f t="shared" si="56"/>
        <v>0</v>
      </c>
      <c r="W104" s="983">
        <v>46447</v>
      </c>
    </row>
    <row r="105" spans="4:23" x14ac:dyDescent="0.25">
      <c r="D105" s="9" t="b">
        <f t="shared" si="53"/>
        <v>0</v>
      </c>
      <c r="E105" s="9">
        <f t="shared" si="54"/>
        <v>0</v>
      </c>
      <c r="G105" s="977">
        <v>46478</v>
      </c>
      <c r="H105" s="554">
        <f t="shared" si="55"/>
        <v>102013.18299999989</v>
      </c>
      <c r="I105" s="744">
        <f t="shared" si="57"/>
        <v>1882.37</v>
      </c>
      <c r="J105" s="743">
        <v>10783.5</v>
      </c>
      <c r="K105" s="744">
        <v>2857.05</v>
      </c>
      <c r="L105" s="761">
        <f t="shared" si="52"/>
        <v>117536.10299999989</v>
      </c>
      <c r="M105" s="785"/>
      <c r="N105" s="554"/>
      <c r="O105" s="744"/>
      <c r="P105" s="743"/>
      <c r="Q105" s="744"/>
      <c r="R105" s="743"/>
      <c r="S105" s="745"/>
      <c r="T105" s="743"/>
      <c r="U105" s="791"/>
      <c r="V105" s="761">
        <f t="shared" si="56"/>
        <v>0</v>
      </c>
      <c r="W105" s="983">
        <v>46478</v>
      </c>
    </row>
    <row r="106" spans="4:23" x14ac:dyDescent="0.25">
      <c r="D106" s="9" t="b">
        <f t="shared" si="53"/>
        <v>0</v>
      </c>
      <c r="E106" s="9">
        <f t="shared" si="54"/>
        <v>0</v>
      </c>
      <c r="G106" s="977">
        <v>46508</v>
      </c>
      <c r="H106" s="554">
        <f t="shared" si="55"/>
        <v>101383.47199999989</v>
      </c>
      <c r="I106" s="744">
        <f t="shared" si="57"/>
        <v>1837.87</v>
      </c>
      <c r="J106" s="743">
        <v>10595.75</v>
      </c>
      <c r="K106" s="744">
        <v>2776.55</v>
      </c>
      <c r="L106" s="761">
        <f t="shared" si="52"/>
        <v>116593.64199999989</v>
      </c>
      <c r="M106" s="785"/>
      <c r="N106" s="554"/>
      <c r="O106" s="744"/>
      <c r="P106" s="743"/>
      <c r="Q106" s="744"/>
      <c r="R106" s="743"/>
      <c r="S106" s="745"/>
      <c r="T106" s="743"/>
      <c r="U106" s="791"/>
      <c r="V106" s="761">
        <f t="shared" si="56"/>
        <v>0</v>
      </c>
      <c r="W106" s="983">
        <v>46508</v>
      </c>
    </row>
    <row r="107" spans="4:23" x14ac:dyDescent="0.25">
      <c r="D107" s="9" t="b">
        <f t="shared" si="53"/>
        <v>0</v>
      </c>
      <c r="E107" s="9">
        <f t="shared" si="54"/>
        <v>0</v>
      </c>
      <c r="G107" s="977">
        <v>46539</v>
      </c>
      <c r="H107" s="554">
        <f t="shared" si="55"/>
        <v>100753.7609999999</v>
      </c>
      <c r="I107" s="744">
        <f t="shared" si="57"/>
        <v>1793.37</v>
      </c>
      <c r="J107" s="743">
        <v>10410</v>
      </c>
      <c r="K107" s="744">
        <v>2696.05</v>
      </c>
      <c r="L107" s="761">
        <f t="shared" si="52"/>
        <v>115653.18099999989</v>
      </c>
      <c r="M107" s="785"/>
      <c r="N107" s="554"/>
      <c r="O107" s="744"/>
      <c r="P107" s="743"/>
      <c r="Q107" s="744"/>
      <c r="R107" s="743"/>
      <c r="S107" s="745"/>
      <c r="T107" s="743"/>
      <c r="U107" s="791"/>
      <c r="V107" s="761">
        <f t="shared" si="56"/>
        <v>0</v>
      </c>
      <c r="W107" s="983">
        <v>46539</v>
      </c>
    </row>
    <row r="108" spans="4:23" x14ac:dyDescent="0.25">
      <c r="D108" s="9" t="b">
        <f t="shared" si="53"/>
        <v>0</v>
      </c>
      <c r="E108" s="9">
        <f t="shared" si="54"/>
        <v>0</v>
      </c>
      <c r="G108" s="977">
        <v>46569</v>
      </c>
      <c r="H108" s="554">
        <f t="shared" si="55"/>
        <v>100124.0499999999</v>
      </c>
      <c r="I108" s="744">
        <f t="shared" si="57"/>
        <v>1748.87</v>
      </c>
      <c r="J108" s="743">
        <v>10224.25</v>
      </c>
      <c r="K108" s="744">
        <v>2615.5500000000002</v>
      </c>
      <c r="L108" s="761">
        <f t="shared" si="52"/>
        <v>114712.7199999999</v>
      </c>
      <c r="M108" s="785"/>
      <c r="N108" s="554"/>
      <c r="O108" s="744"/>
      <c r="P108" s="743"/>
      <c r="Q108" s="744"/>
      <c r="R108" s="743"/>
      <c r="S108" s="745"/>
      <c r="T108" s="743"/>
      <c r="U108" s="791"/>
      <c r="V108" s="761">
        <f t="shared" si="56"/>
        <v>0</v>
      </c>
      <c r="W108" s="983">
        <v>46569</v>
      </c>
    </row>
    <row r="109" spans="4:23" x14ac:dyDescent="0.25">
      <c r="D109" s="9" t="b">
        <f t="shared" si="53"/>
        <v>0</v>
      </c>
      <c r="E109" s="9">
        <f t="shared" si="54"/>
        <v>0</v>
      </c>
      <c r="G109" s="977">
        <v>46600</v>
      </c>
      <c r="H109" s="554">
        <f t="shared" si="55"/>
        <v>99494.338999999905</v>
      </c>
      <c r="I109" s="744">
        <f t="shared" si="57"/>
        <v>1704.37</v>
      </c>
      <c r="J109" s="743">
        <v>10038.5</v>
      </c>
      <c r="K109" s="744">
        <v>2535.0500000000002</v>
      </c>
      <c r="L109" s="761">
        <f t="shared" si="52"/>
        <v>113772.2589999999</v>
      </c>
      <c r="M109" s="785"/>
      <c r="N109" s="554"/>
      <c r="O109" s="744"/>
      <c r="P109" s="743"/>
      <c r="Q109" s="744"/>
      <c r="R109" s="743"/>
      <c r="S109" s="745"/>
      <c r="T109" s="743"/>
      <c r="U109" s="791"/>
      <c r="V109" s="761">
        <f t="shared" si="56"/>
        <v>0</v>
      </c>
      <c r="W109" s="983">
        <v>46600</v>
      </c>
    </row>
    <row r="110" spans="4:23" x14ac:dyDescent="0.25">
      <c r="D110" s="9" t="b">
        <f t="shared" si="53"/>
        <v>0</v>
      </c>
      <c r="E110" s="9">
        <f t="shared" si="54"/>
        <v>0</v>
      </c>
      <c r="G110" s="977">
        <v>46631</v>
      </c>
      <c r="H110" s="554">
        <f t="shared" si="55"/>
        <v>98864.62799999991</v>
      </c>
      <c r="I110" s="744">
        <f t="shared" si="57"/>
        <v>1659.87</v>
      </c>
      <c r="J110" s="743">
        <v>9852.75</v>
      </c>
      <c r="K110" s="744">
        <v>2454.5500000000002</v>
      </c>
      <c r="L110" s="761">
        <f t="shared" si="52"/>
        <v>112831.79799999991</v>
      </c>
      <c r="M110" s="785"/>
      <c r="N110" s="554"/>
      <c r="O110" s="744"/>
      <c r="P110" s="743"/>
      <c r="Q110" s="744"/>
      <c r="R110" s="743"/>
      <c r="S110" s="745"/>
      <c r="T110" s="743"/>
      <c r="U110" s="791"/>
      <c r="V110" s="761">
        <f t="shared" si="56"/>
        <v>0</v>
      </c>
      <c r="W110" s="983">
        <v>46631</v>
      </c>
    </row>
    <row r="111" spans="4:23" x14ac:dyDescent="0.25">
      <c r="D111" s="9" t="b">
        <f t="shared" si="53"/>
        <v>0</v>
      </c>
      <c r="E111" s="9">
        <f t="shared" si="54"/>
        <v>0</v>
      </c>
      <c r="G111" s="977">
        <v>46661</v>
      </c>
      <c r="H111" s="554">
        <f t="shared" si="55"/>
        <v>98234.916999999914</v>
      </c>
      <c r="I111" s="744">
        <f t="shared" si="57"/>
        <v>1615.37</v>
      </c>
      <c r="J111" s="743">
        <v>9667</v>
      </c>
      <c r="K111" s="744">
        <v>2374.0500000000002</v>
      </c>
      <c r="L111" s="761">
        <f t="shared" si="52"/>
        <v>111891.33699999991</v>
      </c>
      <c r="M111" s="785"/>
      <c r="N111" s="554"/>
      <c r="O111" s="744"/>
      <c r="P111" s="743"/>
      <c r="Q111" s="744"/>
      <c r="R111" s="743"/>
      <c r="S111" s="745"/>
      <c r="T111" s="743"/>
      <c r="U111" s="791"/>
      <c r="V111" s="761">
        <f t="shared" si="56"/>
        <v>0</v>
      </c>
      <c r="W111" s="983">
        <v>46661</v>
      </c>
    </row>
    <row r="112" spans="4:23" x14ac:dyDescent="0.25">
      <c r="D112" s="9" t="b">
        <f t="shared" si="53"/>
        <v>0</v>
      </c>
      <c r="E112" s="9">
        <f t="shared" si="54"/>
        <v>0</v>
      </c>
      <c r="G112" s="977">
        <v>46692</v>
      </c>
      <c r="H112" s="554">
        <f t="shared" si="55"/>
        <v>97605.205999999918</v>
      </c>
      <c r="I112" s="744">
        <f t="shared" si="57"/>
        <v>1570.87</v>
      </c>
      <c r="J112" s="743">
        <v>9481.25</v>
      </c>
      <c r="K112" s="744">
        <v>2293.5500000000002</v>
      </c>
      <c r="L112" s="761">
        <f t="shared" si="52"/>
        <v>110950.87599999992</v>
      </c>
      <c r="M112" s="785"/>
      <c r="N112" s="554"/>
      <c r="O112" s="744"/>
      <c r="P112" s="743"/>
      <c r="Q112" s="744"/>
      <c r="R112" s="743"/>
      <c r="S112" s="745"/>
      <c r="T112" s="743"/>
      <c r="U112" s="791"/>
      <c r="V112" s="761">
        <f t="shared" si="56"/>
        <v>0</v>
      </c>
      <c r="W112" s="983">
        <v>46692</v>
      </c>
    </row>
    <row r="113" spans="4:23" x14ac:dyDescent="0.25">
      <c r="D113" s="9" t="b">
        <f t="shared" si="53"/>
        <v>0</v>
      </c>
      <c r="E113" s="9">
        <f t="shared" si="54"/>
        <v>0</v>
      </c>
      <c r="G113" s="977">
        <v>46722</v>
      </c>
      <c r="H113" s="554">
        <f t="shared" si="55"/>
        <v>96975.494999999923</v>
      </c>
      <c r="I113" s="744">
        <f t="shared" si="57"/>
        <v>1526.37</v>
      </c>
      <c r="J113" s="743">
        <v>9295.5</v>
      </c>
      <c r="K113" s="744">
        <v>2213.0500000000002</v>
      </c>
      <c r="L113" s="761">
        <f t="shared" si="52"/>
        <v>110010.41499999992</v>
      </c>
      <c r="M113" s="785"/>
      <c r="N113" s="554"/>
      <c r="O113" s="744"/>
      <c r="P113" s="743"/>
      <c r="Q113" s="744"/>
      <c r="R113" s="743"/>
      <c r="S113" s="745"/>
      <c r="T113" s="743"/>
      <c r="U113" s="791"/>
      <c r="V113" s="761">
        <f t="shared" si="56"/>
        <v>0</v>
      </c>
      <c r="W113" s="983">
        <v>46722</v>
      </c>
    </row>
    <row r="114" spans="4:23" x14ac:dyDescent="0.25">
      <c r="D114" s="9" t="b">
        <f t="shared" si="53"/>
        <v>0</v>
      </c>
      <c r="E114" s="9">
        <f t="shared" si="54"/>
        <v>0</v>
      </c>
      <c r="G114" s="977">
        <v>46753</v>
      </c>
      <c r="H114" s="554">
        <f t="shared" si="55"/>
        <v>96345.783999999927</v>
      </c>
      <c r="I114" s="744">
        <f t="shared" si="57"/>
        <v>1481.87</v>
      </c>
      <c r="J114" s="743">
        <v>9109.75</v>
      </c>
      <c r="K114" s="744">
        <v>2132.5500000000002</v>
      </c>
      <c r="L114" s="761">
        <f t="shared" si="52"/>
        <v>109069.95399999993</v>
      </c>
      <c r="M114" s="785"/>
      <c r="N114" s="554"/>
      <c r="O114" s="744"/>
      <c r="P114" s="743"/>
      <c r="Q114" s="744"/>
      <c r="R114" s="743"/>
      <c r="S114" s="745"/>
      <c r="T114" s="743"/>
      <c r="U114" s="791"/>
      <c r="V114" s="761">
        <f t="shared" si="56"/>
        <v>0</v>
      </c>
      <c r="W114" s="983">
        <v>46753</v>
      </c>
    </row>
    <row r="115" spans="4:23" x14ac:dyDescent="0.25">
      <c r="D115" s="9" t="b">
        <f t="shared" si="53"/>
        <v>0</v>
      </c>
      <c r="E115" s="9">
        <f t="shared" si="54"/>
        <v>0</v>
      </c>
      <c r="G115" s="977">
        <v>46784</v>
      </c>
      <c r="H115" s="554">
        <f t="shared" si="55"/>
        <v>95716.072999999931</v>
      </c>
      <c r="I115" s="744">
        <f t="shared" si="57"/>
        <v>1437.37</v>
      </c>
      <c r="J115" s="743">
        <v>8924</v>
      </c>
      <c r="K115" s="744">
        <v>2052.0500000000002</v>
      </c>
      <c r="L115" s="761">
        <f t="shared" si="52"/>
        <v>108129.49299999993</v>
      </c>
      <c r="M115" s="785"/>
      <c r="N115" s="554"/>
      <c r="O115" s="744"/>
      <c r="P115" s="743"/>
      <c r="Q115" s="744"/>
      <c r="R115" s="743"/>
      <c r="S115" s="745"/>
      <c r="T115" s="743"/>
      <c r="U115" s="791"/>
      <c r="V115" s="761">
        <f t="shared" si="56"/>
        <v>0</v>
      </c>
      <c r="W115" s="983">
        <v>46784</v>
      </c>
    </row>
    <row r="116" spans="4:23" x14ac:dyDescent="0.25">
      <c r="D116" s="9" t="b">
        <f t="shared" si="53"/>
        <v>0</v>
      </c>
      <c r="E116" s="9">
        <f t="shared" si="54"/>
        <v>0</v>
      </c>
      <c r="G116" s="977">
        <v>46813</v>
      </c>
      <c r="H116" s="554">
        <f t="shared" si="55"/>
        <v>95086.361999999936</v>
      </c>
      <c r="I116" s="744">
        <f t="shared" si="57"/>
        <v>1392.87</v>
      </c>
      <c r="J116" s="743">
        <v>8738.25</v>
      </c>
      <c r="K116" s="744">
        <v>1971.5500000000002</v>
      </c>
      <c r="L116" s="761">
        <f t="shared" si="52"/>
        <v>107189.03199999993</v>
      </c>
      <c r="M116" s="785"/>
      <c r="N116" s="554"/>
      <c r="O116" s="744"/>
      <c r="P116" s="743"/>
      <c r="Q116" s="744"/>
      <c r="R116" s="743"/>
      <c r="S116" s="745"/>
      <c r="T116" s="743"/>
      <c r="U116" s="791"/>
      <c r="V116" s="761">
        <f t="shared" si="56"/>
        <v>0</v>
      </c>
      <c r="W116" s="983">
        <v>46813</v>
      </c>
    </row>
    <row r="117" spans="4:23" x14ac:dyDescent="0.25">
      <c r="D117" s="9" t="b">
        <f t="shared" si="53"/>
        <v>0</v>
      </c>
      <c r="E117" s="9">
        <f t="shared" si="54"/>
        <v>0</v>
      </c>
      <c r="G117" s="977">
        <v>46844</v>
      </c>
      <c r="H117" s="554">
        <f t="shared" si="55"/>
        <v>94456.65099999994</v>
      </c>
      <c r="I117" s="744">
        <f t="shared" si="57"/>
        <v>1348.37</v>
      </c>
      <c r="J117" s="743">
        <v>8552.5</v>
      </c>
      <c r="K117" s="744">
        <v>1889.0500000000002</v>
      </c>
      <c r="L117" s="761">
        <f t="shared" si="52"/>
        <v>106246.57099999994</v>
      </c>
      <c r="M117" s="785"/>
      <c r="N117" s="554"/>
      <c r="O117" s="744"/>
      <c r="P117" s="743"/>
      <c r="Q117" s="744"/>
      <c r="R117" s="743"/>
      <c r="S117" s="745"/>
      <c r="T117" s="743"/>
      <c r="U117" s="791"/>
      <c r="V117" s="761">
        <f t="shared" si="56"/>
        <v>0</v>
      </c>
      <c r="W117" s="983">
        <v>46844</v>
      </c>
    </row>
    <row r="118" spans="4:23" x14ac:dyDescent="0.25">
      <c r="D118" s="9" t="b">
        <f t="shared" si="53"/>
        <v>0</v>
      </c>
      <c r="E118" s="9">
        <f t="shared" si="54"/>
        <v>0</v>
      </c>
      <c r="G118" s="977">
        <v>46874</v>
      </c>
      <c r="H118" s="554">
        <f t="shared" si="55"/>
        <v>93826.939999999944</v>
      </c>
      <c r="I118" s="744">
        <f t="shared" si="57"/>
        <v>1303.8699999999999</v>
      </c>
      <c r="J118" s="743">
        <v>8364.75</v>
      </c>
      <c r="K118" s="744">
        <v>1808.5500000000002</v>
      </c>
      <c r="L118" s="761">
        <f t="shared" si="52"/>
        <v>105304.10999999994</v>
      </c>
      <c r="M118" s="785"/>
      <c r="N118" s="554"/>
      <c r="O118" s="744"/>
      <c r="P118" s="743"/>
      <c r="Q118" s="744"/>
      <c r="R118" s="743"/>
      <c r="S118" s="745"/>
      <c r="T118" s="743"/>
      <c r="U118" s="791"/>
      <c r="V118" s="761">
        <f t="shared" si="56"/>
        <v>0</v>
      </c>
      <c r="W118" s="983">
        <v>46874</v>
      </c>
    </row>
    <row r="119" spans="4:23" x14ac:dyDescent="0.25">
      <c r="D119" s="9" t="b">
        <f t="shared" si="53"/>
        <v>0</v>
      </c>
      <c r="E119" s="9">
        <f t="shared" si="54"/>
        <v>0</v>
      </c>
      <c r="G119" s="977">
        <v>46905</v>
      </c>
      <c r="H119" s="554">
        <f t="shared" si="55"/>
        <v>93197.228999999948</v>
      </c>
      <c r="I119" s="744">
        <f t="shared" si="57"/>
        <v>1259.3699999999999</v>
      </c>
      <c r="J119" s="743">
        <v>8179</v>
      </c>
      <c r="K119" s="744">
        <v>1728.0500000000002</v>
      </c>
      <c r="L119" s="761">
        <f t="shared" si="52"/>
        <v>104363.64899999995</v>
      </c>
      <c r="M119" s="785"/>
      <c r="N119" s="554"/>
      <c r="O119" s="744"/>
      <c r="P119" s="743"/>
      <c r="Q119" s="744"/>
      <c r="R119" s="743"/>
      <c r="S119" s="745"/>
      <c r="T119" s="743"/>
      <c r="U119" s="791"/>
      <c r="V119" s="761">
        <f t="shared" si="56"/>
        <v>0</v>
      </c>
      <c r="W119" s="983">
        <v>46905</v>
      </c>
    </row>
    <row r="120" spans="4:23" x14ac:dyDescent="0.25">
      <c r="D120" s="9" t="b">
        <f t="shared" si="53"/>
        <v>0</v>
      </c>
      <c r="E120" s="9">
        <f t="shared" si="54"/>
        <v>0</v>
      </c>
      <c r="G120" s="977">
        <v>46935</v>
      </c>
      <c r="H120" s="554">
        <f t="shared" si="55"/>
        <v>92567.517999999953</v>
      </c>
      <c r="I120" s="744">
        <f t="shared" si="57"/>
        <v>1214.8699999999999</v>
      </c>
      <c r="J120" s="743">
        <v>7993.25</v>
      </c>
      <c r="K120" s="744">
        <v>1647.5500000000002</v>
      </c>
      <c r="L120" s="761">
        <f t="shared" si="52"/>
        <v>103423.18799999995</v>
      </c>
      <c r="M120" s="785"/>
      <c r="N120" s="554"/>
      <c r="O120" s="744"/>
      <c r="P120" s="743"/>
      <c r="Q120" s="744"/>
      <c r="R120" s="743"/>
      <c r="S120" s="745"/>
      <c r="T120" s="743"/>
      <c r="U120" s="791"/>
      <c r="V120" s="761">
        <f t="shared" si="56"/>
        <v>0</v>
      </c>
      <c r="W120" s="983">
        <v>46935</v>
      </c>
    </row>
    <row r="121" spans="4:23" x14ac:dyDescent="0.25">
      <c r="D121" s="9" t="b">
        <f t="shared" si="53"/>
        <v>0</v>
      </c>
      <c r="E121" s="9">
        <f t="shared" si="54"/>
        <v>0</v>
      </c>
      <c r="G121" s="977">
        <v>46966</v>
      </c>
      <c r="H121" s="554">
        <f t="shared" si="55"/>
        <v>91937.806999999957</v>
      </c>
      <c r="I121" s="744">
        <f t="shared" si="57"/>
        <v>1170.3699999999999</v>
      </c>
      <c r="J121" s="743">
        <v>7807.5</v>
      </c>
      <c r="K121" s="744">
        <v>1567.0500000000002</v>
      </c>
      <c r="L121" s="761">
        <f t="shared" si="52"/>
        <v>102482.72699999996</v>
      </c>
      <c r="M121" s="785"/>
      <c r="N121" s="554"/>
      <c r="O121" s="744"/>
      <c r="P121" s="743"/>
      <c r="Q121" s="744"/>
      <c r="R121" s="743"/>
      <c r="S121" s="745"/>
      <c r="T121" s="743"/>
      <c r="U121" s="791"/>
      <c r="V121" s="761">
        <f t="shared" si="56"/>
        <v>0</v>
      </c>
      <c r="W121" s="983">
        <v>46966</v>
      </c>
    </row>
    <row r="122" spans="4:23" x14ac:dyDescent="0.25">
      <c r="D122" s="9" t="b">
        <f t="shared" si="53"/>
        <v>0</v>
      </c>
      <c r="E122" s="9">
        <f t="shared" si="54"/>
        <v>0</v>
      </c>
      <c r="G122" s="977">
        <v>46997</v>
      </c>
      <c r="H122" s="554">
        <f t="shared" si="55"/>
        <v>91308.095999999961</v>
      </c>
      <c r="I122" s="744">
        <f t="shared" si="57"/>
        <v>1125.8699999999999</v>
      </c>
      <c r="J122" s="743">
        <v>7621.75</v>
      </c>
      <c r="K122" s="744">
        <v>1486.5500000000002</v>
      </c>
      <c r="L122" s="761">
        <f t="shared" si="52"/>
        <v>101542.26599999996</v>
      </c>
      <c r="M122" s="785"/>
      <c r="N122" s="554"/>
      <c r="O122" s="744"/>
      <c r="P122" s="743"/>
      <c r="Q122" s="744"/>
      <c r="R122" s="743"/>
      <c r="S122" s="745"/>
      <c r="T122" s="743"/>
      <c r="U122" s="791"/>
      <c r="V122" s="761">
        <f t="shared" si="56"/>
        <v>0</v>
      </c>
      <c r="W122" s="983">
        <v>46997</v>
      </c>
    </row>
    <row r="123" spans="4:23" x14ac:dyDescent="0.25">
      <c r="D123" s="9" t="b">
        <f t="shared" si="53"/>
        <v>0</v>
      </c>
      <c r="E123" s="9">
        <f t="shared" si="54"/>
        <v>0</v>
      </c>
      <c r="G123" s="977">
        <v>47027</v>
      </c>
      <c r="H123" s="554">
        <f t="shared" si="55"/>
        <v>90678.384999999966</v>
      </c>
      <c r="I123" s="744">
        <f t="shared" si="57"/>
        <v>1081.3699999999999</v>
      </c>
      <c r="J123" s="743">
        <v>7436</v>
      </c>
      <c r="K123" s="744">
        <v>1406.0500000000002</v>
      </c>
      <c r="L123" s="761">
        <f t="shared" si="52"/>
        <v>100601.80499999996</v>
      </c>
      <c r="M123" s="785"/>
      <c r="N123" s="554"/>
      <c r="O123" s="744"/>
      <c r="P123" s="743"/>
      <c r="Q123" s="744"/>
      <c r="R123" s="743"/>
      <c r="S123" s="745"/>
      <c r="T123" s="743"/>
      <c r="U123" s="791"/>
      <c r="V123" s="761">
        <f t="shared" si="56"/>
        <v>0</v>
      </c>
      <c r="W123" s="983">
        <v>47027</v>
      </c>
    </row>
    <row r="124" spans="4:23" x14ac:dyDescent="0.25">
      <c r="D124" s="9" t="b">
        <f t="shared" si="53"/>
        <v>0</v>
      </c>
      <c r="E124" s="9">
        <f t="shared" si="54"/>
        <v>0</v>
      </c>
      <c r="G124" s="977">
        <v>47058</v>
      </c>
      <c r="H124" s="554">
        <f t="shared" si="55"/>
        <v>90048.67399999997</v>
      </c>
      <c r="I124" s="744">
        <f t="shared" si="57"/>
        <v>1036.8699999999999</v>
      </c>
      <c r="J124" s="743">
        <v>7250.25</v>
      </c>
      <c r="K124" s="744">
        <v>1325.5500000000002</v>
      </c>
      <c r="L124" s="761">
        <f t="shared" si="52"/>
        <v>99661.343999999968</v>
      </c>
      <c r="M124" s="785"/>
      <c r="N124" s="554"/>
      <c r="O124" s="744"/>
      <c r="P124" s="743"/>
      <c r="Q124" s="744"/>
      <c r="R124" s="743"/>
      <c r="S124" s="745"/>
      <c r="T124" s="743"/>
      <c r="U124" s="791"/>
      <c r="V124" s="761">
        <f t="shared" si="56"/>
        <v>0</v>
      </c>
      <c r="W124" s="983">
        <v>47058</v>
      </c>
    </row>
    <row r="125" spans="4:23" x14ac:dyDescent="0.25">
      <c r="D125" s="9" t="b">
        <f t="shared" si="53"/>
        <v>0</v>
      </c>
      <c r="E125" s="9">
        <f t="shared" si="54"/>
        <v>0</v>
      </c>
      <c r="G125" s="977">
        <v>47088</v>
      </c>
      <c r="H125" s="554">
        <f t="shared" si="55"/>
        <v>89418.962999999974</v>
      </c>
      <c r="I125" s="744">
        <f t="shared" si="57"/>
        <v>992.36999999999989</v>
      </c>
      <c r="J125" s="743">
        <v>7064.5</v>
      </c>
      <c r="K125" s="744">
        <v>1245.0500000000002</v>
      </c>
      <c r="L125" s="761">
        <f t="shared" si="52"/>
        <v>98720.882999999973</v>
      </c>
      <c r="M125" s="785"/>
      <c r="N125" s="554"/>
      <c r="O125" s="744"/>
      <c r="P125" s="743"/>
      <c r="Q125" s="744"/>
      <c r="R125" s="743"/>
      <c r="S125" s="745"/>
      <c r="T125" s="743"/>
      <c r="U125" s="791"/>
      <c r="V125" s="761">
        <f t="shared" si="56"/>
        <v>0</v>
      </c>
      <c r="W125" s="983">
        <v>47088</v>
      </c>
    </row>
    <row r="126" spans="4:23" x14ac:dyDescent="0.25">
      <c r="D126" s="9" t="b">
        <f t="shared" si="53"/>
        <v>0</v>
      </c>
      <c r="E126" s="9">
        <f t="shared" si="54"/>
        <v>0</v>
      </c>
      <c r="G126" s="977">
        <v>47119</v>
      </c>
      <c r="H126" s="554">
        <f t="shared" si="55"/>
        <v>88789.251999999979</v>
      </c>
      <c r="I126" s="744">
        <f t="shared" si="57"/>
        <v>947.86999999999989</v>
      </c>
      <c r="J126" s="743">
        <v>6878.75</v>
      </c>
      <c r="K126" s="744">
        <v>1164.5500000000002</v>
      </c>
      <c r="L126" s="761">
        <f t="shared" si="52"/>
        <v>97780.421999999977</v>
      </c>
      <c r="M126" s="785"/>
      <c r="N126" s="554"/>
      <c r="O126" s="744"/>
      <c r="P126" s="743"/>
      <c r="Q126" s="744"/>
      <c r="R126" s="743"/>
      <c r="S126" s="745"/>
      <c r="T126" s="743"/>
      <c r="U126" s="791"/>
      <c r="V126" s="761">
        <f t="shared" si="56"/>
        <v>0</v>
      </c>
      <c r="W126" s="983">
        <v>47119</v>
      </c>
    </row>
    <row r="127" spans="4:23" x14ac:dyDescent="0.25">
      <c r="D127" s="9" t="b">
        <f t="shared" si="53"/>
        <v>0</v>
      </c>
      <c r="E127" s="9">
        <f t="shared" si="54"/>
        <v>0</v>
      </c>
      <c r="G127" s="977">
        <v>47150</v>
      </c>
      <c r="H127" s="554">
        <f t="shared" si="55"/>
        <v>88159.540999999983</v>
      </c>
      <c r="I127" s="744">
        <f t="shared" ref="I127:I147" si="58">I126-$I$7</f>
        <v>903.36999999999989</v>
      </c>
      <c r="J127" s="743">
        <v>6693</v>
      </c>
      <c r="K127" s="744">
        <v>1084.0500000000002</v>
      </c>
      <c r="L127" s="761">
        <f t="shared" si="52"/>
        <v>96839.960999999981</v>
      </c>
      <c r="M127" s="785"/>
      <c r="N127" s="554"/>
      <c r="O127" s="744"/>
      <c r="P127" s="743"/>
      <c r="Q127" s="744"/>
      <c r="R127" s="743"/>
      <c r="S127" s="745"/>
      <c r="T127" s="743"/>
      <c r="U127" s="791"/>
      <c r="V127" s="761">
        <f t="shared" si="56"/>
        <v>0</v>
      </c>
      <c r="W127" s="983">
        <v>47150</v>
      </c>
    </row>
    <row r="128" spans="4:23" x14ac:dyDescent="0.25">
      <c r="D128" s="9" t="b">
        <f t="shared" si="53"/>
        <v>0</v>
      </c>
      <c r="E128" s="9">
        <f t="shared" si="54"/>
        <v>0</v>
      </c>
      <c r="G128" s="977">
        <v>47178</v>
      </c>
      <c r="H128" s="554">
        <f t="shared" si="55"/>
        <v>87529.829999999987</v>
      </c>
      <c r="I128" s="744">
        <f t="shared" si="58"/>
        <v>858.86999999999989</v>
      </c>
      <c r="J128" s="743">
        <v>6507.25</v>
      </c>
      <c r="K128" s="744">
        <v>1003.5500000000002</v>
      </c>
      <c r="L128" s="761">
        <f t="shared" si="52"/>
        <v>95899.499999999985</v>
      </c>
      <c r="M128" s="785"/>
      <c r="N128" s="554"/>
      <c r="O128" s="744"/>
      <c r="P128" s="743"/>
      <c r="Q128" s="744"/>
      <c r="R128" s="743"/>
      <c r="S128" s="745"/>
      <c r="T128" s="743"/>
      <c r="U128" s="791"/>
      <c r="V128" s="761">
        <f t="shared" si="56"/>
        <v>0</v>
      </c>
      <c r="W128" s="983">
        <v>47178</v>
      </c>
    </row>
    <row r="129" spans="4:23" x14ac:dyDescent="0.25">
      <c r="D129" s="9" t="b">
        <f t="shared" si="53"/>
        <v>0</v>
      </c>
      <c r="E129" s="9">
        <f t="shared" si="54"/>
        <v>0</v>
      </c>
      <c r="G129" s="977">
        <v>47209</v>
      </c>
      <c r="H129" s="554">
        <f t="shared" si="55"/>
        <v>86900.118999999992</v>
      </c>
      <c r="I129" s="744">
        <f t="shared" si="58"/>
        <v>814.36999999999989</v>
      </c>
      <c r="J129" s="743">
        <v>6321.5</v>
      </c>
      <c r="K129" s="744">
        <v>921.05000000000018</v>
      </c>
      <c r="L129" s="761">
        <f t="shared" si="52"/>
        <v>94957.03899999999</v>
      </c>
      <c r="M129" s="785"/>
      <c r="N129" s="554"/>
      <c r="O129" s="744"/>
      <c r="P129" s="743"/>
      <c r="Q129" s="744"/>
      <c r="R129" s="743"/>
      <c r="S129" s="745"/>
      <c r="T129" s="743"/>
      <c r="U129" s="791"/>
      <c r="V129" s="761">
        <f t="shared" si="56"/>
        <v>0</v>
      </c>
      <c r="W129" s="983">
        <v>47209</v>
      </c>
    </row>
    <row r="130" spans="4:23" x14ac:dyDescent="0.25">
      <c r="D130" s="9" t="b">
        <f t="shared" si="53"/>
        <v>0</v>
      </c>
      <c r="E130" s="9">
        <f t="shared" si="54"/>
        <v>0</v>
      </c>
      <c r="G130" s="977">
        <v>47239</v>
      </c>
      <c r="H130" s="554">
        <f t="shared" si="55"/>
        <v>86270.407999999996</v>
      </c>
      <c r="I130" s="744">
        <f t="shared" si="58"/>
        <v>769.86999999999989</v>
      </c>
      <c r="J130" s="743">
        <v>6133.75</v>
      </c>
      <c r="K130" s="744">
        <v>840.55000000000018</v>
      </c>
      <c r="L130" s="761">
        <f t="shared" si="52"/>
        <v>94014.577999999994</v>
      </c>
      <c r="M130" s="785"/>
      <c r="N130" s="554"/>
      <c r="O130" s="744"/>
      <c r="P130" s="743"/>
      <c r="Q130" s="744"/>
      <c r="R130" s="743"/>
      <c r="S130" s="745"/>
      <c r="T130" s="743"/>
      <c r="U130" s="791"/>
      <c r="V130" s="761">
        <f t="shared" si="56"/>
        <v>0</v>
      </c>
      <c r="W130" s="983">
        <v>47239</v>
      </c>
    </row>
    <row r="131" spans="4:23" x14ac:dyDescent="0.25">
      <c r="D131" s="9" t="b">
        <f t="shared" si="53"/>
        <v>0</v>
      </c>
      <c r="E131" s="9">
        <f t="shared" si="54"/>
        <v>0</v>
      </c>
      <c r="G131" s="977">
        <v>47270</v>
      </c>
      <c r="H131" s="554">
        <f t="shared" si="55"/>
        <v>85640.697</v>
      </c>
      <c r="I131" s="744">
        <f t="shared" si="58"/>
        <v>725.36999999999989</v>
      </c>
      <c r="J131" s="743">
        <v>5948</v>
      </c>
      <c r="K131" s="744">
        <v>760.05000000000018</v>
      </c>
      <c r="L131" s="761">
        <f t="shared" si="52"/>
        <v>93074.116999999998</v>
      </c>
      <c r="M131" s="785"/>
      <c r="N131" s="554"/>
      <c r="O131" s="744"/>
      <c r="P131" s="743"/>
      <c r="Q131" s="744"/>
      <c r="R131" s="743"/>
      <c r="S131" s="745"/>
      <c r="T131" s="743"/>
      <c r="U131" s="791"/>
      <c r="V131" s="761">
        <f t="shared" si="56"/>
        <v>0</v>
      </c>
      <c r="W131" s="983">
        <v>47270</v>
      </c>
    </row>
    <row r="132" spans="4:23" x14ac:dyDescent="0.25">
      <c r="D132" s="9" t="b">
        <f t="shared" si="53"/>
        <v>0</v>
      </c>
      <c r="E132" s="9">
        <f t="shared" si="54"/>
        <v>0</v>
      </c>
      <c r="G132" s="977">
        <v>47300</v>
      </c>
      <c r="H132" s="554">
        <f t="shared" si="55"/>
        <v>85010.986000000004</v>
      </c>
      <c r="I132" s="744">
        <f t="shared" si="58"/>
        <v>680.86999999999989</v>
      </c>
      <c r="J132" s="743">
        <v>5762.25</v>
      </c>
      <c r="K132" s="744">
        <v>679.55000000000018</v>
      </c>
      <c r="L132" s="761">
        <f t="shared" si="52"/>
        <v>92133.656000000003</v>
      </c>
      <c r="M132" s="785"/>
      <c r="N132" s="554"/>
      <c r="O132" s="744"/>
      <c r="P132" s="743"/>
      <c r="Q132" s="744"/>
      <c r="R132" s="743"/>
      <c r="S132" s="745"/>
      <c r="T132" s="743"/>
      <c r="U132" s="791"/>
      <c r="V132" s="761">
        <f t="shared" si="56"/>
        <v>0</v>
      </c>
      <c r="W132" s="983">
        <v>47300</v>
      </c>
    </row>
    <row r="133" spans="4:23" x14ac:dyDescent="0.25">
      <c r="D133" s="9" t="b">
        <f t="shared" si="53"/>
        <v>0</v>
      </c>
      <c r="E133" s="9">
        <f t="shared" si="54"/>
        <v>0</v>
      </c>
      <c r="G133" s="977">
        <v>47331</v>
      </c>
      <c r="H133" s="554">
        <f t="shared" si="55"/>
        <v>84381.275000000009</v>
      </c>
      <c r="I133" s="744">
        <f t="shared" si="58"/>
        <v>636.36999999999989</v>
      </c>
      <c r="J133" s="743">
        <v>5576.5</v>
      </c>
      <c r="K133" s="744">
        <v>599.05000000000018</v>
      </c>
      <c r="L133" s="761">
        <f t="shared" si="52"/>
        <v>91193.195000000007</v>
      </c>
      <c r="M133" s="785"/>
      <c r="N133" s="554"/>
      <c r="O133" s="744"/>
      <c r="P133" s="743"/>
      <c r="Q133" s="744"/>
      <c r="R133" s="743"/>
      <c r="S133" s="745"/>
      <c r="T133" s="743"/>
      <c r="U133" s="791"/>
      <c r="V133" s="761">
        <f t="shared" si="56"/>
        <v>0</v>
      </c>
      <c r="W133" s="983">
        <v>47331</v>
      </c>
    </row>
    <row r="134" spans="4:23" x14ac:dyDescent="0.25">
      <c r="D134" s="9" t="b">
        <f t="shared" si="53"/>
        <v>0</v>
      </c>
      <c r="E134" s="9">
        <f t="shared" si="54"/>
        <v>0</v>
      </c>
      <c r="G134" s="977">
        <v>47362</v>
      </c>
      <c r="H134" s="554">
        <f t="shared" si="55"/>
        <v>83751.564000000013</v>
      </c>
      <c r="I134" s="744">
        <f t="shared" si="58"/>
        <v>591.86999999999989</v>
      </c>
      <c r="J134" s="743">
        <v>5390.75</v>
      </c>
      <c r="K134" s="744">
        <v>518.55000000000018</v>
      </c>
      <c r="L134" s="761">
        <f t="shared" si="52"/>
        <v>90252.734000000011</v>
      </c>
      <c r="M134" s="785"/>
      <c r="N134" s="554"/>
      <c r="O134" s="744"/>
      <c r="P134" s="743"/>
      <c r="Q134" s="744"/>
      <c r="R134" s="743"/>
      <c r="S134" s="745"/>
      <c r="T134" s="743"/>
      <c r="U134" s="791"/>
      <c r="V134" s="761">
        <f t="shared" si="56"/>
        <v>0</v>
      </c>
      <c r="W134" s="983">
        <v>47362</v>
      </c>
    </row>
    <row r="135" spans="4:23" x14ac:dyDescent="0.25">
      <c r="D135" s="9" t="b">
        <f t="shared" si="53"/>
        <v>0</v>
      </c>
      <c r="E135" s="9">
        <f t="shared" si="54"/>
        <v>0</v>
      </c>
      <c r="G135" s="977">
        <v>47392</v>
      </c>
      <c r="H135" s="554">
        <f t="shared" si="55"/>
        <v>83121.853000000017</v>
      </c>
      <c r="I135" s="744">
        <f t="shared" si="58"/>
        <v>547.36999999999989</v>
      </c>
      <c r="J135" s="743">
        <v>5205</v>
      </c>
      <c r="K135" s="744">
        <v>438.05000000000018</v>
      </c>
      <c r="L135" s="761">
        <f t="shared" si="52"/>
        <v>89312.273000000016</v>
      </c>
      <c r="M135" s="785"/>
      <c r="N135" s="554"/>
      <c r="O135" s="744"/>
      <c r="P135" s="743"/>
      <c r="Q135" s="744"/>
      <c r="R135" s="743"/>
      <c r="S135" s="745"/>
      <c r="T135" s="743"/>
      <c r="U135" s="791"/>
      <c r="V135" s="761">
        <f t="shared" si="56"/>
        <v>0</v>
      </c>
      <c r="W135" s="983">
        <v>47392</v>
      </c>
    </row>
    <row r="136" spans="4:23" x14ac:dyDescent="0.25">
      <c r="D136" s="9" t="b">
        <f t="shared" si="53"/>
        <v>0</v>
      </c>
      <c r="E136" s="9">
        <f t="shared" si="54"/>
        <v>0</v>
      </c>
      <c r="G136" s="977">
        <v>47423</v>
      </c>
      <c r="H136" s="554">
        <f t="shared" si="55"/>
        <v>82492.142000000022</v>
      </c>
      <c r="I136" s="744">
        <f t="shared" si="58"/>
        <v>502.86999999999989</v>
      </c>
      <c r="J136" s="743">
        <v>5019.25</v>
      </c>
      <c r="K136" s="744">
        <v>357.55000000000018</v>
      </c>
      <c r="L136" s="761">
        <f t="shared" si="52"/>
        <v>88371.81200000002</v>
      </c>
      <c r="M136" s="785"/>
      <c r="N136" s="554"/>
      <c r="O136" s="744"/>
      <c r="P136" s="743"/>
      <c r="Q136" s="744"/>
      <c r="R136" s="743"/>
      <c r="S136" s="745"/>
      <c r="T136" s="743"/>
      <c r="U136" s="791"/>
      <c r="V136" s="761">
        <f t="shared" si="56"/>
        <v>0</v>
      </c>
      <c r="W136" s="983">
        <v>47423</v>
      </c>
    </row>
    <row r="137" spans="4:23" x14ac:dyDescent="0.25">
      <c r="D137" s="9" t="b">
        <f t="shared" si="53"/>
        <v>0</v>
      </c>
      <c r="E137" s="9">
        <f t="shared" si="54"/>
        <v>0</v>
      </c>
      <c r="G137" s="977">
        <v>47453</v>
      </c>
      <c r="H137" s="554">
        <f t="shared" si="55"/>
        <v>81862.431000000026</v>
      </c>
      <c r="I137" s="744">
        <f t="shared" si="58"/>
        <v>458.36999999999989</v>
      </c>
      <c r="J137" s="743">
        <v>4833.5</v>
      </c>
      <c r="K137" s="744">
        <v>277.05000000000018</v>
      </c>
      <c r="L137" s="761">
        <f t="shared" si="52"/>
        <v>87431.351000000024</v>
      </c>
      <c r="M137" s="785"/>
      <c r="N137" s="554"/>
      <c r="O137" s="744"/>
      <c r="P137" s="743"/>
      <c r="Q137" s="744"/>
      <c r="R137" s="743"/>
      <c r="S137" s="745"/>
      <c r="T137" s="743"/>
      <c r="U137" s="791"/>
      <c r="V137" s="761">
        <f t="shared" si="56"/>
        <v>0</v>
      </c>
      <c r="W137" s="983">
        <v>47453</v>
      </c>
    </row>
    <row r="138" spans="4:23" x14ac:dyDescent="0.25">
      <c r="D138" s="9" t="b">
        <f t="shared" si="53"/>
        <v>0</v>
      </c>
      <c r="E138" s="9">
        <f t="shared" si="54"/>
        <v>0</v>
      </c>
      <c r="G138" s="977">
        <v>47484</v>
      </c>
      <c r="H138" s="554">
        <f t="shared" si="55"/>
        <v>81232.72000000003</v>
      </c>
      <c r="I138" s="744">
        <f t="shared" si="58"/>
        <v>413.86999999999989</v>
      </c>
      <c r="J138" s="743">
        <v>4647.75</v>
      </c>
      <c r="K138" s="744">
        <v>196.55000000000018</v>
      </c>
      <c r="L138" s="761">
        <f t="shared" si="52"/>
        <v>86490.890000000029</v>
      </c>
      <c r="M138" s="785"/>
      <c r="N138" s="554"/>
      <c r="O138" s="744"/>
      <c r="P138" s="743"/>
      <c r="Q138" s="744"/>
      <c r="R138" s="743"/>
      <c r="S138" s="745"/>
      <c r="T138" s="743"/>
      <c r="U138" s="791"/>
      <c r="V138" s="761">
        <f t="shared" si="56"/>
        <v>0</v>
      </c>
      <c r="W138" s="983">
        <v>47484</v>
      </c>
    </row>
    <row r="139" spans="4:23" x14ac:dyDescent="0.25">
      <c r="D139" s="9" t="b">
        <f t="shared" si="53"/>
        <v>0</v>
      </c>
      <c r="E139" s="9">
        <f t="shared" si="54"/>
        <v>0</v>
      </c>
      <c r="G139" s="977">
        <v>47515</v>
      </c>
      <c r="H139" s="554">
        <f t="shared" si="55"/>
        <v>80603.009000000035</v>
      </c>
      <c r="I139" s="744">
        <f t="shared" si="58"/>
        <v>369.36999999999989</v>
      </c>
      <c r="J139" s="743">
        <v>4462</v>
      </c>
      <c r="K139" s="744">
        <v>116.05000000000018</v>
      </c>
      <c r="L139" s="761">
        <f t="shared" si="52"/>
        <v>85550.429000000033</v>
      </c>
      <c r="M139" s="785"/>
      <c r="N139" s="554"/>
      <c r="O139" s="744"/>
      <c r="P139" s="743"/>
      <c r="Q139" s="744"/>
      <c r="R139" s="743"/>
      <c r="S139" s="745"/>
      <c r="T139" s="743"/>
      <c r="U139" s="791"/>
      <c r="V139" s="761">
        <f t="shared" si="56"/>
        <v>0</v>
      </c>
      <c r="W139" s="983">
        <v>47515</v>
      </c>
    </row>
    <row r="140" spans="4:23" x14ac:dyDescent="0.25">
      <c r="D140" s="9" t="b">
        <f t="shared" si="53"/>
        <v>0</v>
      </c>
      <c r="E140" s="9">
        <f t="shared" si="54"/>
        <v>0</v>
      </c>
      <c r="G140" s="977">
        <v>47543</v>
      </c>
      <c r="H140" s="554">
        <f t="shared" si="55"/>
        <v>79973.298000000039</v>
      </c>
      <c r="I140" s="744">
        <f t="shared" si="58"/>
        <v>324.86999999999989</v>
      </c>
      <c r="J140" s="743">
        <v>4276.25</v>
      </c>
      <c r="K140" s="744">
        <v>33.550000000000182</v>
      </c>
      <c r="L140" s="761">
        <f t="shared" si="52"/>
        <v>84607.968000000037</v>
      </c>
      <c r="M140" s="785"/>
      <c r="N140" s="554"/>
      <c r="O140" s="744"/>
      <c r="P140" s="743"/>
      <c r="Q140" s="744"/>
      <c r="R140" s="743"/>
      <c r="S140" s="745"/>
      <c r="T140" s="743"/>
      <c r="U140" s="791"/>
      <c r="V140" s="761">
        <f t="shared" si="56"/>
        <v>0</v>
      </c>
      <c r="W140" s="983">
        <v>47543</v>
      </c>
    </row>
    <row r="141" spans="4:23" x14ac:dyDescent="0.25">
      <c r="D141" s="9" t="b">
        <f t="shared" si="53"/>
        <v>0</v>
      </c>
      <c r="E141" s="9">
        <f t="shared" si="54"/>
        <v>0</v>
      </c>
      <c r="G141" s="977">
        <v>47574</v>
      </c>
      <c r="H141" s="554">
        <f t="shared" si="55"/>
        <v>79343.587000000043</v>
      </c>
      <c r="I141" s="744">
        <f t="shared" si="58"/>
        <v>280.36999999999989</v>
      </c>
      <c r="J141" s="743">
        <v>4090.5</v>
      </c>
      <c r="K141" s="744"/>
      <c r="L141" s="761">
        <f t="shared" si="52"/>
        <v>83714.457000000039</v>
      </c>
      <c r="M141" s="785"/>
      <c r="N141" s="554"/>
      <c r="O141" s="744"/>
      <c r="P141" s="743"/>
      <c r="Q141" s="744"/>
      <c r="R141" s="743"/>
      <c r="S141" s="745"/>
      <c r="T141" s="743"/>
      <c r="U141" s="791"/>
      <c r="V141" s="761">
        <f t="shared" si="56"/>
        <v>0</v>
      </c>
      <c r="W141" s="983">
        <v>47574</v>
      </c>
    </row>
    <row r="142" spans="4:23" x14ac:dyDescent="0.25">
      <c r="D142" s="9" t="b">
        <f t="shared" si="53"/>
        <v>0</v>
      </c>
      <c r="E142" s="9">
        <f t="shared" si="54"/>
        <v>0</v>
      </c>
      <c r="G142" s="977">
        <v>47604</v>
      </c>
      <c r="H142" s="554">
        <f t="shared" si="55"/>
        <v>78713.876000000047</v>
      </c>
      <c r="I142" s="744">
        <f t="shared" si="58"/>
        <v>235.86999999999989</v>
      </c>
      <c r="J142" s="743">
        <v>3902.75</v>
      </c>
      <c r="K142" s="744"/>
      <c r="L142" s="761">
        <f t="shared" si="52"/>
        <v>82852.496000000043</v>
      </c>
      <c r="M142" s="785"/>
      <c r="N142" s="554"/>
      <c r="O142" s="744"/>
      <c r="P142" s="743"/>
      <c r="Q142" s="744"/>
      <c r="R142" s="743"/>
      <c r="S142" s="745"/>
      <c r="T142" s="743"/>
      <c r="U142" s="791"/>
      <c r="V142" s="761">
        <f t="shared" si="56"/>
        <v>0</v>
      </c>
      <c r="W142" s="983">
        <v>47604</v>
      </c>
    </row>
    <row r="143" spans="4:23" x14ac:dyDescent="0.25">
      <c r="D143" s="9" t="b">
        <f t="shared" si="53"/>
        <v>0</v>
      </c>
      <c r="E143" s="9">
        <f t="shared" si="54"/>
        <v>0</v>
      </c>
      <c r="G143" s="977">
        <v>47635</v>
      </c>
      <c r="H143" s="554">
        <f t="shared" si="55"/>
        <v>78084.165000000052</v>
      </c>
      <c r="I143" s="744">
        <f t="shared" si="58"/>
        <v>191.36999999999989</v>
      </c>
      <c r="J143" s="743">
        <v>3717</v>
      </c>
      <c r="K143" s="744"/>
      <c r="L143" s="761">
        <f t="shared" si="52"/>
        <v>81992.535000000047</v>
      </c>
      <c r="M143" s="785"/>
      <c r="N143" s="554"/>
      <c r="O143" s="744"/>
      <c r="P143" s="743"/>
      <c r="Q143" s="744"/>
      <c r="R143" s="743"/>
      <c r="S143" s="745"/>
      <c r="T143" s="743"/>
      <c r="U143" s="791"/>
      <c r="V143" s="761">
        <f t="shared" si="56"/>
        <v>0</v>
      </c>
      <c r="W143" s="983">
        <v>47635</v>
      </c>
    </row>
    <row r="144" spans="4:23" x14ac:dyDescent="0.25">
      <c r="D144" s="9" t="b">
        <f t="shared" si="53"/>
        <v>0</v>
      </c>
      <c r="E144" s="9">
        <f t="shared" si="54"/>
        <v>0</v>
      </c>
      <c r="G144" s="977">
        <v>47665</v>
      </c>
      <c r="H144" s="554">
        <f t="shared" si="55"/>
        <v>77454.454000000056</v>
      </c>
      <c r="I144" s="744">
        <f t="shared" si="58"/>
        <v>146.86999999999989</v>
      </c>
      <c r="J144" s="743">
        <v>3531.25</v>
      </c>
      <c r="K144" s="744"/>
      <c r="L144" s="761">
        <f t="shared" si="52"/>
        <v>81132.574000000051</v>
      </c>
      <c r="M144" s="785"/>
      <c r="N144" s="554"/>
      <c r="O144" s="744"/>
      <c r="P144" s="743"/>
      <c r="Q144" s="744"/>
      <c r="R144" s="743"/>
      <c r="S144" s="745"/>
      <c r="T144" s="743"/>
      <c r="U144" s="791"/>
      <c r="V144" s="761">
        <f t="shared" si="56"/>
        <v>0</v>
      </c>
      <c r="W144" s="983">
        <v>47665</v>
      </c>
    </row>
    <row r="145" spans="4:23" x14ac:dyDescent="0.25">
      <c r="D145" s="9" t="b">
        <f t="shared" si="53"/>
        <v>0</v>
      </c>
      <c r="E145" s="9">
        <f t="shared" si="54"/>
        <v>0</v>
      </c>
      <c r="G145" s="977">
        <v>47696</v>
      </c>
      <c r="H145" s="554">
        <f t="shared" si="55"/>
        <v>76824.74300000006</v>
      </c>
      <c r="I145" s="744">
        <f t="shared" si="58"/>
        <v>102.36999999999989</v>
      </c>
      <c r="J145" s="743">
        <v>3345.5</v>
      </c>
      <c r="K145" s="744"/>
      <c r="L145" s="761">
        <f t="shared" si="52"/>
        <v>80272.613000000056</v>
      </c>
      <c r="M145" s="785"/>
      <c r="N145" s="554"/>
      <c r="O145" s="744"/>
      <c r="P145" s="743"/>
      <c r="Q145" s="744"/>
      <c r="R145" s="743"/>
      <c r="S145" s="745"/>
      <c r="T145" s="743"/>
      <c r="U145" s="791"/>
      <c r="V145" s="761">
        <f t="shared" si="56"/>
        <v>0</v>
      </c>
      <c r="W145" s="983">
        <v>47696</v>
      </c>
    </row>
    <row r="146" spans="4:23" x14ac:dyDescent="0.25">
      <c r="D146" s="9" t="b">
        <f t="shared" si="53"/>
        <v>0</v>
      </c>
      <c r="E146" s="9">
        <f t="shared" si="54"/>
        <v>0</v>
      </c>
      <c r="G146" s="977">
        <v>47727</v>
      </c>
      <c r="H146" s="554">
        <f t="shared" si="55"/>
        <v>76195.032000000065</v>
      </c>
      <c r="I146" s="744">
        <f t="shared" si="58"/>
        <v>57.869999999999891</v>
      </c>
      <c r="J146" s="743">
        <v>3159.75</v>
      </c>
      <c r="K146" s="744"/>
      <c r="L146" s="761">
        <f t="shared" si="52"/>
        <v>79412.65200000006</v>
      </c>
      <c r="M146" s="785"/>
      <c r="N146" s="554"/>
      <c r="O146" s="744"/>
      <c r="P146" s="743"/>
      <c r="Q146" s="744"/>
      <c r="R146" s="743"/>
      <c r="S146" s="745"/>
      <c r="T146" s="743"/>
      <c r="U146" s="791"/>
      <c r="V146" s="761">
        <f t="shared" si="56"/>
        <v>0</v>
      </c>
      <c r="W146" s="983">
        <v>47727</v>
      </c>
    </row>
    <row r="147" spans="4:23" x14ac:dyDescent="0.25">
      <c r="D147" s="9" t="b">
        <f t="shared" si="53"/>
        <v>0</v>
      </c>
      <c r="E147" s="9">
        <f t="shared" si="54"/>
        <v>0</v>
      </c>
      <c r="G147" s="977">
        <v>47757</v>
      </c>
      <c r="H147" s="554">
        <f t="shared" si="55"/>
        <v>75565.321000000069</v>
      </c>
      <c r="I147" s="744">
        <f t="shared" si="58"/>
        <v>13.369999999999891</v>
      </c>
      <c r="J147" s="743">
        <v>2974</v>
      </c>
      <c r="K147" s="744"/>
      <c r="L147" s="761">
        <f t="shared" si="52"/>
        <v>78552.691000000064</v>
      </c>
      <c r="M147" s="785"/>
      <c r="N147" s="554"/>
      <c r="O147" s="744"/>
      <c r="P147" s="743"/>
      <c r="Q147" s="744"/>
      <c r="R147" s="743"/>
      <c r="S147" s="745"/>
      <c r="T147" s="743"/>
      <c r="U147" s="791"/>
      <c r="V147" s="761">
        <f t="shared" si="56"/>
        <v>0</v>
      </c>
      <c r="W147" s="983">
        <v>47757</v>
      </c>
    </row>
    <row r="148" spans="4:23" x14ac:dyDescent="0.25">
      <c r="D148" s="9" t="b">
        <f t="shared" si="53"/>
        <v>0</v>
      </c>
      <c r="E148" s="9">
        <f t="shared" si="54"/>
        <v>0</v>
      </c>
      <c r="G148" s="977">
        <v>47788</v>
      </c>
      <c r="H148" s="554">
        <f t="shared" si="55"/>
        <v>74935.610000000073</v>
      </c>
      <c r="I148" s="744"/>
      <c r="J148" s="743">
        <v>2788.25</v>
      </c>
      <c r="K148" s="744"/>
      <c r="L148" s="761">
        <f t="shared" si="52"/>
        <v>77723.860000000073</v>
      </c>
      <c r="M148" s="785"/>
      <c r="N148" s="554"/>
      <c r="O148" s="744"/>
      <c r="P148" s="743"/>
      <c r="Q148" s="744"/>
      <c r="R148" s="743"/>
      <c r="S148" s="745"/>
      <c r="T148" s="743"/>
      <c r="U148" s="791"/>
      <c r="V148" s="761">
        <f t="shared" si="56"/>
        <v>0</v>
      </c>
      <c r="W148" s="983">
        <v>47788</v>
      </c>
    </row>
    <row r="149" spans="4:23" x14ac:dyDescent="0.25">
      <c r="D149" s="9" t="b">
        <f t="shared" si="53"/>
        <v>0</v>
      </c>
      <c r="E149" s="9">
        <f t="shared" si="54"/>
        <v>0</v>
      </c>
      <c r="G149" s="977">
        <v>47818</v>
      </c>
      <c r="H149" s="554">
        <f t="shared" si="55"/>
        <v>74305.899000000078</v>
      </c>
      <c r="I149" s="744"/>
      <c r="J149" s="743">
        <v>2602.5</v>
      </c>
      <c r="K149" s="744"/>
      <c r="L149" s="761">
        <f t="shared" si="52"/>
        <v>76908.399000000078</v>
      </c>
      <c r="M149" s="785"/>
      <c r="N149" s="554"/>
      <c r="O149" s="744"/>
      <c r="P149" s="743"/>
      <c r="Q149" s="744"/>
      <c r="R149" s="743"/>
      <c r="S149" s="745"/>
      <c r="T149" s="743"/>
      <c r="U149" s="791"/>
      <c r="V149" s="761">
        <f t="shared" si="56"/>
        <v>0</v>
      </c>
      <c r="W149" s="983">
        <v>47818</v>
      </c>
    </row>
    <row r="150" spans="4:23" x14ac:dyDescent="0.25">
      <c r="D150" s="9" t="b">
        <f t="shared" si="53"/>
        <v>0</v>
      </c>
      <c r="E150" s="9">
        <f t="shared" si="54"/>
        <v>0</v>
      </c>
      <c r="G150" s="977">
        <v>47849</v>
      </c>
      <c r="H150" s="554">
        <f t="shared" si="55"/>
        <v>73676.188000000082</v>
      </c>
      <c r="I150" s="744"/>
      <c r="J150" s="743">
        <v>2416.75</v>
      </c>
      <c r="K150" s="744"/>
      <c r="L150" s="761">
        <f t="shared" si="52"/>
        <v>76092.938000000082</v>
      </c>
      <c r="M150" s="785"/>
      <c r="N150" s="554"/>
      <c r="O150" s="744"/>
      <c r="P150" s="743"/>
      <c r="Q150" s="744"/>
      <c r="R150" s="743"/>
      <c r="S150" s="745"/>
      <c r="T150" s="743"/>
      <c r="U150" s="791"/>
      <c r="V150" s="761">
        <f t="shared" si="56"/>
        <v>0</v>
      </c>
      <c r="W150" s="983">
        <v>47849</v>
      </c>
    </row>
    <row r="151" spans="4:23" x14ac:dyDescent="0.25">
      <c r="D151" s="9" t="b">
        <f t="shared" si="53"/>
        <v>0</v>
      </c>
      <c r="E151" s="9">
        <f t="shared" si="54"/>
        <v>0</v>
      </c>
      <c r="G151" s="977">
        <v>47880</v>
      </c>
      <c r="H151" s="554">
        <f t="shared" si="55"/>
        <v>73046.477000000086</v>
      </c>
      <c r="I151" s="744"/>
      <c r="J151" s="743">
        <v>2231</v>
      </c>
      <c r="K151" s="744"/>
      <c r="L151" s="761">
        <f t="shared" si="52"/>
        <v>75277.477000000086</v>
      </c>
      <c r="M151" s="785"/>
      <c r="N151" s="554"/>
      <c r="O151" s="744"/>
      <c r="P151" s="743"/>
      <c r="Q151" s="744"/>
      <c r="R151" s="743"/>
      <c r="S151" s="745"/>
      <c r="T151" s="743"/>
      <c r="U151" s="791"/>
      <c r="V151" s="761">
        <f t="shared" si="56"/>
        <v>0</v>
      </c>
      <c r="W151" s="983">
        <v>47880</v>
      </c>
    </row>
    <row r="152" spans="4:23" x14ac:dyDescent="0.25">
      <c r="D152" s="9" t="b">
        <f t="shared" si="53"/>
        <v>0</v>
      </c>
      <c r="E152" s="9">
        <f t="shared" si="54"/>
        <v>0</v>
      </c>
      <c r="G152" s="977">
        <v>47908</v>
      </c>
      <c r="H152" s="554">
        <f t="shared" si="55"/>
        <v>72416.766000000091</v>
      </c>
      <c r="I152" s="744"/>
      <c r="J152" s="743">
        <v>2045.25</v>
      </c>
      <c r="K152" s="744"/>
      <c r="L152" s="761">
        <f t="shared" si="52"/>
        <v>74462.016000000091</v>
      </c>
      <c r="M152" s="785"/>
      <c r="N152" s="554"/>
      <c r="O152" s="744"/>
      <c r="P152" s="743"/>
      <c r="Q152" s="744"/>
      <c r="R152" s="743"/>
      <c r="S152" s="745"/>
      <c r="T152" s="743"/>
      <c r="U152" s="791"/>
      <c r="V152" s="761">
        <f t="shared" si="56"/>
        <v>0</v>
      </c>
      <c r="W152" s="983">
        <v>47908</v>
      </c>
    </row>
    <row r="153" spans="4:23" x14ac:dyDescent="0.25">
      <c r="D153" s="9" t="b">
        <f t="shared" si="53"/>
        <v>0</v>
      </c>
      <c r="E153" s="9">
        <f t="shared" si="54"/>
        <v>0</v>
      </c>
      <c r="G153" s="977">
        <v>47939</v>
      </c>
      <c r="H153" s="554">
        <f t="shared" si="55"/>
        <v>71787.055000000095</v>
      </c>
      <c r="I153" s="744"/>
      <c r="J153" s="743">
        <v>1859.5</v>
      </c>
      <c r="K153" s="744"/>
      <c r="L153" s="761">
        <f t="shared" si="52"/>
        <v>73646.555000000095</v>
      </c>
      <c r="M153" s="785"/>
      <c r="N153" s="554"/>
      <c r="O153" s="744"/>
      <c r="P153" s="743"/>
      <c r="Q153" s="744"/>
      <c r="R153" s="743"/>
      <c r="S153" s="745"/>
      <c r="T153" s="743"/>
      <c r="U153" s="791"/>
      <c r="V153" s="761">
        <f t="shared" si="56"/>
        <v>0</v>
      </c>
      <c r="W153" s="983">
        <v>47939</v>
      </c>
    </row>
    <row r="154" spans="4:23" x14ac:dyDescent="0.25">
      <c r="D154" s="9" t="b">
        <f t="shared" si="53"/>
        <v>0</v>
      </c>
      <c r="E154" s="9">
        <f t="shared" si="54"/>
        <v>0</v>
      </c>
      <c r="G154" s="977">
        <v>47969</v>
      </c>
      <c r="H154" s="554">
        <f t="shared" si="55"/>
        <v>71157.344000000099</v>
      </c>
      <c r="I154" s="744"/>
      <c r="J154" s="743">
        <v>1671.75</v>
      </c>
      <c r="K154" s="744"/>
      <c r="L154" s="761">
        <f t="shared" si="52"/>
        <v>72829.094000000099</v>
      </c>
      <c r="M154" s="785"/>
      <c r="N154" s="554"/>
      <c r="O154" s="744"/>
      <c r="P154" s="743"/>
      <c r="Q154" s="744"/>
      <c r="R154" s="743"/>
      <c r="S154" s="745"/>
      <c r="T154" s="743"/>
      <c r="U154" s="791"/>
      <c r="V154" s="761">
        <f t="shared" si="56"/>
        <v>0</v>
      </c>
      <c r="W154" s="983">
        <v>47969</v>
      </c>
    </row>
    <row r="155" spans="4:23" x14ac:dyDescent="0.25">
      <c r="D155" s="9" t="b">
        <f t="shared" si="53"/>
        <v>0</v>
      </c>
      <c r="E155" s="9">
        <f t="shared" si="54"/>
        <v>0</v>
      </c>
      <c r="G155" s="977">
        <v>48000</v>
      </c>
      <c r="H155" s="554">
        <f t="shared" si="55"/>
        <v>70527.633000000103</v>
      </c>
      <c r="I155" s="744"/>
      <c r="J155" s="743">
        <v>1486</v>
      </c>
      <c r="K155" s="744"/>
      <c r="L155" s="761">
        <f t="shared" si="52"/>
        <v>72013.633000000103</v>
      </c>
      <c r="M155" s="785"/>
      <c r="N155" s="554"/>
      <c r="O155" s="744"/>
      <c r="P155" s="743"/>
      <c r="Q155" s="744"/>
      <c r="R155" s="743"/>
      <c r="S155" s="745"/>
      <c r="T155" s="743"/>
      <c r="U155" s="791"/>
      <c r="V155" s="761">
        <f t="shared" si="56"/>
        <v>0</v>
      </c>
      <c r="W155" s="983">
        <v>48000</v>
      </c>
    </row>
    <row r="156" spans="4:23" x14ac:dyDescent="0.25">
      <c r="D156" s="9" t="b">
        <f t="shared" si="53"/>
        <v>0</v>
      </c>
      <c r="E156" s="9">
        <f t="shared" si="54"/>
        <v>0</v>
      </c>
      <c r="G156" s="977">
        <v>48030</v>
      </c>
      <c r="H156" s="554">
        <f t="shared" si="55"/>
        <v>69897.922000000108</v>
      </c>
      <c r="I156" s="744"/>
      <c r="J156" s="743">
        <v>1300.25</v>
      </c>
      <c r="K156" s="744"/>
      <c r="L156" s="761">
        <f t="shared" ref="L156:L219" si="59">SUM(H156:K156)</f>
        <v>71198.172000000108</v>
      </c>
      <c r="M156" s="785"/>
      <c r="N156" s="554"/>
      <c r="O156" s="744"/>
      <c r="P156" s="743"/>
      <c r="Q156" s="744"/>
      <c r="R156" s="743"/>
      <c r="S156" s="745"/>
      <c r="T156" s="743"/>
      <c r="U156" s="791"/>
      <c r="V156" s="761">
        <f t="shared" si="56"/>
        <v>0</v>
      </c>
      <c r="W156" s="983">
        <v>48030</v>
      </c>
    </row>
    <row r="157" spans="4:23" x14ac:dyDescent="0.25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7">
        <v>48061</v>
      </c>
      <c r="H157" s="554">
        <f t="shared" ref="H157:H220" si="62">H156-$H$7</f>
        <v>69268.211000000112</v>
      </c>
      <c r="I157" s="744"/>
      <c r="J157" s="743">
        <v>1114.5</v>
      </c>
      <c r="K157" s="744"/>
      <c r="L157" s="761">
        <f t="shared" si="59"/>
        <v>70382.711000000112</v>
      </c>
      <c r="M157" s="785"/>
      <c r="N157" s="554"/>
      <c r="O157" s="744"/>
      <c r="P157" s="743"/>
      <c r="Q157" s="744"/>
      <c r="R157" s="743"/>
      <c r="S157" s="745"/>
      <c r="T157" s="743"/>
      <c r="U157" s="791"/>
      <c r="V157" s="761">
        <f t="shared" ref="V157:V220" si="63">SUM(N157:U157)</f>
        <v>0</v>
      </c>
      <c r="W157" s="983">
        <v>48061</v>
      </c>
    </row>
    <row r="158" spans="4:23" x14ac:dyDescent="0.25">
      <c r="D158" s="9" t="b">
        <f t="shared" si="60"/>
        <v>0</v>
      </c>
      <c r="E158" s="9">
        <f t="shared" si="61"/>
        <v>0</v>
      </c>
      <c r="G158" s="977">
        <v>48092</v>
      </c>
      <c r="H158" s="554">
        <f t="shared" si="62"/>
        <v>68638.500000000116</v>
      </c>
      <c r="I158" s="744"/>
      <c r="J158" s="743">
        <v>928.75</v>
      </c>
      <c r="K158" s="744"/>
      <c r="L158" s="761">
        <f t="shared" si="59"/>
        <v>69567.250000000116</v>
      </c>
      <c r="M158" s="785"/>
      <c r="N158" s="554"/>
      <c r="O158" s="744"/>
      <c r="P158" s="743"/>
      <c r="Q158" s="744"/>
      <c r="R158" s="743"/>
      <c r="S158" s="745"/>
      <c r="T158" s="743"/>
      <c r="U158" s="791"/>
      <c r="V158" s="761">
        <f t="shared" si="63"/>
        <v>0</v>
      </c>
      <c r="W158" s="983">
        <v>48092</v>
      </c>
    </row>
    <row r="159" spans="4:23" x14ac:dyDescent="0.25">
      <c r="D159" s="9" t="b">
        <f t="shared" si="60"/>
        <v>0</v>
      </c>
      <c r="E159" s="9">
        <f t="shared" si="61"/>
        <v>0</v>
      </c>
      <c r="G159" s="977">
        <v>48122</v>
      </c>
      <c r="H159" s="554">
        <f t="shared" si="62"/>
        <v>68008.789000000121</v>
      </c>
      <c r="I159" s="744"/>
      <c r="J159" s="743">
        <v>743</v>
      </c>
      <c r="K159" s="744"/>
      <c r="L159" s="761">
        <f t="shared" si="59"/>
        <v>68751.789000000121</v>
      </c>
      <c r="M159" s="785"/>
      <c r="N159" s="554"/>
      <c r="O159" s="744"/>
      <c r="P159" s="743"/>
      <c r="Q159" s="744"/>
      <c r="R159" s="743"/>
      <c r="S159" s="745"/>
      <c r="T159" s="743"/>
      <c r="U159" s="791"/>
      <c r="V159" s="761">
        <f t="shared" si="63"/>
        <v>0</v>
      </c>
      <c r="W159" s="983">
        <v>48122</v>
      </c>
    </row>
    <row r="160" spans="4:23" x14ac:dyDescent="0.25">
      <c r="D160" s="9" t="b">
        <f t="shared" si="60"/>
        <v>0</v>
      </c>
      <c r="E160" s="9">
        <f t="shared" si="61"/>
        <v>0</v>
      </c>
      <c r="G160" s="977">
        <v>48153</v>
      </c>
      <c r="H160" s="554">
        <f t="shared" si="62"/>
        <v>67379.078000000125</v>
      </c>
      <c r="I160" s="744"/>
      <c r="J160" s="743">
        <v>557.25</v>
      </c>
      <c r="K160" s="744"/>
      <c r="L160" s="761">
        <f t="shared" si="59"/>
        <v>67936.328000000125</v>
      </c>
      <c r="M160" s="785"/>
      <c r="N160" s="554"/>
      <c r="O160" s="744"/>
      <c r="P160" s="743"/>
      <c r="Q160" s="744"/>
      <c r="R160" s="743"/>
      <c r="S160" s="745"/>
      <c r="T160" s="743"/>
      <c r="U160" s="791"/>
      <c r="V160" s="761">
        <f t="shared" si="63"/>
        <v>0</v>
      </c>
      <c r="W160" s="983">
        <v>48153</v>
      </c>
    </row>
    <row r="161" spans="4:23" x14ac:dyDescent="0.25">
      <c r="D161" s="9" t="b">
        <f t="shared" si="60"/>
        <v>0</v>
      </c>
      <c r="E161" s="9">
        <f t="shared" si="61"/>
        <v>0</v>
      </c>
      <c r="G161" s="977">
        <v>48183</v>
      </c>
      <c r="H161" s="554">
        <f t="shared" si="62"/>
        <v>66749.367000000129</v>
      </c>
      <c r="I161" s="744"/>
      <c r="J161" s="743">
        <v>371.5</v>
      </c>
      <c r="K161" s="744"/>
      <c r="L161" s="761">
        <f t="shared" si="59"/>
        <v>67120.867000000129</v>
      </c>
      <c r="M161" s="785"/>
      <c r="N161" s="554"/>
      <c r="O161" s="744"/>
      <c r="P161" s="743"/>
      <c r="Q161" s="744"/>
      <c r="R161" s="743"/>
      <c r="S161" s="745"/>
      <c r="T161" s="743"/>
      <c r="U161" s="791"/>
      <c r="V161" s="761">
        <f t="shared" si="63"/>
        <v>0</v>
      </c>
      <c r="W161" s="983">
        <v>48183</v>
      </c>
    </row>
    <row r="162" spans="4:23" x14ac:dyDescent="0.25">
      <c r="D162" s="9" t="b">
        <f t="shared" si="60"/>
        <v>0</v>
      </c>
      <c r="E162" s="9">
        <f t="shared" si="61"/>
        <v>0</v>
      </c>
      <c r="G162" s="977">
        <v>48214</v>
      </c>
      <c r="H162" s="554">
        <f t="shared" si="62"/>
        <v>66119.656000000134</v>
      </c>
      <c r="I162" s="744"/>
      <c r="J162" s="743">
        <v>185.75</v>
      </c>
      <c r="K162" s="744"/>
      <c r="L162" s="761">
        <f t="shared" si="59"/>
        <v>66305.406000000134</v>
      </c>
      <c r="M162" s="785"/>
      <c r="N162" s="554"/>
      <c r="O162" s="744"/>
      <c r="P162" s="743"/>
      <c r="Q162" s="744"/>
      <c r="R162" s="743"/>
      <c r="S162" s="745"/>
      <c r="T162" s="743"/>
      <c r="U162" s="791"/>
      <c r="V162" s="761">
        <f t="shared" si="63"/>
        <v>0</v>
      </c>
      <c r="W162" s="983">
        <v>48214</v>
      </c>
    </row>
    <row r="163" spans="4:23" x14ac:dyDescent="0.25">
      <c r="D163" s="9" t="b">
        <f t="shared" si="60"/>
        <v>0</v>
      </c>
      <c r="E163" s="9">
        <f t="shared" si="61"/>
        <v>0</v>
      </c>
      <c r="G163" s="977">
        <v>48245</v>
      </c>
      <c r="H163" s="554">
        <f t="shared" si="62"/>
        <v>65489.945000000131</v>
      </c>
      <c r="I163" s="744"/>
      <c r="J163" s="743"/>
      <c r="K163" s="744"/>
      <c r="L163" s="761">
        <f t="shared" si="59"/>
        <v>65489.945000000131</v>
      </c>
      <c r="M163" s="785"/>
      <c r="N163" s="554"/>
      <c r="O163" s="744"/>
      <c r="P163" s="743"/>
      <c r="Q163" s="744"/>
      <c r="R163" s="743"/>
      <c r="S163" s="745"/>
      <c r="T163" s="743"/>
      <c r="U163" s="791"/>
      <c r="V163" s="761">
        <f t="shared" si="63"/>
        <v>0</v>
      </c>
      <c r="W163" s="983">
        <v>48245</v>
      </c>
    </row>
    <row r="164" spans="4:23" x14ac:dyDescent="0.25">
      <c r="D164" s="9" t="b">
        <f t="shared" si="60"/>
        <v>0</v>
      </c>
      <c r="E164" s="9">
        <f t="shared" si="61"/>
        <v>0</v>
      </c>
      <c r="G164" s="977">
        <v>48274</v>
      </c>
      <c r="H164" s="554">
        <f t="shared" si="62"/>
        <v>64860.234000000128</v>
      </c>
      <c r="I164" s="744"/>
      <c r="J164" s="743"/>
      <c r="K164" s="744"/>
      <c r="L164" s="761">
        <f t="shared" si="59"/>
        <v>64860.234000000128</v>
      </c>
      <c r="M164" s="785"/>
      <c r="N164" s="554"/>
      <c r="O164" s="744"/>
      <c r="P164" s="743"/>
      <c r="Q164" s="744"/>
      <c r="R164" s="743"/>
      <c r="S164" s="745"/>
      <c r="T164" s="743"/>
      <c r="U164" s="791"/>
      <c r="V164" s="761">
        <f t="shared" si="63"/>
        <v>0</v>
      </c>
      <c r="W164" s="983">
        <v>48274</v>
      </c>
    </row>
    <row r="165" spans="4:23" x14ac:dyDescent="0.25">
      <c r="D165" s="9" t="b">
        <f t="shared" si="60"/>
        <v>0</v>
      </c>
      <c r="E165" s="9">
        <f t="shared" si="61"/>
        <v>0</v>
      </c>
      <c r="G165" s="977">
        <v>48305</v>
      </c>
      <c r="H165" s="554">
        <f t="shared" si="62"/>
        <v>64230.523000000125</v>
      </c>
      <c r="I165" s="744"/>
      <c r="J165" s="743"/>
      <c r="K165" s="744"/>
      <c r="L165" s="761">
        <f t="shared" si="59"/>
        <v>64230.523000000125</v>
      </c>
      <c r="M165" s="785"/>
      <c r="N165" s="554"/>
      <c r="O165" s="744"/>
      <c r="P165" s="743"/>
      <c r="Q165" s="744"/>
      <c r="R165" s="743"/>
      <c r="S165" s="745"/>
      <c r="T165" s="743"/>
      <c r="U165" s="791"/>
      <c r="V165" s="761">
        <f t="shared" si="63"/>
        <v>0</v>
      </c>
      <c r="W165" s="983">
        <v>48305</v>
      </c>
    </row>
    <row r="166" spans="4:23" x14ac:dyDescent="0.25">
      <c r="D166" s="9" t="b">
        <f t="shared" si="60"/>
        <v>0</v>
      </c>
      <c r="E166" s="9">
        <f t="shared" si="61"/>
        <v>0</v>
      </c>
      <c r="G166" s="977">
        <v>48335</v>
      </c>
      <c r="H166" s="554">
        <f t="shared" si="62"/>
        <v>63600.812000000122</v>
      </c>
      <c r="I166" s="744"/>
      <c r="J166" s="743"/>
      <c r="K166" s="744"/>
      <c r="L166" s="761">
        <f t="shared" si="59"/>
        <v>63600.812000000122</v>
      </c>
      <c r="M166" s="785"/>
      <c r="N166" s="554"/>
      <c r="O166" s="744"/>
      <c r="P166" s="743"/>
      <c r="Q166" s="744"/>
      <c r="R166" s="743"/>
      <c r="S166" s="745"/>
      <c r="T166" s="743"/>
      <c r="U166" s="791"/>
      <c r="V166" s="761">
        <f t="shared" si="63"/>
        <v>0</v>
      </c>
      <c r="W166" s="983">
        <v>48335</v>
      </c>
    </row>
    <row r="167" spans="4:23" x14ac:dyDescent="0.25">
      <c r="D167" s="9" t="b">
        <f t="shared" si="60"/>
        <v>0</v>
      </c>
      <c r="E167" s="9">
        <f t="shared" si="61"/>
        <v>0</v>
      </c>
      <c r="G167" s="977">
        <v>48366</v>
      </c>
      <c r="H167" s="554">
        <f t="shared" si="62"/>
        <v>62971.101000000119</v>
      </c>
      <c r="I167" s="744"/>
      <c r="J167" s="743"/>
      <c r="K167" s="744"/>
      <c r="L167" s="761">
        <f t="shared" si="59"/>
        <v>62971.101000000119</v>
      </c>
      <c r="M167" s="785"/>
      <c r="N167" s="554"/>
      <c r="O167" s="744"/>
      <c r="P167" s="743"/>
      <c r="Q167" s="744"/>
      <c r="R167" s="743"/>
      <c r="S167" s="745"/>
      <c r="T167" s="743"/>
      <c r="U167" s="791"/>
      <c r="V167" s="761">
        <f t="shared" si="63"/>
        <v>0</v>
      </c>
      <c r="W167" s="983">
        <v>48366</v>
      </c>
    </row>
    <row r="168" spans="4:23" x14ac:dyDescent="0.25">
      <c r="D168" s="9" t="b">
        <f t="shared" si="60"/>
        <v>0</v>
      </c>
      <c r="E168" s="9">
        <f t="shared" si="61"/>
        <v>0</v>
      </c>
      <c r="G168" s="977">
        <v>48396</v>
      </c>
      <c r="H168" s="554">
        <f t="shared" si="62"/>
        <v>62341.390000000116</v>
      </c>
      <c r="I168" s="744"/>
      <c r="J168" s="743"/>
      <c r="K168" s="744"/>
      <c r="L168" s="761">
        <f t="shared" si="59"/>
        <v>62341.390000000116</v>
      </c>
      <c r="M168" s="785"/>
      <c r="N168" s="554"/>
      <c r="O168" s="744"/>
      <c r="P168" s="743"/>
      <c r="Q168" s="744"/>
      <c r="R168" s="743"/>
      <c r="S168" s="745"/>
      <c r="T168" s="743"/>
      <c r="U168" s="791"/>
      <c r="V168" s="761">
        <f t="shared" si="63"/>
        <v>0</v>
      </c>
      <c r="W168" s="983">
        <v>48396</v>
      </c>
    </row>
    <row r="169" spans="4:23" x14ac:dyDescent="0.25">
      <c r="D169" s="9" t="b">
        <f t="shared" si="60"/>
        <v>0</v>
      </c>
      <c r="E169" s="9">
        <f t="shared" si="61"/>
        <v>0</v>
      </c>
      <c r="G169" s="977">
        <v>48427</v>
      </c>
      <c r="H169" s="554">
        <f t="shared" si="62"/>
        <v>61711.679000000113</v>
      </c>
      <c r="I169" s="744"/>
      <c r="J169" s="743"/>
      <c r="K169" s="744"/>
      <c r="L169" s="761">
        <f t="shared" si="59"/>
        <v>61711.679000000113</v>
      </c>
      <c r="M169" s="785"/>
      <c r="N169" s="554"/>
      <c r="O169" s="744"/>
      <c r="P169" s="743"/>
      <c r="Q169" s="744"/>
      <c r="R169" s="743"/>
      <c r="S169" s="745"/>
      <c r="T169" s="743"/>
      <c r="U169" s="791"/>
      <c r="V169" s="761">
        <f t="shared" si="63"/>
        <v>0</v>
      </c>
      <c r="W169" s="983">
        <v>48427</v>
      </c>
    </row>
    <row r="170" spans="4:23" x14ac:dyDescent="0.25">
      <c r="D170" s="9" t="b">
        <f t="shared" si="60"/>
        <v>0</v>
      </c>
      <c r="E170" s="9">
        <f t="shared" si="61"/>
        <v>0</v>
      </c>
      <c r="G170" s="977">
        <v>48458</v>
      </c>
      <c r="H170" s="554">
        <f t="shared" si="62"/>
        <v>61081.96800000011</v>
      </c>
      <c r="I170" s="744"/>
      <c r="J170" s="743"/>
      <c r="K170" s="744"/>
      <c r="L170" s="761">
        <f t="shared" si="59"/>
        <v>61081.96800000011</v>
      </c>
      <c r="M170" s="785"/>
      <c r="N170" s="554"/>
      <c r="O170" s="744"/>
      <c r="P170" s="743"/>
      <c r="Q170" s="744"/>
      <c r="R170" s="743"/>
      <c r="S170" s="745"/>
      <c r="T170" s="743"/>
      <c r="U170" s="791"/>
      <c r="V170" s="761">
        <f t="shared" si="63"/>
        <v>0</v>
      </c>
      <c r="W170" s="983">
        <v>48458</v>
      </c>
    </row>
    <row r="171" spans="4:23" x14ac:dyDescent="0.25">
      <c r="D171" s="9" t="b">
        <f t="shared" si="60"/>
        <v>0</v>
      </c>
      <c r="E171" s="9">
        <f t="shared" si="61"/>
        <v>0</v>
      </c>
      <c r="G171" s="977">
        <v>48488</v>
      </c>
      <c r="H171" s="554">
        <f t="shared" si="62"/>
        <v>60452.257000000107</v>
      </c>
      <c r="I171" s="744"/>
      <c r="J171" s="743"/>
      <c r="K171" s="744"/>
      <c r="L171" s="761">
        <f t="shared" si="59"/>
        <v>60452.257000000107</v>
      </c>
      <c r="M171" s="785"/>
      <c r="N171" s="554"/>
      <c r="O171" s="744"/>
      <c r="P171" s="743"/>
      <c r="Q171" s="744"/>
      <c r="R171" s="743"/>
      <c r="S171" s="745"/>
      <c r="T171" s="743"/>
      <c r="U171" s="791"/>
      <c r="V171" s="761">
        <f t="shared" si="63"/>
        <v>0</v>
      </c>
      <c r="W171" s="983">
        <v>48488</v>
      </c>
    </row>
    <row r="172" spans="4:23" x14ac:dyDescent="0.25">
      <c r="D172" s="9" t="b">
        <f t="shared" si="60"/>
        <v>0</v>
      </c>
      <c r="E172" s="9">
        <f t="shared" si="61"/>
        <v>0</v>
      </c>
      <c r="G172" s="977">
        <v>48519</v>
      </c>
      <c r="H172" s="554">
        <f t="shared" si="62"/>
        <v>59822.546000000104</v>
      </c>
      <c r="I172" s="744"/>
      <c r="J172" s="743"/>
      <c r="K172" s="744"/>
      <c r="L172" s="761">
        <f t="shared" si="59"/>
        <v>59822.546000000104</v>
      </c>
      <c r="M172" s="785"/>
      <c r="N172" s="554"/>
      <c r="O172" s="744"/>
      <c r="P172" s="743"/>
      <c r="Q172" s="744"/>
      <c r="R172" s="743"/>
      <c r="S172" s="745"/>
      <c r="T172" s="743"/>
      <c r="U172" s="791"/>
      <c r="V172" s="761">
        <f t="shared" si="63"/>
        <v>0</v>
      </c>
      <c r="W172" s="983">
        <v>48519</v>
      </c>
    </row>
    <row r="173" spans="4:23" x14ac:dyDescent="0.25">
      <c r="D173" s="9" t="b">
        <f t="shared" si="60"/>
        <v>0</v>
      </c>
      <c r="E173" s="9">
        <f t="shared" si="61"/>
        <v>0</v>
      </c>
      <c r="G173" s="977">
        <v>48549</v>
      </c>
      <c r="H173" s="554">
        <f t="shared" si="62"/>
        <v>59192.835000000101</v>
      </c>
      <c r="I173" s="744"/>
      <c r="J173" s="743"/>
      <c r="K173" s="744"/>
      <c r="L173" s="761">
        <f t="shared" si="59"/>
        <v>59192.835000000101</v>
      </c>
      <c r="M173" s="785"/>
      <c r="N173" s="554"/>
      <c r="O173" s="744"/>
      <c r="P173" s="743"/>
      <c r="Q173" s="744"/>
      <c r="R173" s="743"/>
      <c r="S173" s="745"/>
      <c r="T173" s="743"/>
      <c r="U173" s="791"/>
      <c r="V173" s="761">
        <f t="shared" si="63"/>
        <v>0</v>
      </c>
      <c r="W173" s="983">
        <v>48549</v>
      </c>
    </row>
    <row r="174" spans="4:23" x14ac:dyDescent="0.25">
      <c r="D174" s="9" t="b">
        <f t="shared" si="60"/>
        <v>0</v>
      </c>
      <c r="E174" s="9">
        <f t="shared" si="61"/>
        <v>0</v>
      </c>
      <c r="G174" s="977">
        <v>48580</v>
      </c>
      <c r="H174" s="554">
        <f t="shared" si="62"/>
        <v>58563.124000000098</v>
      </c>
      <c r="I174" s="744"/>
      <c r="J174" s="743"/>
      <c r="K174" s="744"/>
      <c r="L174" s="761">
        <f t="shared" si="59"/>
        <v>58563.124000000098</v>
      </c>
      <c r="M174" s="785"/>
      <c r="N174" s="554"/>
      <c r="O174" s="744"/>
      <c r="P174" s="743"/>
      <c r="Q174" s="744"/>
      <c r="R174" s="743"/>
      <c r="S174" s="745"/>
      <c r="T174" s="743"/>
      <c r="U174" s="791"/>
      <c r="V174" s="761">
        <f t="shared" si="63"/>
        <v>0</v>
      </c>
      <c r="W174" s="983">
        <v>48580</v>
      </c>
    </row>
    <row r="175" spans="4:23" x14ac:dyDescent="0.25">
      <c r="D175" s="9" t="b">
        <f t="shared" si="60"/>
        <v>0</v>
      </c>
      <c r="E175" s="9">
        <f t="shared" si="61"/>
        <v>0</v>
      </c>
      <c r="G175" s="977">
        <v>48611</v>
      </c>
      <c r="H175" s="554">
        <f t="shared" si="62"/>
        <v>57933.413000000095</v>
      </c>
      <c r="I175" s="744"/>
      <c r="J175" s="743"/>
      <c r="K175" s="744"/>
      <c r="L175" s="761">
        <f t="shared" si="59"/>
        <v>57933.413000000095</v>
      </c>
      <c r="M175" s="785"/>
      <c r="N175" s="554"/>
      <c r="O175" s="744"/>
      <c r="P175" s="743"/>
      <c r="Q175" s="744"/>
      <c r="R175" s="743"/>
      <c r="S175" s="745"/>
      <c r="T175" s="743"/>
      <c r="U175" s="791"/>
      <c r="V175" s="761">
        <f t="shared" si="63"/>
        <v>0</v>
      </c>
      <c r="W175" s="983">
        <v>48611</v>
      </c>
    </row>
    <row r="176" spans="4:23" x14ac:dyDescent="0.25">
      <c r="D176" s="9" t="b">
        <f t="shared" si="60"/>
        <v>0</v>
      </c>
      <c r="E176" s="9">
        <f t="shared" si="61"/>
        <v>0</v>
      </c>
      <c r="G176" s="977">
        <v>48639</v>
      </c>
      <c r="H176" s="554">
        <f t="shared" si="62"/>
        <v>57303.702000000092</v>
      </c>
      <c r="I176" s="744"/>
      <c r="J176" s="743"/>
      <c r="K176" s="744"/>
      <c r="L176" s="761">
        <f t="shared" si="59"/>
        <v>57303.702000000092</v>
      </c>
      <c r="M176" s="785"/>
      <c r="N176" s="554"/>
      <c r="O176" s="744"/>
      <c r="P176" s="743"/>
      <c r="Q176" s="744"/>
      <c r="R176" s="743"/>
      <c r="S176" s="745"/>
      <c r="T176" s="743"/>
      <c r="U176" s="791"/>
      <c r="V176" s="761">
        <f t="shared" si="63"/>
        <v>0</v>
      </c>
      <c r="W176" s="983">
        <v>48639</v>
      </c>
    </row>
    <row r="177" spans="4:23" x14ac:dyDescent="0.25">
      <c r="D177" s="9" t="b">
        <f t="shared" si="60"/>
        <v>0</v>
      </c>
      <c r="E177" s="9">
        <f t="shared" si="61"/>
        <v>0</v>
      </c>
      <c r="G177" s="977">
        <v>48670</v>
      </c>
      <c r="H177" s="554">
        <f t="shared" si="62"/>
        <v>56673.991000000089</v>
      </c>
      <c r="I177" s="744"/>
      <c r="J177" s="743"/>
      <c r="K177" s="744"/>
      <c r="L177" s="761">
        <f t="shared" si="59"/>
        <v>56673.991000000089</v>
      </c>
      <c r="M177" s="785"/>
      <c r="N177" s="554"/>
      <c r="O177" s="744"/>
      <c r="P177" s="743"/>
      <c r="Q177" s="744"/>
      <c r="R177" s="743"/>
      <c r="S177" s="745"/>
      <c r="T177" s="743"/>
      <c r="U177" s="791"/>
      <c r="V177" s="761">
        <f t="shared" si="63"/>
        <v>0</v>
      </c>
      <c r="W177" s="983">
        <v>48670</v>
      </c>
    </row>
    <row r="178" spans="4:23" x14ac:dyDescent="0.25">
      <c r="D178" s="9" t="b">
        <f t="shared" si="60"/>
        <v>0</v>
      </c>
      <c r="E178" s="9">
        <f t="shared" si="61"/>
        <v>0</v>
      </c>
      <c r="G178" s="977">
        <v>48700</v>
      </c>
      <c r="H178" s="554">
        <f t="shared" si="62"/>
        <v>56044.280000000086</v>
      </c>
      <c r="I178" s="744"/>
      <c r="J178" s="743"/>
      <c r="K178" s="744"/>
      <c r="L178" s="761">
        <f t="shared" si="59"/>
        <v>56044.280000000086</v>
      </c>
      <c r="M178" s="785"/>
      <c r="N178" s="554"/>
      <c r="O178" s="744"/>
      <c r="P178" s="743"/>
      <c r="Q178" s="744"/>
      <c r="R178" s="743"/>
      <c r="S178" s="745"/>
      <c r="T178" s="743"/>
      <c r="U178" s="791"/>
      <c r="V178" s="761">
        <f t="shared" si="63"/>
        <v>0</v>
      </c>
      <c r="W178" s="983">
        <v>48700</v>
      </c>
    </row>
    <row r="179" spans="4:23" x14ac:dyDescent="0.25">
      <c r="D179" s="9" t="b">
        <f t="shared" si="60"/>
        <v>0</v>
      </c>
      <c r="E179" s="9">
        <f t="shared" si="61"/>
        <v>0</v>
      </c>
      <c r="G179" s="977">
        <v>48731</v>
      </c>
      <c r="H179" s="554">
        <f t="shared" si="62"/>
        <v>55414.569000000083</v>
      </c>
      <c r="I179" s="744"/>
      <c r="J179" s="743"/>
      <c r="K179" s="744"/>
      <c r="L179" s="761">
        <f t="shared" si="59"/>
        <v>55414.569000000083</v>
      </c>
      <c r="M179" s="785"/>
      <c r="N179" s="554"/>
      <c r="O179" s="744"/>
      <c r="P179" s="743"/>
      <c r="Q179" s="744"/>
      <c r="R179" s="743"/>
      <c r="S179" s="745"/>
      <c r="T179" s="743"/>
      <c r="U179" s="791"/>
      <c r="V179" s="761">
        <f t="shared" si="63"/>
        <v>0</v>
      </c>
      <c r="W179" s="983">
        <v>48731</v>
      </c>
    </row>
    <row r="180" spans="4:23" x14ac:dyDescent="0.25">
      <c r="D180" s="9" t="b">
        <f t="shared" si="60"/>
        <v>0</v>
      </c>
      <c r="E180" s="9">
        <f t="shared" si="61"/>
        <v>0</v>
      </c>
      <c r="G180" s="977">
        <v>48761</v>
      </c>
      <c r="H180" s="554">
        <f t="shared" si="62"/>
        <v>54784.85800000008</v>
      </c>
      <c r="I180" s="744"/>
      <c r="J180" s="743"/>
      <c r="K180" s="744"/>
      <c r="L180" s="761">
        <f t="shared" si="59"/>
        <v>54784.85800000008</v>
      </c>
      <c r="M180" s="785"/>
      <c r="N180" s="554"/>
      <c r="O180" s="744"/>
      <c r="P180" s="743"/>
      <c r="Q180" s="744"/>
      <c r="R180" s="743"/>
      <c r="S180" s="745"/>
      <c r="T180" s="743"/>
      <c r="U180" s="791"/>
      <c r="V180" s="761">
        <f t="shared" si="63"/>
        <v>0</v>
      </c>
      <c r="W180" s="983">
        <v>48761</v>
      </c>
    </row>
    <row r="181" spans="4:23" x14ac:dyDescent="0.25">
      <c r="D181" s="9" t="b">
        <f t="shared" si="60"/>
        <v>0</v>
      </c>
      <c r="E181" s="9">
        <f t="shared" si="61"/>
        <v>0</v>
      </c>
      <c r="G181" s="977">
        <v>48792</v>
      </c>
      <c r="H181" s="554">
        <f t="shared" si="62"/>
        <v>54155.147000000077</v>
      </c>
      <c r="I181" s="744"/>
      <c r="J181" s="743"/>
      <c r="K181" s="744"/>
      <c r="L181" s="761">
        <f t="shared" si="59"/>
        <v>54155.147000000077</v>
      </c>
      <c r="M181" s="785"/>
      <c r="N181" s="554"/>
      <c r="O181" s="744"/>
      <c r="P181" s="743"/>
      <c r="Q181" s="744"/>
      <c r="R181" s="743"/>
      <c r="S181" s="745"/>
      <c r="T181" s="743"/>
      <c r="U181" s="791"/>
      <c r="V181" s="761">
        <f t="shared" si="63"/>
        <v>0</v>
      </c>
      <c r="W181" s="983">
        <v>48792</v>
      </c>
    </row>
    <row r="182" spans="4:23" x14ac:dyDescent="0.25">
      <c r="D182" s="9" t="b">
        <f t="shared" si="60"/>
        <v>0</v>
      </c>
      <c r="E182" s="9">
        <f t="shared" si="61"/>
        <v>0</v>
      </c>
      <c r="G182" s="977">
        <v>48823</v>
      </c>
      <c r="H182" s="554">
        <f t="shared" si="62"/>
        <v>53525.436000000074</v>
      </c>
      <c r="I182" s="744"/>
      <c r="J182" s="743"/>
      <c r="K182" s="744"/>
      <c r="L182" s="761">
        <f t="shared" si="59"/>
        <v>53525.436000000074</v>
      </c>
      <c r="M182" s="785"/>
      <c r="N182" s="554"/>
      <c r="O182" s="744"/>
      <c r="P182" s="743"/>
      <c r="Q182" s="744"/>
      <c r="R182" s="743"/>
      <c r="S182" s="745"/>
      <c r="T182" s="743"/>
      <c r="U182" s="791"/>
      <c r="V182" s="761">
        <f t="shared" si="63"/>
        <v>0</v>
      </c>
      <c r="W182" s="983">
        <v>48823</v>
      </c>
    </row>
    <row r="183" spans="4:23" x14ac:dyDescent="0.25">
      <c r="D183" s="9" t="b">
        <f t="shared" si="60"/>
        <v>0</v>
      </c>
      <c r="E183" s="9">
        <f t="shared" si="61"/>
        <v>0</v>
      </c>
      <c r="G183" s="977">
        <v>48853</v>
      </c>
      <c r="H183" s="554">
        <f t="shared" si="62"/>
        <v>52895.725000000071</v>
      </c>
      <c r="I183" s="744"/>
      <c r="J183" s="743"/>
      <c r="K183" s="744"/>
      <c r="L183" s="761">
        <f t="shared" si="59"/>
        <v>52895.725000000071</v>
      </c>
      <c r="M183" s="785"/>
      <c r="N183" s="554"/>
      <c r="O183" s="744"/>
      <c r="P183" s="743"/>
      <c r="Q183" s="744"/>
      <c r="R183" s="743"/>
      <c r="S183" s="745"/>
      <c r="T183" s="743"/>
      <c r="U183" s="791"/>
      <c r="V183" s="761">
        <f t="shared" si="63"/>
        <v>0</v>
      </c>
      <c r="W183" s="983">
        <v>48853</v>
      </c>
    </row>
    <row r="184" spans="4:23" x14ac:dyDescent="0.25">
      <c r="D184" s="9" t="b">
        <f t="shared" si="60"/>
        <v>0</v>
      </c>
      <c r="E184" s="9">
        <f t="shared" si="61"/>
        <v>0</v>
      </c>
      <c r="G184" s="977">
        <v>48884</v>
      </c>
      <c r="H184" s="554">
        <f t="shared" si="62"/>
        <v>52266.014000000068</v>
      </c>
      <c r="I184" s="744"/>
      <c r="J184" s="743"/>
      <c r="K184" s="744"/>
      <c r="L184" s="761">
        <f t="shared" si="59"/>
        <v>52266.014000000068</v>
      </c>
      <c r="M184" s="785"/>
      <c r="N184" s="554"/>
      <c r="O184" s="744"/>
      <c r="P184" s="743"/>
      <c r="Q184" s="744"/>
      <c r="R184" s="743"/>
      <c r="S184" s="745"/>
      <c r="T184" s="743"/>
      <c r="U184" s="791"/>
      <c r="V184" s="761">
        <f t="shared" si="63"/>
        <v>0</v>
      </c>
      <c r="W184" s="983">
        <v>48884</v>
      </c>
    </row>
    <row r="185" spans="4:23" x14ac:dyDescent="0.25">
      <c r="D185" s="9" t="b">
        <f t="shared" si="60"/>
        <v>0</v>
      </c>
      <c r="E185" s="9">
        <f t="shared" si="61"/>
        <v>0</v>
      </c>
      <c r="G185" s="977">
        <v>48914</v>
      </c>
      <c r="H185" s="554">
        <f t="shared" si="62"/>
        <v>51636.303000000065</v>
      </c>
      <c r="I185" s="744"/>
      <c r="J185" s="743"/>
      <c r="K185" s="744"/>
      <c r="L185" s="761">
        <f t="shared" si="59"/>
        <v>51636.303000000065</v>
      </c>
      <c r="M185" s="785"/>
      <c r="N185" s="554"/>
      <c r="O185" s="744"/>
      <c r="P185" s="743"/>
      <c r="Q185" s="744"/>
      <c r="R185" s="743"/>
      <c r="S185" s="745"/>
      <c r="T185" s="743"/>
      <c r="U185" s="791"/>
      <c r="V185" s="761">
        <f t="shared" si="63"/>
        <v>0</v>
      </c>
      <c r="W185" s="983">
        <v>48914</v>
      </c>
    </row>
    <row r="186" spans="4:23" x14ac:dyDescent="0.25">
      <c r="D186" s="9" t="b">
        <f t="shared" si="60"/>
        <v>0</v>
      </c>
      <c r="E186" s="9">
        <f t="shared" si="61"/>
        <v>0</v>
      </c>
      <c r="G186" s="977">
        <v>48945</v>
      </c>
      <c r="H186" s="554">
        <f t="shared" si="62"/>
        <v>51006.592000000062</v>
      </c>
      <c r="I186" s="744"/>
      <c r="J186" s="743"/>
      <c r="K186" s="744"/>
      <c r="L186" s="761">
        <f t="shared" si="59"/>
        <v>51006.592000000062</v>
      </c>
      <c r="M186" s="785"/>
      <c r="N186" s="554"/>
      <c r="O186" s="744"/>
      <c r="P186" s="743"/>
      <c r="Q186" s="744"/>
      <c r="R186" s="743"/>
      <c r="S186" s="745"/>
      <c r="T186" s="743"/>
      <c r="U186" s="791"/>
      <c r="V186" s="761">
        <f t="shared" si="63"/>
        <v>0</v>
      </c>
      <c r="W186" s="983">
        <v>48945</v>
      </c>
    </row>
    <row r="187" spans="4:23" x14ac:dyDescent="0.25">
      <c r="D187" s="9" t="b">
        <f t="shared" si="60"/>
        <v>0</v>
      </c>
      <c r="E187" s="9">
        <f t="shared" si="61"/>
        <v>0</v>
      </c>
      <c r="G187" s="977">
        <v>48976</v>
      </c>
      <c r="H187" s="554">
        <f t="shared" si="62"/>
        <v>50376.881000000059</v>
      </c>
      <c r="I187" s="744"/>
      <c r="J187" s="743"/>
      <c r="K187" s="744"/>
      <c r="L187" s="761">
        <f t="shared" si="59"/>
        <v>50376.881000000059</v>
      </c>
      <c r="M187" s="785"/>
      <c r="N187" s="554"/>
      <c r="O187" s="744"/>
      <c r="P187" s="743"/>
      <c r="Q187" s="744"/>
      <c r="R187" s="743"/>
      <c r="S187" s="745"/>
      <c r="T187" s="743"/>
      <c r="U187" s="791"/>
      <c r="V187" s="761">
        <f t="shared" si="63"/>
        <v>0</v>
      </c>
      <c r="W187" s="983">
        <v>48976</v>
      </c>
    </row>
    <row r="188" spans="4:23" x14ac:dyDescent="0.25">
      <c r="D188" s="9" t="b">
        <f t="shared" si="60"/>
        <v>0</v>
      </c>
      <c r="E188" s="9">
        <f t="shared" si="61"/>
        <v>0</v>
      </c>
      <c r="G188" s="977">
        <v>49004</v>
      </c>
      <c r="H188" s="554">
        <f t="shared" si="62"/>
        <v>49747.170000000056</v>
      </c>
      <c r="I188" s="744"/>
      <c r="J188" s="743"/>
      <c r="K188" s="744"/>
      <c r="L188" s="761">
        <f t="shared" si="59"/>
        <v>49747.170000000056</v>
      </c>
      <c r="M188" s="785"/>
      <c r="N188" s="554"/>
      <c r="O188" s="744"/>
      <c r="P188" s="743"/>
      <c r="Q188" s="744"/>
      <c r="R188" s="743"/>
      <c r="S188" s="745"/>
      <c r="T188" s="743"/>
      <c r="U188" s="791"/>
      <c r="V188" s="761">
        <f t="shared" si="63"/>
        <v>0</v>
      </c>
      <c r="W188" s="983">
        <v>49004</v>
      </c>
    </row>
    <row r="189" spans="4:23" x14ac:dyDescent="0.25">
      <c r="D189" s="9" t="b">
        <f t="shared" si="60"/>
        <v>0</v>
      </c>
      <c r="E189" s="9">
        <f t="shared" si="61"/>
        <v>0</v>
      </c>
      <c r="G189" s="977">
        <v>49035</v>
      </c>
      <c r="H189" s="554">
        <f t="shared" si="62"/>
        <v>49117.459000000053</v>
      </c>
      <c r="I189" s="744"/>
      <c r="J189" s="743"/>
      <c r="K189" s="744"/>
      <c r="L189" s="761">
        <f t="shared" si="59"/>
        <v>49117.459000000053</v>
      </c>
      <c r="M189" s="785"/>
      <c r="N189" s="554"/>
      <c r="O189" s="744"/>
      <c r="P189" s="743"/>
      <c r="Q189" s="744"/>
      <c r="R189" s="743"/>
      <c r="S189" s="745"/>
      <c r="T189" s="743"/>
      <c r="U189" s="791"/>
      <c r="V189" s="761">
        <f t="shared" si="63"/>
        <v>0</v>
      </c>
      <c r="W189" s="983">
        <v>49035</v>
      </c>
    </row>
    <row r="190" spans="4:23" x14ac:dyDescent="0.25">
      <c r="D190" s="9" t="b">
        <f t="shared" si="60"/>
        <v>0</v>
      </c>
      <c r="E190" s="9">
        <f t="shared" si="61"/>
        <v>0</v>
      </c>
      <c r="G190" s="977">
        <v>49065</v>
      </c>
      <c r="H190" s="554">
        <f t="shared" si="62"/>
        <v>48487.748000000051</v>
      </c>
      <c r="I190" s="744"/>
      <c r="J190" s="743"/>
      <c r="K190" s="744"/>
      <c r="L190" s="761">
        <f t="shared" si="59"/>
        <v>48487.748000000051</v>
      </c>
      <c r="M190" s="785"/>
      <c r="N190" s="554"/>
      <c r="O190" s="744"/>
      <c r="P190" s="743"/>
      <c r="Q190" s="744"/>
      <c r="R190" s="743"/>
      <c r="S190" s="745"/>
      <c r="T190" s="743"/>
      <c r="U190" s="791"/>
      <c r="V190" s="761">
        <f t="shared" si="63"/>
        <v>0</v>
      </c>
      <c r="W190" s="983">
        <v>49065</v>
      </c>
    </row>
    <row r="191" spans="4:23" x14ac:dyDescent="0.25">
      <c r="D191" s="9" t="b">
        <f t="shared" si="60"/>
        <v>0</v>
      </c>
      <c r="E191" s="9">
        <f t="shared" si="61"/>
        <v>0</v>
      </c>
      <c r="G191" s="977">
        <v>49096</v>
      </c>
      <c r="H191" s="554">
        <f t="shared" si="62"/>
        <v>47858.037000000048</v>
      </c>
      <c r="I191" s="744"/>
      <c r="J191" s="743"/>
      <c r="K191" s="744"/>
      <c r="L191" s="761">
        <f t="shared" si="59"/>
        <v>47858.037000000048</v>
      </c>
      <c r="M191" s="785"/>
      <c r="N191" s="554"/>
      <c r="O191" s="744"/>
      <c r="P191" s="743"/>
      <c r="Q191" s="744"/>
      <c r="R191" s="743"/>
      <c r="S191" s="745"/>
      <c r="T191" s="743"/>
      <c r="U191" s="791"/>
      <c r="V191" s="761">
        <f t="shared" si="63"/>
        <v>0</v>
      </c>
      <c r="W191" s="983">
        <v>49096</v>
      </c>
    </row>
    <row r="192" spans="4:23" x14ac:dyDescent="0.25">
      <c r="D192" s="9" t="b">
        <f t="shared" si="60"/>
        <v>0</v>
      </c>
      <c r="E192" s="9">
        <f t="shared" si="61"/>
        <v>0</v>
      </c>
      <c r="G192" s="977">
        <v>49126</v>
      </c>
      <c r="H192" s="554">
        <f t="shared" si="62"/>
        <v>47228.326000000045</v>
      </c>
      <c r="I192" s="744"/>
      <c r="J192" s="743"/>
      <c r="K192" s="744"/>
      <c r="L192" s="761">
        <f t="shared" si="59"/>
        <v>47228.326000000045</v>
      </c>
      <c r="M192" s="785"/>
      <c r="N192" s="554"/>
      <c r="O192" s="744"/>
      <c r="P192" s="743"/>
      <c r="Q192" s="744"/>
      <c r="R192" s="743"/>
      <c r="S192" s="745"/>
      <c r="T192" s="743"/>
      <c r="U192" s="791"/>
      <c r="V192" s="761">
        <f t="shared" si="63"/>
        <v>0</v>
      </c>
      <c r="W192" s="983">
        <v>49126</v>
      </c>
    </row>
    <row r="193" spans="4:23" x14ac:dyDescent="0.25">
      <c r="D193" s="9" t="b">
        <f t="shared" si="60"/>
        <v>0</v>
      </c>
      <c r="E193" s="9">
        <f t="shared" si="61"/>
        <v>0</v>
      </c>
      <c r="G193" s="977">
        <v>49157</v>
      </c>
      <c r="H193" s="554">
        <f t="shared" si="62"/>
        <v>46598.615000000042</v>
      </c>
      <c r="I193" s="744"/>
      <c r="J193" s="743"/>
      <c r="K193" s="744"/>
      <c r="L193" s="761">
        <f t="shared" si="59"/>
        <v>46598.615000000042</v>
      </c>
      <c r="M193" s="785"/>
      <c r="N193" s="554"/>
      <c r="O193" s="744"/>
      <c r="P193" s="743"/>
      <c r="Q193" s="744"/>
      <c r="R193" s="743"/>
      <c r="S193" s="745"/>
      <c r="T193" s="743"/>
      <c r="U193" s="791"/>
      <c r="V193" s="761">
        <f t="shared" si="63"/>
        <v>0</v>
      </c>
      <c r="W193" s="983">
        <v>49157</v>
      </c>
    </row>
    <row r="194" spans="4:23" x14ac:dyDescent="0.25">
      <c r="D194" s="9" t="b">
        <f t="shared" si="60"/>
        <v>0</v>
      </c>
      <c r="E194" s="9">
        <f t="shared" si="61"/>
        <v>0</v>
      </c>
      <c r="G194" s="977">
        <v>49188</v>
      </c>
      <c r="H194" s="554">
        <f t="shared" si="62"/>
        <v>45968.904000000039</v>
      </c>
      <c r="I194" s="744"/>
      <c r="J194" s="743"/>
      <c r="K194" s="744"/>
      <c r="L194" s="761">
        <f t="shared" si="59"/>
        <v>45968.904000000039</v>
      </c>
      <c r="M194" s="785"/>
      <c r="N194" s="554"/>
      <c r="O194" s="744"/>
      <c r="P194" s="743"/>
      <c r="Q194" s="744"/>
      <c r="R194" s="743"/>
      <c r="S194" s="745"/>
      <c r="T194" s="743"/>
      <c r="U194" s="791"/>
      <c r="V194" s="761">
        <f t="shared" si="63"/>
        <v>0</v>
      </c>
      <c r="W194" s="983">
        <v>49188</v>
      </c>
    </row>
    <row r="195" spans="4:23" x14ac:dyDescent="0.25">
      <c r="D195" s="9" t="b">
        <f t="shared" si="60"/>
        <v>0</v>
      </c>
      <c r="E195" s="9">
        <f t="shared" si="61"/>
        <v>0</v>
      </c>
      <c r="G195" s="977">
        <v>49218</v>
      </c>
      <c r="H195" s="554">
        <f t="shared" si="62"/>
        <v>45339.193000000036</v>
      </c>
      <c r="I195" s="744"/>
      <c r="J195" s="743"/>
      <c r="K195" s="744"/>
      <c r="L195" s="761">
        <f t="shared" si="59"/>
        <v>45339.193000000036</v>
      </c>
      <c r="M195" s="785"/>
      <c r="N195" s="554"/>
      <c r="O195" s="744"/>
      <c r="P195" s="743"/>
      <c r="Q195" s="744"/>
      <c r="R195" s="743"/>
      <c r="S195" s="745"/>
      <c r="T195" s="743"/>
      <c r="U195" s="791"/>
      <c r="V195" s="761">
        <f t="shared" si="63"/>
        <v>0</v>
      </c>
      <c r="W195" s="983">
        <v>49218</v>
      </c>
    </row>
    <row r="196" spans="4:23" x14ac:dyDescent="0.25">
      <c r="D196" s="9" t="b">
        <f t="shared" si="60"/>
        <v>0</v>
      </c>
      <c r="E196" s="9">
        <f t="shared" si="61"/>
        <v>0</v>
      </c>
      <c r="G196" s="977">
        <v>49249</v>
      </c>
      <c r="H196" s="554">
        <f t="shared" si="62"/>
        <v>44709.482000000033</v>
      </c>
      <c r="I196" s="744"/>
      <c r="J196" s="743"/>
      <c r="K196" s="744"/>
      <c r="L196" s="761">
        <f t="shared" si="59"/>
        <v>44709.482000000033</v>
      </c>
      <c r="M196" s="785"/>
      <c r="N196" s="554"/>
      <c r="O196" s="744"/>
      <c r="P196" s="743"/>
      <c r="Q196" s="744"/>
      <c r="R196" s="743"/>
      <c r="S196" s="745"/>
      <c r="T196" s="743"/>
      <c r="U196" s="791"/>
      <c r="V196" s="761">
        <f t="shared" si="63"/>
        <v>0</v>
      </c>
      <c r="W196" s="983">
        <v>49249</v>
      </c>
    </row>
    <row r="197" spans="4:23" x14ac:dyDescent="0.25">
      <c r="D197" s="9" t="b">
        <f t="shared" si="60"/>
        <v>0</v>
      </c>
      <c r="E197" s="9">
        <f t="shared" si="61"/>
        <v>0</v>
      </c>
      <c r="G197" s="977">
        <v>49279</v>
      </c>
      <c r="H197" s="554">
        <f t="shared" si="62"/>
        <v>44079.77100000003</v>
      </c>
      <c r="I197" s="744"/>
      <c r="J197" s="743"/>
      <c r="K197" s="744"/>
      <c r="L197" s="761">
        <f t="shared" si="59"/>
        <v>44079.77100000003</v>
      </c>
      <c r="M197" s="785"/>
      <c r="N197" s="554"/>
      <c r="O197" s="744"/>
      <c r="P197" s="743"/>
      <c r="Q197" s="744"/>
      <c r="R197" s="743"/>
      <c r="S197" s="745"/>
      <c r="T197" s="743"/>
      <c r="U197" s="791"/>
      <c r="V197" s="761">
        <f t="shared" si="63"/>
        <v>0</v>
      </c>
      <c r="W197" s="983">
        <v>49279</v>
      </c>
    </row>
    <row r="198" spans="4:23" x14ac:dyDescent="0.25">
      <c r="D198" s="9" t="b">
        <f t="shared" si="60"/>
        <v>0</v>
      </c>
      <c r="E198" s="9">
        <f t="shared" si="61"/>
        <v>0</v>
      </c>
      <c r="G198" s="977">
        <v>49310</v>
      </c>
      <c r="H198" s="554">
        <f t="shared" si="62"/>
        <v>43450.060000000027</v>
      </c>
      <c r="I198" s="744"/>
      <c r="J198" s="743"/>
      <c r="K198" s="744"/>
      <c r="L198" s="761">
        <f t="shared" si="59"/>
        <v>43450.060000000027</v>
      </c>
      <c r="M198" s="785"/>
      <c r="N198" s="554"/>
      <c r="O198" s="744"/>
      <c r="P198" s="743"/>
      <c r="Q198" s="744"/>
      <c r="R198" s="743"/>
      <c r="S198" s="745"/>
      <c r="T198" s="743"/>
      <c r="U198" s="791"/>
      <c r="V198" s="761">
        <f t="shared" si="63"/>
        <v>0</v>
      </c>
      <c r="W198" s="983">
        <v>49310</v>
      </c>
    </row>
    <row r="199" spans="4:23" x14ac:dyDescent="0.25">
      <c r="D199" s="9" t="b">
        <f t="shared" si="60"/>
        <v>0</v>
      </c>
      <c r="E199" s="9">
        <f t="shared" si="61"/>
        <v>0</v>
      </c>
      <c r="G199" s="977">
        <v>49341</v>
      </c>
      <c r="H199" s="554">
        <f t="shared" si="62"/>
        <v>42820.349000000024</v>
      </c>
      <c r="I199" s="744"/>
      <c r="J199" s="743"/>
      <c r="K199" s="744"/>
      <c r="L199" s="761">
        <f t="shared" si="59"/>
        <v>42820.349000000024</v>
      </c>
      <c r="M199" s="785"/>
      <c r="N199" s="554"/>
      <c r="O199" s="744"/>
      <c r="P199" s="743"/>
      <c r="Q199" s="744"/>
      <c r="R199" s="743"/>
      <c r="S199" s="745"/>
      <c r="T199" s="743"/>
      <c r="U199" s="791"/>
      <c r="V199" s="761">
        <f t="shared" si="63"/>
        <v>0</v>
      </c>
      <c r="W199" s="983">
        <v>49341</v>
      </c>
    </row>
    <row r="200" spans="4:23" x14ac:dyDescent="0.25">
      <c r="D200" s="9" t="b">
        <f t="shared" si="60"/>
        <v>0</v>
      </c>
      <c r="E200" s="9">
        <f t="shared" si="61"/>
        <v>0</v>
      </c>
      <c r="G200" s="977">
        <v>49369</v>
      </c>
      <c r="H200" s="554">
        <f t="shared" si="62"/>
        <v>42190.638000000021</v>
      </c>
      <c r="I200" s="744"/>
      <c r="J200" s="743"/>
      <c r="K200" s="744"/>
      <c r="L200" s="761">
        <f t="shared" si="59"/>
        <v>42190.638000000021</v>
      </c>
      <c r="M200" s="785"/>
      <c r="N200" s="554"/>
      <c r="O200" s="744"/>
      <c r="P200" s="743"/>
      <c r="Q200" s="744"/>
      <c r="R200" s="743"/>
      <c r="S200" s="745"/>
      <c r="T200" s="743"/>
      <c r="U200" s="791"/>
      <c r="V200" s="761">
        <f t="shared" si="63"/>
        <v>0</v>
      </c>
      <c r="W200" s="983">
        <v>49369</v>
      </c>
    </row>
    <row r="201" spans="4:23" x14ac:dyDescent="0.25">
      <c r="D201" s="9" t="b">
        <f t="shared" si="60"/>
        <v>0</v>
      </c>
      <c r="E201" s="9">
        <f t="shared" si="61"/>
        <v>0</v>
      </c>
      <c r="G201" s="977">
        <v>49400</v>
      </c>
      <c r="H201" s="554">
        <f t="shared" si="62"/>
        <v>41560.927000000018</v>
      </c>
      <c r="I201" s="744"/>
      <c r="J201" s="743"/>
      <c r="K201" s="744"/>
      <c r="L201" s="761">
        <f t="shared" si="59"/>
        <v>41560.927000000018</v>
      </c>
      <c r="M201" s="785"/>
      <c r="N201" s="554"/>
      <c r="O201" s="744"/>
      <c r="P201" s="743"/>
      <c r="Q201" s="744"/>
      <c r="R201" s="743"/>
      <c r="S201" s="745"/>
      <c r="T201" s="743"/>
      <c r="U201" s="791"/>
      <c r="V201" s="761">
        <f t="shared" si="63"/>
        <v>0</v>
      </c>
      <c r="W201" s="983">
        <v>49400</v>
      </c>
    </row>
    <row r="202" spans="4:23" x14ac:dyDescent="0.25">
      <c r="D202" s="9" t="b">
        <f t="shared" si="60"/>
        <v>0</v>
      </c>
      <c r="E202" s="9">
        <f t="shared" si="61"/>
        <v>0</v>
      </c>
      <c r="G202" s="977">
        <v>49430</v>
      </c>
      <c r="H202" s="554">
        <f t="shared" si="62"/>
        <v>40931.216000000015</v>
      </c>
      <c r="I202" s="744"/>
      <c r="J202" s="743"/>
      <c r="K202" s="744"/>
      <c r="L202" s="761">
        <f t="shared" si="59"/>
        <v>40931.216000000015</v>
      </c>
      <c r="M202" s="785"/>
      <c r="N202" s="554"/>
      <c r="O202" s="744"/>
      <c r="P202" s="743"/>
      <c r="Q202" s="744"/>
      <c r="R202" s="743"/>
      <c r="S202" s="745"/>
      <c r="T202" s="743"/>
      <c r="U202" s="791"/>
      <c r="V202" s="761">
        <f t="shared" si="63"/>
        <v>0</v>
      </c>
      <c r="W202" s="983">
        <v>49430</v>
      </c>
    </row>
    <row r="203" spans="4:23" x14ac:dyDescent="0.25">
      <c r="D203" s="9" t="b">
        <f t="shared" si="60"/>
        <v>0</v>
      </c>
      <c r="E203" s="9">
        <f t="shared" si="61"/>
        <v>0</v>
      </c>
      <c r="G203" s="977">
        <v>49461</v>
      </c>
      <c r="H203" s="554">
        <f t="shared" si="62"/>
        <v>40301.505000000012</v>
      </c>
      <c r="I203" s="744"/>
      <c r="J203" s="743"/>
      <c r="K203" s="744"/>
      <c r="L203" s="761">
        <f t="shared" si="59"/>
        <v>40301.505000000012</v>
      </c>
      <c r="M203" s="785"/>
      <c r="N203" s="554"/>
      <c r="O203" s="744"/>
      <c r="P203" s="743"/>
      <c r="Q203" s="744"/>
      <c r="R203" s="743"/>
      <c r="S203" s="745"/>
      <c r="T203" s="743"/>
      <c r="U203" s="791"/>
      <c r="V203" s="761">
        <f t="shared" si="63"/>
        <v>0</v>
      </c>
      <c r="W203" s="983">
        <v>49461</v>
      </c>
    </row>
    <row r="204" spans="4:23" x14ac:dyDescent="0.25">
      <c r="D204" s="9" t="b">
        <f t="shared" si="60"/>
        <v>0</v>
      </c>
      <c r="E204" s="9">
        <f t="shared" si="61"/>
        <v>0</v>
      </c>
      <c r="G204" s="977">
        <v>49491</v>
      </c>
      <c r="H204" s="554">
        <f t="shared" si="62"/>
        <v>39671.794000000009</v>
      </c>
      <c r="I204" s="744"/>
      <c r="J204" s="743"/>
      <c r="K204" s="744"/>
      <c r="L204" s="761">
        <f t="shared" si="59"/>
        <v>39671.794000000009</v>
      </c>
      <c r="M204" s="785"/>
      <c r="N204" s="554"/>
      <c r="O204" s="744"/>
      <c r="P204" s="743"/>
      <c r="Q204" s="744"/>
      <c r="R204" s="743"/>
      <c r="S204" s="745"/>
      <c r="T204" s="743"/>
      <c r="U204" s="791"/>
      <c r="V204" s="761">
        <f t="shared" si="63"/>
        <v>0</v>
      </c>
      <c r="W204" s="983">
        <v>49491</v>
      </c>
    </row>
    <row r="205" spans="4:23" x14ac:dyDescent="0.25">
      <c r="D205" s="9" t="b">
        <f t="shared" si="60"/>
        <v>0</v>
      </c>
      <c r="E205" s="9">
        <f t="shared" si="61"/>
        <v>0</v>
      </c>
      <c r="G205" s="977">
        <v>49522</v>
      </c>
      <c r="H205" s="554">
        <f t="shared" si="62"/>
        <v>39042.083000000006</v>
      </c>
      <c r="I205" s="744"/>
      <c r="J205" s="743"/>
      <c r="K205" s="744"/>
      <c r="L205" s="761">
        <f t="shared" si="59"/>
        <v>39042.083000000006</v>
      </c>
      <c r="M205" s="785"/>
      <c r="N205" s="554"/>
      <c r="O205" s="744"/>
      <c r="P205" s="743"/>
      <c r="Q205" s="744"/>
      <c r="R205" s="743"/>
      <c r="S205" s="745"/>
      <c r="T205" s="743"/>
      <c r="U205" s="791"/>
      <c r="V205" s="761">
        <f t="shared" si="63"/>
        <v>0</v>
      </c>
      <c r="W205" s="983">
        <v>49522</v>
      </c>
    </row>
    <row r="206" spans="4:23" x14ac:dyDescent="0.25">
      <c r="D206" s="9" t="b">
        <f t="shared" si="60"/>
        <v>0</v>
      </c>
      <c r="E206" s="9">
        <f t="shared" si="61"/>
        <v>0</v>
      </c>
      <c r="G206" s="977">
        <v>49553</v>
      </c>
      <c r="H206" s="554">
        <f t="shared" si="62"/>
        <v>38412.372000000003</v>
      </c>
      <c r="I206" s="744"/>
      <c r="J206" s="743"/>
      <c r="K206" s="744"/>
      <c r="L206" s="761">
        <f t="shared" si="59"/>
        <v>38412.372000000003</v>
      </c>
      <c r="M206" s="785"/>
      <c r="N206" s="554"/>
      <c r="O206" s="744"/>
      <c r="P206" s="743"/>
      <c r="Q206" s="744"/>
      <c r="R206" s="743"/>
      <c r="S206" s="745"/>
      <c r="T206" s="743"/>
      <c r="U206" s="791"/>
      <c r="V206" s="761">
        <f t="shared" si="63"/>
        <v>0</v>
      </c>
      <c r="W206" s="983">
        <v>49553</v>
      </c>
    </row>
    <row r="207" spans="4:23" x14ac:dyDescent="0.25">
      <c r="D207" s="9" t="b">
        <f t="shared" si="60"/>
        <v>0</v>
      </c>
      <c r="E207" s="9">
        <f t="shared" si="61"/>
        <v>0</v>
      </c>
      <c r="G207" s="977">
        <v>49583</v>
      </c>
      <c r="H207" s="554">
        <f t="shared" si="62"/>
        <v>37782.661</v>
      </c>
      <c r="I207" s="744"/>
      <c r="J207" s="743"/>
      <c r="K207" s="744"/>
      <c r="L207" s="761">
        <f t="shared" si="59"/>
        <v>37782.661</v>
      </c>
      <c r="M207" s="785"/>
      <c r="N207" s="554"/>
      <c r="O207" s="744"/>
      <c r="P207" s="743"/>
      <c r="Q207" s="744"/>
      <c r="R207" s="743"/>
      <c r="S207" s="745"/>
      <c r="T207" s="743"/>
      <c r="U207" s="791"/>
      <c r="V207" s="761">
        <f t="shared" si="63"/>
        <v>0</v>
      </c>
      <c r="W207" s="983">
        <v>49583</v>
      </c>
    </row>
    <row r="208" spans="4:23" x14ac:dyDescent="0.25">
      <c r="D208" s="9" t="b">
        <f t="shared" si="60"/>
        <v>0</v>
      </c>
      <c r="E208" s="9">
        <f t="shared" si="61"/>
        <v>0</v>
      </c>
      <c r="G208" s="977">
        <v>49614</v>
      </c>
      <c r="H208" s="554">
        <f t="shared" si="62"/>
        <v>37152.949999999997</v>
      </c>
      <c r="I208" s="744"/>
      <c r="J208" s="743"/>
      <c r="K208" s="744"/>
      <c r="L208" s="761">
        <f t="shared" si="59"/>
        <v>37152.949999999997</v>
      </c>
      <c r="M208" s="785"/>
      <c r="N208" s="554"/>
      <c r="O208" s="744"/>
      <c r="P208" s="743"/>
      <c r="Q208" s="744"/>
      <c r="R208" s="743"/>
      <c r="S208" s="745"/>
      <c r="T208" s="743"/>
      <c r="U208" s="791"/>
      <c r="V208" s="761">
        <f t="shared" si="63"/>
        <v>0</v>
      </c>
      <c r="W208" s="983">
        <v>49614</v>
      </c>
    </row>
    <row r="209" spans="4:23" x14ac:dyDescent="0.25">
      <c r="D209" s="9" t="b">
        <f t="shared" si="60"/>
        <v>0</v>
      </c>
      <c r="E209" s="9">
        <f t="shared" si="61"/>
        <v>0</v>
      </c>
      <c r="G209" s="977">
        <v>49644</v>
      </c>
      <c r="H209" s="554">
        <f t="shared" si="62"/>
        <v>36523.238999999994</v>
      </c>
      <c r="I209" s="744"/>
      <c r="J209" s="743"/>
      <c r="K209" s="744"/>
      <c r="L209" s="761">
        <f t="shared" si="59"/>
        <v>36523.238999999994</v>
      </c>
      <c r="M209" s="785"/>
      <c r="N209" s="554"/>
      <c r="O209" s="744"/>
      <c r="P209" s="743"/>
      <c r="Q209" s="744"/>
      <c r="R209" s="743"/>
      <c r="S209" s="745"/>
      <c r="T209" s="743"/>
      <c r="U209" s="791"/>
      <c r="V209" s="761">
        <f t="shared" si="63"/>
        <v>0</v>
      </c>
      <c r="W209" s="983">
        <v>49644</v>
      </c>
    </row>
    <row r="210" spans="4:23" x14ac:dyDescent="0.25">
      <c r="D210" s="9" t="b">
        <f t="shared" si="60"/>
        <v>0</v>
      </c>
      <c r="E210" s="9">
        <f t="shared" si="61"/>
        <v>0</v>
      </c>
      <c r="G210" s="977">
        <v>49675</v>
      </c>
      <c r="H210" s="554">
        <f t="shared" si="62"/>
        <v>35893.527999999991</v>
      </c>
      <c r="I210" s="744"/>
      <c r="J210" s="743"/>
      <c r="K210" s="744"/>
      <c r="L210" s="761">
        <f t="shared" si="59"/>
        <v>35893.527999999991</v>
      </c>
      <c r="M210" s="785"/>
      <c r="N210" s="554"/>
      <c r="O210" s="744"/>
      <c r="P210" s="743"/>
      <c r="Q210" s="744"/>
      <c r="R210" s="743"/>
      <c r="S210" s="745"/>
      <c r="T210" s="743"/>
      <c r="U210" s="791"/>
      <c r="V210" s="761">
        <f t="shared" si="63"/>
        <v>0</v>
      </c>
      <c r="W210" s="983">
        <v>49675</v>
      </c>
    </row>
    <row r="211" spans="4:23" x14ac:dyDescent="0.25">
      <c r="D211" s="9" t="b">
        <f t="shared" si="60"/>
        <v>0</v>
      </c>
      <c r="E211" s="9">
        <f t="shared" si="61"/>
        <v>0</v>
      </c>
      <c r="G211" s="977">
        <v>49706</v>
      </c>
      <c r="H211" s="554">
        <f t="shared" si="62"/>
        <v>35263.816999999988</v>
      </c>
      <c r="I211" s="744"/>
      <c r="J211" s="743"/>
      <c r="K211" s="744"/>
      <c r="L211" s="761">
        <f t="shared" si="59"/>
        <v>35263.816999999988</v>
      </c>
      <c r="M211" s="785"/>
      <c r="N211" s="554"/>
      <c r="O211" s="744"/>
      <c r="P211" s="743"/>
      <c r="Q211" s="744"/>
      <c r="R211" s="743"/>
      <c r="S211" s="745"/>
      <c r="T211" s="743"/>
      <c r="U211" s="791"/>
      <c r="V211" s="761">
        <f t="shared" si="63"/>
        <v>0</v>
      </c>
      <c r="W211" s="983">
        <v>49706</v>
      </c>
    </row>
    <row r="212" spans="4:23" x14ac:dyDescent="0.25">
      <c r="D212" s="9" t="b">
        <f t="shared" si="60"/>
        <v>0</v>
      </c>
      <c r="E212" s="9">
        <f t="shared" si="61"/>
        <v>0</v>
      </c>
      <c r="G212" s="977">
        <v>49735</v>
      </c>
      <c r="H212" s="554">
        <f t="shared" si="62"/>
        <v>34634.105999999985</v>
      </c>
      <c r="I212" s="744"/>
      <c r="J212" s="743"/>
      <c r="K212" s="744"/>
      <c r="L212" s="761">
        <f t="shared" si="59"/>
        <v>34634.105999999985</v>
      </c>
      <c r="M212" s="785"/>
      <c r="N212" s="554"/>
      <c r="O212" s="744"/>
      <c r="P212" s="743"/>
      <c r="Q212" s="744"/>
      <c r="R212" s="743"/>
      <c r="S212" s="745"/>
      <c r="T212" s="743"/>
      <c r="U212" s="791"/>
      <c r="V212" s="761">
        <f t="shared" si="63"/>
        <v>0</v>
      </c>
      <c r="W212" s="983">
        <v>49735</v>
      </c>
    </row>
    <row r="213" spans="4:23" x14ac:dyDescent="0.25">
      <c r="D213" s="9" t="b">
        <f t="shared" si="60"/>
        <v>0</v>
      </c>
      <c r="E213" s="9">
        <f t="shared" si="61"/>
        <v>0</v>
      </c>
      <c r="G213" s="977">
        <v>49766</v>
      </c>
      <c r="H213" s="554">
        <f t="shared" si="62"/>
        <v>34004.394999999982</v>
      </c>
      <c r="I213" s="744"/>
      <c r="J213" s="743"/>
      <c r="K213" s="744"/>
      <c r="L213" s="761">
        <f t="shared" si="59"/>
        <v>34004.394999999982</v>
      </c>
      <c r="M213" s="785"/>
      <c r="N213" s="554"/>
      <c r="O213" s="744"/>
      <c r="P213" s="743"/>
      <c r="Q213" s="744"/>
      <c r="R213" s="743"/>
      <c r="S213" s="745"/>
      <c r="T213" s="743"/>
      <c r="U213" s="791"/>
      <c r="V213" s="761">
        <f t="shared" si="63"/>
        <v>0</v>
      </c>
      <c r="W213" s="983">
        <v>49766</v>
      </c>
    </row>
    <row r="214" spans="4:23" x14ac:dyDescent="0.25">
      <c r="D214" s="9" t="b">
        <f t="shared" si="60"/>
        <v>0</v>
      </c>
      <c r="E214" s="9">
        <f t="shared" si="61"/>
        <v>0</v>
      </c>
      <c r="G214" s="977">
        <v>49796</v>
      </c>
      <c r="H214" s="554">
        <f t="shared" si="62"/>
        <v>33374.683999999979</v>
      </c>
      <c r="I214" s="744"/>
      <c r="J214" s="743"/>
      <c r="K214" s="744"/>
      <c r="L214" s="761">
        <f t="shared" si="59"/>
        <v>33374.683999999979</v>
      </c>
      <c r="M214" s="785"/>
      <c r="N214" s="554"/>
      <c r="O214" s="744"/>
      <c r="P214" s="743"/>
      <c r="Q214" s="744"/>
      <c r="R214" s="743"/>
      <c r="S214" s="745"/>
      <c r="T214" s="743"/>
      <c r="U214" s="791"/>
      <c r="V214" s="761">
        <f t="shared" si="63"/>
        <v>0</v>
      </c>
      <c r="W214" s="983">
        <v>49796</v>
      </c>
    </row>
    <row r="215" spans="4:23" x14ac:dyDescent="0.25">
      <c r="D215" s="9" t="b">
        <f t="shared" si="60"/>
        <v>0</v>
      </c>
      <c r="E215" s="9">
        <f t="shared" si="61"/>
        <v>0</v>
      </c>
      <c r="G215" s="977">
        <v>49827</v>
      </c>
      <c r="H215" s="554">
        <f t="shared" si="62"/>
        <v>32744.97299999998</v>
      </c>
      <c r="I215" s="744"/>
      <c r="J215" s="743"/>
      <c r="K215" s="744"/>
      <c r="L215" s="761">
        <f t="shared" si="59"/>
        <v>32744.97299999998</v>
      </c>
      <c r="M215" s="785"/>
      <c r="N215" s="554"/>
      <c r="O215" s="744"/>
      <c r="P215" s="743"/>
      <c r="Q215" s="744"/>
      <c r="R215" s="743"/>
      <c r="S215" s="745"/>
      <c r="T215" s="743"/>
      <c r="U215" s="791"/>
      <c r="V215" s="761">
        <f t="shared" si="63"/>
        <v>0</v>
      </c>
      <c r="W215" s="983">
        <v>49827</v>
      </c>
    </row>
    <row r="216" spans="4:23" x14ac:dyDescent="0.25">
      <c r="D216" s="9" t="b">
        <f t="shared" si="60"/>
        <v>0</v>
      </c>
      <c r="E216" s="9">
        <f t="shared" si="61"/>
        <v>0</v>
      </c>
      <c r="G216" s="977">
        <v>49857</v>
      </c>
      <c r="H216" s="554">
        <f t="shared" si="62"/>
        <v>32115.261999999981</v>
      </c>
      <c r="I216" s="744"/>
      <c r="J216" s="743"/>
      <c r="K216" s="744"/>
      <c r="L216" s="761">
        <f t="shared" si="59"/>
        <v>32115.261999999981</v>
      </c>
      <c r="M216" s="785"/>
      <c r="N216" s="554"/>
      <c r="O216" s="744"/>
      <c r="P216" s="743"/>
      <c r="Q216" s="744"/>
      <c r="R216" s="743"/>
      <c r="S216" s="745"/>
      <c r="T216" s="743"/>
      <c r="U216" s="791"/>
      <c r="V216" s="761">
        <f t="shared" si="63"/>
        <v>0</v>
      </c>
      <c r="W216" s="983">
        <v>49857</v>
      </c>
    </row>
    <row r="217" spans="4:23" x14ac:dyDescent="0.25">
      <c r="D217" s="9" t="b">
        <f t="shared" si="60"/>
        <v>0</v>
      </c>
      <c r="E217" s="9">
        <f t="shared" si="61"/>
        <v>0</v>
      </c>
      <c r="G217" s="977">
        <v>49888</v>
      </c>
      <c r="H217" s="554">
        <f t="shared" si="62"/>
        <v>31485.550999999981</v>
      </c>
      <c r="I217" s="744"/>
      <c r="J217" s="743"/>
      <c r="K217" s="744"/>
      <c r="L217" s="761">
        <f t="shared" si="59"/>
        <v>31485.550999999981</v>
      </c>
      <c r="M217" s="785"/>
      <c r="N217" s="554"/>
      <c r="O217" s="744"/>
      <c r="P217" s="743"/>
      <c r="Q217" s="744"/>
      <c r="R217" s="743"/>
      <c r="S217" s="745"/>
      <c r="T217" s="743"/>
      <c r="U217" s="791"/>
      <c r="V217" s="761">
        <f t="shared" si="63"/>
        <v>0</v>
      </c>
      <c r="W217" s="983">
        <v>49888</v>
      </c>
    </row>
    <row r="218" spans="4:23" x14ac:dyDescent="0.25">
      <c r="D218" s="9" t="b">
        <f t="shared" si="60"/>
        <v>0</v>
      </c>
      <c r="E218" s="9">
        <f t="shared" si="61"/>
        <v>0</v>
      </c>
      <c r="G218" s="977">
        <v>49919</v>
      </c>
      <c r="H218" s="554">
        <f t="shared" si="62"/>
        <v>30855.839999999982</v>
      </c>
      <c r="I218" s="744"/>
      <c r="J218" s="743"/>
      <c r="K218" s="744"/>
      <c r="L218" s="761">
        <f t="shared" si="59"/>
        <v>30855.839999999982</v>
      </c>
      <c r="M218" s="785"/>
      <c r="N218" s="554"/>
      <c r="O218" s="744"/>
      <c r="P218" s="743"/>
      <c r="Q218" s="744"/>
      <c r="R218" s="743"/>
      <c r="S218" s="745"/>
      <c r="T218" s="743"/>
      <c r="U218" s="791"/>
      <c r="V218" s="761">
        <f t="shared" si="63"/>
        <v>0</v>
      </c>
      <c r="W218" s="983">
        <v>49919</v>
      </c>
    </row>
    <row r="219" spans="4:23" x14ac:dyDescent="0.25">
      <c r="D219" s="9" t="b">
        <f t="shared" si="60"/>
        <v>0</v>
      </c>
      <c r="E219" s="9">
        <f t="shared" si="61"/>
        <v>0</v>
      </c>
      <c r="G219" s="977">
        <v>49949</v>
      </c>
      <c r="H219" s="554">
        <f t="shared" si="62"/>
        <v>30226.128999999983</v>
      </c>
      <c r="I219" s="744"/>
      <c r="J219" s="743"/>
      <c r="K219" s="744"/>
      <c r="L219" s="761">
        <f t="shared" si="59"/>
        <v>30226.128999999983</v>
      </c>
      <c r="M219" s="785"/>
      <c r="N219" s="554"/>
      <c r="O219" s="744"/>
      <c r="P219" s="743"/>
      <c r="Q219" s="744"/>
      <c r="R219" s="743"/>
      <c r="S219" s="745"/>
      <c r="T219" s="743"/>
      <c r="U219" s="791"/>
      <c r="V219" s="761">
        <f t="shared" si="63"/>
        <v>0</v>
      </c>
      <c r="W219" s="983">
        <v>49949</v>
      </c>
    </row>
    <row r="220" spans="4:23" x14ac:dyDescent="0.25">
      <c r="D220" s="9" t="b">
        <f t="shared" si="60"/>
        <v>0</v>
      </c>
      <c r="E220" s="9">
        <f t="shared" si="61"/>
        <v>0</v>
      </c>
      <c r="G220" s="977">
        <v>49980</v>
      </c>
      <c r="H220" s="554">
        <f t="shared" si="62"/>
        <v>29596.417999999983</v>
      </c>
      <c r="I220" s="744"/>
      <c r="J220" s="743"/>
      <c r="K220" s="744"/>
      <c r="L220" s="761">
        <f t="shared" ref="L220:L267" si="64">SUM(H220:K220)</f>
        <v>29596.417999999983</v>
      </c>
      <c r="M220" s="785"/>
      <c r="N220" s="554"/>
      <c r="O220" s="744"/>
      <c r="P220" s="743"/>
      <c r="Q220" s="744"/>
      <c r="R220" s="743"/>
      <c r="S220" s="745"/>
      <c r="T220" s="743"/>
      <c r="U220" s="791"/>
      <c r="V220" s="761">
        <f t="shared" si="63"/>
        <v>0</v>
      </c>
      <c r="W220" s="983">
        <v>49980</v>
      </c>
    </row>
    <row r="221" spans="4:23" x14ac:dyDescent="0.25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7">
        <v>50010</v>
      </c>
      <c r="H221" s="554">
        <f t="shared" ref="H221:H267" si="67">H220-$H$7</f>
        <v>28966.706999999984</v>
      </c>
      <c r="I221" s="744"/>
      <c r="J221" s="743"/>
      <c r="K221" s="744"/>
      <c r="L221" s="761">
        <f t="shared" si="64"/>
        <v>28966.706999999984</v>
      </c>
      <c r="M221" s="785"/>
      <c r="N221" s="554"/>
      <c r="O221" s="744"/>
      <c r="P221" s="743"/>
      <c r="Q221" s="744"/>
      <c r="R221" s="743"/>
      <c r="S221" s="745"/>
      <c r="T221" s="743"/>
      <c r="U221" s="791"/>
      <c r="V221" s="761">
        <f t="shared" ref="V221:V267" si="68">SUM(N221:U221)</f>
        <v>0</v>
      </c>
      <c r="W221" s="983">
        <v>50010</v>
      </c>
    </row>
    <row r="222" spans="4:23" x14ac:dyDescent="0.25">
      <c r="D222" s="9" t="b">
        <f t="shared" si="65"/>
        <v>0</v>
      </c>
      <c r="E222" s="9">
        <f t="shared" si="66"/>
        <v>0</v>
      </c>
      <c r="G222" s="977">
        <v>50041</v>
      </c>
      <c r="H222" s="554">
        <f t="shared" si="67"/>
        <v>28336.995999999985</v>
      </c>
      <c r="I222" s="744"/>
      <c r="J222" s="743"/>
      <c r="K222" s="744"/>
      <c r="L222" s="761">
        <f t="shared" si="64"/>
        <v>28336.995999999985</v>
      </c>
      <c r="M222" s="785"/>
      <c r="N222" s="554"/>
      <c r="O222" s="744"/>
      <c r="P222" s="743"/>
      <c r="Q222" s="744"/>
      <c r="R222" s="743"/>
      <c r="S222" s="745"/>
      <c r="T222" s="743"/>
      <c r="U222" s="791"/>
      <c r="V222" s="761">
        <f t="shared" si="68"/>
        <v>0</v>
      </c>
      <c r="W222" s="983">
        <v>50041</v>
      </c>
    </row>
    <row r="223" spans="4:23" x14ac:dyDescent="0.25">
      <c r="D223" s="9" t="b">
        <f t="shared" si="65"/>
        <v>0</v>
      </c>
      <c r="E223" s="9">
        <f t="shared" si="66"/>
        <v>0</v>
      </c>
      <c r="G223" s="977">
        <v>50072</v>
      </c>
      <c r="H223" s="554">
        <f t="shared" si="67"/>
        <v>27707.284999999985</v>
      </c>
      <c r="I223" s="744"/>
      <c r="J223" s="743"/>
      <c r="K223" s="744"/>
      <c r="L223" s="761">
        <f t="shared" si="64"/>
        <v>27707.284999999985</v>
      </c>
      <c r="M223" s="785"/>
      <c r="N223" s="554"/>
      <c r="O223" s="744"/>
      <c r="P223" s="743"/>
      <c r="Q223" s="744"/>
      <c r="R223" s="743"/>
      <c r="S223" s="745"/>
      <c r="T223" s="743"/>
      <c r="U223" s="791"/>
      <c r="V223" s="761">
        <f t="shared" si="68"/>
        <v>0</v>
      </c>
      <c r="W223" s="983">
        <v>50072</v>
      </c>
    </row>
    <row r="224" spans="4:23" x14ac:dyDescent="0.25">
      <c r="D224" s="9" t="b">
        <f t="shared" si="65"/>
        <v>0</v>
      </c>
      <c r="E224" s="9">
        <f t="shared" si="66"/>
        <v>0</v>
      </c>
      <c r="G224" s="977">
        <v>50100</v>
      </c>
      <c r="H224" s="554">
        <f t="shared" si="67"/>
        <v>27077.573999999986</v>
      </c>
      <c r="I224" s="744"/>
      <c r="J224" s="743"/>
      <c r="K224" s="744"/>
      <c r="L224" s="761">
        <f t="shared" si="64"/>
        <v>27077.573999999986</v>
      </c>
      <c r="M224" s="785"/>
      <c r="N224" s="554"/>
      <c r="O224" s="744"/>
      <c r="P224" s="743"/>
      <c r="Q224" s="744"/>
      <c r="R224" s="743"/>
      <c r="S224" s="745"/>
      <c r="T224" s="743"/>
      <c r="U224" s="791"/>
      <c r="V224" s="761">
        <f t="shared" si="68"/>
        <v>0</v>
      </c>
      <c r="W224" s="983">
        <v>50100</v>
      </c>
    </row>
    <row r="225" spans="4:23" x14ac:dyDescent="0.25">
      <c r="D225" s="9" t="b">
        <f t="shared" si="65"/>
        <v>0</v>
      </c>
      <c r="E225" s="9">
        <f t="shared" si="66"/>
        <v>0</v>
      </c>
      <c r="G225" s="977">
        <v>50131</v>
      </c>
      <c r="H225" s="554">
        <f t="shared" si="67"/>
        <v>26447.862999999987</v>
      </c>
      <c r="I225" s="744"/>
      <c r="J225" s="743"/>
      <c r="K225" s="744"/>
      <c r="L225" s="761">
        <f t="shared" si="64"/>
        <v>26447.862999999987</v>
      </c>
      <c r="M225" s="785"/>
      <c r="N225" s="554"/>
      <c r="O225" s="744"/>
      <c r="P225" s="743"/>
      <c r="Q225" s="744"/>
      <c r="R225" s="743"/>
      <c r="S225" s="745"/>
      <c r="T225" s="743"/>
      <c r="U225" s="791"/>
      <c r="V225" s="761">
        <f t="shared" si="68"/>
        <v>0</v>
      </c>
      <c r="W225" s="983">
        <v>50131</v>
      </c>
    </row>
    <row r="226" spans="4:23" x14ac:dyDescent="0.25">
      <c r="D226" s="9" t="b">
        <f t="shared" si="65"/>
        <v>0</v>
      </c>
      <c r="E226" s="9">
        <f t="shared" si="66"/>
        <v>0</v>
      </c>
      <c r="G226" s="977">
        <v>50161</v>
      </c>
      <c r="H226" s="554">
        <f t="shared" si="67"/>
        <v>25818.151999999987</v>
      </c>
      <c r="I226" s="744"/>
      <c r="J226" s="743"/>
      <c r="K226" s="744"/>
      <c r="L226" s="761">
        <f t="shared" si="64"/>
        <v>25818.151999999987</v>
      </c>
      <c r="M226" s="785"/>
      <c r="N226" s="554"/>
      <c r="O226" s="744"/>
      <c r="P226" s="743"/>
      <c r="Q226" s="744"/>
      <c r="R226" s="743"/>
      <c r="S226" s="745"/>
      <c r="T226" s="743"/>
      <c r="U226" s="791"/>
      <c r="V226" s="761">
        <f t="shared" si="68"/>
        <v>0</v>
      </c>
      <c r="W226" s="983">
        <v>50161</v>
      </c>
    </row>
    <row r="227" spans="4:23" x14ac:dyDescent="0.25">
      <c r="D227" s="9" t="b">
        <f t="shared" si="65"/>
        <v>0</v>
      </c>
      <c r="E227" s="9">
        <f t="shared" si="66"/>
        <v>0</v>
      </c>
      <c r="G227" s="977">
        <v>50192</v>
      </c>
      <c r="H227" s="554">
        <f t="shared" si="67"/>
        <v>25188.440999999988</v>
      </c>
      <c r="I227" s="744"/>
      <c r="J227" s="743"/>
      <c r="K227" s="744"/>
      <c r="L227" s="761">
        <f t="shared" si="64"/>
        <v>25188.440999999988</v>
      </c>
      <c r="M227" s="785"/>
      <c r="N227" s="554"/>
      <c r="O227" s="744"/>
      <c r="P227" s="743"/>
      <c r="Q227" s="744"/>
      <c r="R227" s="743"/>
      <c r="S227" s="745"/>
      <c r="T227" s="743"/>
      <c r="U227" s="791"/>
      <c r="V227" s="761">
        <f t="shared" si="68"/>
        <v>0</v>
      </c>
      <c r="W227" s="983">
        <v>50192</v>
      </c>
    </row>
    <row r="228" spans="4:23" x14ac:dyDescent="0.25">
      <c r="D228" s="9" t="b">
        <f t="shared" si="65"/>
        <v>0</v>
      </c>
      <c r="E228" s="9">
        <f t="shared" si="66"/>
        <v>0</v>
      </c>
      <c r="G228" s="977">
        <v>50222</v>
      </c>
      <c r="H228" s="554">
        <f t="shared" si="67"/>
        <v>24558.729999999989</v>
      </c>
      <c r="I228" s="744"/>
      <c r="J228" s="743"/>
      <c r="K228" s="744"/>
      <c r="L228" s="761">
        <f t="shared" si="64"/>
        <v>24558.729999999989</v>
      </c>
      <c r="M228" s="785"/>
      <c r="N228" s="554"/>
      <c r="O228" s="744"/>
      <c r="P228" s="743"/>
      <c r="Q228" s="744"/>
      <c r="R228" s="743"/>
      <c r="S228" s="745"/>
      <c r="T228" s="743"/>
      <c r="U228" s="791"/>
      <c r="V228" s="761">
        <f t="shared" si="68"/>
        <v>0</v>
      </c>
      <c r="W228" s="983">
        <v>50222</v>
      </c>
    </row>
    <row r="229" spans="4:23" x14ac:dyDescent="0.25">
      <c r="D229" s="9" t="b">
        <f t="shared" si="65"/>
        <v>0</v>
      </c>
      <c r="E229" s="9">
        <f t="shared" si="66"/>
        <v>0</v>
      </c>
      <c r="G229" s="977">
        <v>50253</v>
      </c>
      <c r="H229" s="554">
        <f t="shared" si="67"/>
        <v>23929.018999999989</v>
      </c>
      <c r="I229" s="744"/>
      <c r="J229" s="743"/>
      <c r="K229" s="744"/>
      <c r="L229" s="761">
        <f t="shared" si="64"/>
        <v>23929.018999999989</v>
      </c>
      <c r="M229" s="785"/>
      <c r="N229" s="554"/>
      <c r="O229" s="744"/>
      <c r="P229" s="743"/>
      <c r="Q229" s="744"/>
      <c r="R229" s="743"/>
      <c r="S229" s="745"/>
      <c r="T229" s="743"/>
      <c r="U229" s="791"/>
      <c r="V229" s="761">
        <f t="shared" si="68"/>
        <v>0</v>
      </c>
      <c r="W229" s="983">
        <v>50253</v>
      </c>
    </row>
    <row r="230" spans="4:23" x14ac:dyDescent="0.25">
      <c r="D230" s="9" t="b">
        <f t="shared" si="65"/>
        <v>0</v>
      </c>
      <c r="E230" s="9">
        <f t="shared" si="66"/>
        <v>0</v>
      </c>
      <c r="G230" s="977">
        <v>50284</v>
      </c>
      <c r="H230" s="554">
        <f t="shared" si="67"/>
        <v>23299.30799999999</v>
      </c>
      <c r="I230" s="744"/>
      <c r="J230" s="743"/>
      <c r="K230" s="744"/>
      <c r="L230" s="761">
        <f t="shared" si="64"/>
        <v>23299.30799999999</v>
      </c>
      <c r="M230" s="785"/>
      <c r="N230" s="554"/>
      <c r="O230" s="744"/>
      <c r="P230" s="743"/>
      <c r="Q230" s="744"/>
      <c r="R230" s="743"/>
      <c r="S230" s="745"/>
      <c r="T230" s="743"/>
      <c r="U230" s="791"/>
      <c r="V230" s="761">
        <f t="shared" si="68"/>
        <v>0</v>
      </c>
      <c r="W230" s="983">
        <v>50284</v>
      </c>
    </row>
    <row r="231" spans="4:23" x14ac:dyDescent="0.25">
      <c r="D231" s="9" t="b">
        <f t="shared" si="65"/>
        <v>0</v>
      </c>
      <c r="E231" s="9">
        <f t="shared" si="66"/>
        <v>0</v>
      </c>
      <c r="G231" s="977">
        <v>50314</v>
      </c>
      <c r="H231" s="554">
        <f t="shared" si="67"/>
        <v>22669.596999999991</v>
      </c>
      <c r="I231" s="744"/>
      <c r="J231" s="743"/>
      <c r="K231" s="744"/>
      <c r="L231" s="761">
        <f t="shared" si="64"/>
        <v>22669.596999999991</v>
      </c>
      <c r="M231" s="785"/>
      <c r="N231" s="554"/>
      <c r="O231" s="744"/>
      <c r="P231" s="743"/>
      <c r="Q231" s="744"/>
      <c r="R231" s="743"/>
      <c r="S231" s="745"/>
      <c r="T231" s="743"/>
      <c r="U231" s="791"/>
      <c r="V231" s="761">
        <f t="shared" si="68"/>
        <v>0</v>
      </c>
      <c r="W231" s="983">
        <v>50314</v>
      </c>
    </row>
    <row r="232" spans="4:23" x14ac:dyDescent="0.25">
      <c r="D232" s="9" t="b">
        <f t="shared" si="65"/>
        <v>0</v>
      </c>
      <c r="E232" s="9">
        <f t="shared" si="66"/>
        <v>0</v>
      </c>
      <c r="G232" s="977">
        <v>50345</v>
      </c>
      <c r="H232" s="554">
        <f t="shared" si="67"/>
        <v>22039.885999999991</v>
      </c>
      <c r="I232" s="744"/>
      <c r="J232" s="743"/>
      <c r="K232" s="744"/>
      <c r="L232" s="761">
        <f t="shared" si="64"/>
        <v>22039.885999999991</v>
      </c>
      <c r="M232" s="785"/>
      <c r="N232" s="554"/>
      <c r="O232" s="744"/>
      <c r="P232" s="743"/>
      <c r="Q232" s="744"/>
      <c r="R232" s="743"/>
      <c r="S232" s="745"/>
      <c r="T232" s="743"/>
      <c r="U232" s="791"/>
      <c r="V232" s="761">
        <f t="shared" si="68"/>
        <v>0</v>
      </c>
      <c r="W232" s="983">
        <v>50345</v>
      </c>
    </row>
    <row r="233" spans="4:23" x14ac:dyDescent="0.25">
      <c r="D233" s="9" t="b">
        <f t="shared" si="65"/>
        <v>0</v>
      </c>
      <c r="E233" s="9">
        <f t="shared" si="66"/>
        <v>0</v>
      </c>
      <c r="G233" s="977">
        <v>50375</v>
      </c>
      <c r="H233" s="554">
        <f t="shared" si="67"/>
        <v>21410.174999999992</v>
      </c>
      <c r="I233" s="744"/>
      <c r="J233" s="743"/>
      <c r="K233" s="744"/>
      <c r="L233" s="761">
        <f t="shared" si="64"/>
        <v>21410.174999999992</v>
      </c>
      <c r="M233" s="785"/>
      <c r="N233" s="554"/>
      <c r="O233" s="744"/>
      <c r="P233" s="743"/>
      <c r="Q233" s="744"/>
      <c r="R233" s="743"/>
      <c r="S233" s="745"/>
      <c r="T233" s="743"/>
      <c r="U233" s="791"/>
      <c r="V233" s="761">
        <f t="shared" si="68"/>
        <v>0</v>
      </c>
      <c r="W233" s="983">
        <v>50375</v>
      </c>
    </row>
    <row r="234" spans="4:23" x14ac:dyDescent="0.25">
      <c r="D234" s="9" t="b">
        <f t="shared" si="65"/>
        <v>0</v>
      </c>
      <c r="E234" s="9">
        <f t="shared" si="66"/>
        <v>0</v>
      </c>
      <c r="G234" s="977">
        <v>50406</v>
      </c>
      <c r="H234" s="554">
        <f t="shared" si="67"/>
        <v>20780.463999999993</v>
      </c>
      <c r="I234" s="744"/>
      <c r="J234" s="743"/>
      <c r="K234" s="744"/>
      <c r="L234" s="761">
        <f t="shared" si="64"/>
        <v>20780.463999999993</v>
      </c>
      <c r="M234" s="785"/>
      <c r="N234" s="554"/>
      <c r="O234" s="744"/>
      <c r="P234" s="743"/>
      <c r="Q234" s="744"/>
      <c r="R234" s="743"/>
      <c r="S234" s="745"/>
      <c r="T234" s="743"/>
      <c r="U234" s="791"/>
      <c r="V234" s="761">
        <f t="shared" si="68"/>
        <v>0</v>
      </c>
      <c r="W234" s="983">
        <v>50406</v>
      </c>
    </row>
    <row r="235" spans="4:23" x14ac:dyDescent="0.25">
      <c r="D235" s="9" t="b">
        <f t="shared" si="65"/>
        <v>0</v>
      </c>
      <c r="E235" s="9">
        <f t="shared" si="66"/>
        <v>0</v>
      </c>
      <c r="G235" s="977">
        <v>50437</v>
      </c>
      <c r="H235" s="554">
        <f t="shared" si="67"/>
        <v>20150.752999999993</v>
      </c>
      <c r="I235" s="744"/>
      <c r="J235" s="743"/>
      <c r="K235" s="744"/>
      <c r="L235" s="761">
        <f t="shared" si="64"/>
        <v>20150.752999999993</v>
      </c>
      <c r="M235" s="785"/>
      <c r="N235" s="554"/>
      <c r="O235" s="744"/>
      <c r="P235" s="743"/>
      <c r="Q235" s="744"/>
      <c r="R235" s="743"/>
      <c r="S235" s="745"/>
      <c r="T235" s="743"/>
      <c r="U235" s="791"/>
      <c r="V235" s="761">
        <f t="shared" si="68"/>
        <v>0</v>
      </c>
      <c r="W235" s="983">
        <v>50437</v>
      </c>
    </row>
    <row r="236" spans="4:23" x14ac:dyDescent="0.25">
      <c r="D236" s="9" t="b">
        <f t="shared" si="65"/>
        <v>0</v>
      </c>
      <c r="E236" s="9">
        <f t="shared" si="66"/>
        <v>0</v>
      </c>
      <c r="G236" s="977">
        <v>50465</v>
      </c>
      <c r="H236" s="554">
        <f t="shared" si="67"/>
        <v>19521.041999999994</v>
      </c>
      <c r="I236" s="744"/>
      <c r="J236" s="743"/>
      <c r="K236" s="744"/>
      <c r="L236" s="761">
        <f t="shared" si="64"/>
        <v>19521.041999999994</v>
      </c>
      <c r="M236" s="785"/>
      <c r="N236" s="554"/>
      <c r="O236" s="744"/>
      <c r="P236" s="743"/>
      <c r="Q236" s="744"/>
      <c r="R236" s="743"/>
      <c r="S236" s="745"/>
      <c r="T236" s="743"/>
      <c r="U236" s="791"/>
      <c r="V236" s="761">
        <f t="shared" si="68"/>
        <v>0</v>
      </c>
      <c r="W236" s="983">
        <v>50465</v>
      </c>
    </row>
    <row r="237" spans="4:23" x14ac:dyDescent="0.25">
      <c r="D237" s="9" t="b">
        <f t="shared" si="65"/>
        <v>0</v>
      </c>
      <c r="E237" s="9">
        <f t="shared" si="66"/>
        <v>0</v>
      </c>
      <c r="G237" s="977">
        <v>50496</v>
      </c>
      <c r="H237" s="554">
        <f t="shared" si="67"/>
        <v>18891.330999999995</v>
      </c>
      <c r="I237" s="744"/>
      <c r="J237" s="743"/>
      <c r="K237" s="744"/>
      <c r="L237" s="761">
        <f t="shared" si="64"/>
        <v>18891.330999999995</v>
      </c>
      <c r="M237" s="785"/>
      <c r="N237" s="554"/>
      <c r="O237" s="744"/>
      <c r="P237" s="743"/>
      <c r="Q237" s="744"/>
      <c r="R237" s="743"/>
      <c r="S237" s="745"/>
      <c r="T237" s="743"/>
      <c r="U237" s="791"/>
      <c r="V237" s="761">
        <f t="shared" si="68"/>
        <v>0</v>
      </c>
      <c r="W237" s="983">
        <v>50496</v>
      </c>
    </row>
    <row r="238" spans="4:23" x14ac:dyDescent="0.25">
      <c r="D238" s="9" t="b">
        <f t="shared" si="65"/>
        <v>0</v>
      </c>
      <c r="E238" s="9">
        <f t="shared" si="66"/>
        <v>0</v>
      </c>
      <c r="G238" s="977">
        <v>50526</v>
      </c>
      <c r="H238" s="554">
        <f t="shared" si="67"/>
        <v>18261.619999999995</v>
      </c>
      <c r="I238" s="744"/>
      <c r="J238" s="743"/>
      <c r="K238" s="744"/>
      <c r="L238" s="761">
        <f t="shared" si="64"/>
        <v>18261.619999999995</v>
      </c>
      <c r="M238" s="785"/>
      <c r="N238" s="554"/>
      <c r="O238" s="744"/>
      <c r="P238" s="743"/>
      <c r="Q238" s="744"/>
      <c r="R238" s="743"/>
      <c r="S238" s="745"/>
      <c r="T238" s="743"/>
      <c r="U238" s="791"/>
      <c r="V238" s="761">
        <f t="shared" si="68"/>
        <v>0</v>
      </c>
      <c r="W238" s="983">
        <v>50526</v>
      </c>
    </row>
    <row r="239" spans="4:23" x14ac:dyDescent="0.25">
      <c r="D239" s="9" t="b">
        <f t="shared" si="65"/>
        <v>0</v>
      </c>
      <c r="E239" s="9">
        <f t="shared" si="66"/>
        <v>0</v>
      </c>
      <c r="G239" s="977">
        <v>50557</v>
      </c>
      <c r="H239" s="554">
        <f t="shared" si="67"/>
        <v>17631.908999999996</v>
      </c>
      <c r="I239" s="744"/>
      <c r="J239" s="743"/>
      <c r="K239" s="744"/>
      <c r="L239" s="761">
        <f t="shared" si="64"/>
        <v>17631.908999999996</v>
      </c>
      <c r="M239" s="785"/>
      <c r="N239" s="554"/>
      <c r="O239" s="744"/>
      <c r="P239" s="743"/>
      <c r="Q239" s="744"/>
      <c r="R239" s="743"/>
      <c r="S239" s="745"/>
      <c r="T239" s="743"/>
      <c r="U239" s="791"/>
      <c r="V239" s="761">
        <f t="shared" si="68"/>
        <v>0</v>
      </c>
      <c r="W239" s="983">
        <v>50557</v>
      </c>
    </row>
    <row r="240" spans="4:23" x14ac:dyDescent="0.25">
      <c r="D240" s="9" t="b">
        <f t="shared" si="65"/>
        <v>0</v>
      </c>
      <c r="E240" s="9">
        <f t="shared" si="66"/>
        <v>0</v>
      </c>
      <c r="G240" s="977">
        <v>50587</v>
      </c>
      <c r="H240" s="554">
        <f t="shared" si="67"/>
        <v>17002.197999999997</v>
      </c>
      <c r="I240" s="744"/>
      <c r="J240" s="743"/>
      <c r="K240" s="744"/>
      <c r="L240" s="761">
        <f t="shared" si="64"/>
        <v>17002.197999999997</v>
      </c>
      <c r="M240" s="785"/>
      <c r="N240" s="554"/>
      <c r="O240" s="744"/>
      <c r="P240" s="743"/>
      <c r="Q240" s="744"/>
      <c r="R240" s="743"/>
      <c r="S240" s="745"/>
      <c r="T240" s="743"/>
      <c r="U240" s="791"/>
      <c r="V240" s="761">
        <f t="shared" si="68"/>
        <v>0</v>
      </c>
      <c r="W240" s="983">
        <v>50587</v>
      </c>
    </row>
    <row r="241" spans="4:23" x14ac:dyDescent="0.25">
      <c r="D241" s="9" t="b">
        <f t="shared" si="65"/>
        <v>0</v>
      </c>
      <c r="E241" s="9">
        <f t="shared" si="66"/>
        <v>0</v>
      </c>
      <c r="G241" s="977">
        <v>50618</v>
      </c>
      <c r="H241" s="554">
        <f t="shared" si="67"/>
        <v>16372.486999999997</v>
      </c>
      <c r="I241" s="744"/>
      <c r="J241" s="743"/>
      <c r="K241" s="744"/>
      <c r="L241" s="761">
        <f t="shared" si="64"/>
        <v>16372.486999999997</v>
      </c>
      <c r="M241" s="785"/>
      <c r="N241" s="554"/>
      <c r="O241" s="744"/>
      <c r="P241" s="743"/>
      <c r="Q241" s="744"/>
      <c r="R241" s="743"/>
      <c r="S241" s="745"/>
      <c r="T241" s="743"/>
      <c r="U241" s="791"/>
      <c r="V241" s="761">
        <f t="shared" si="68"/>
        <v>0</v>
      </c>
      <c r="W241" s="983">
        <v>50618</v>
      </c>
    </row>
    <row r="242" spans="4:23" x14ac:dyDescent="0.25">
      <c r="D242" s="9" t="b">
        <f t="shared" si="65"/>
        <v>0</v>
      </c>
      <c r="E242" s="9">
        <f t="shared" si="66"/>
        <v>0</v>
      </c>
      <c r="G242" s="977">
        <v>50649</v>
      </c>
      <c r="H242" s="554">
        <f t="shared" si="67"/>
        <v>15742.775999999998</v>
      </c>
      <c r="I242" s="744"/>
      <c r="J242" s="743"/>
      <c r="K242" s="744"/>
      <c r="L242" s="761">
        <f t="shared" si="64"/>
        <v>15742.775999999998</v>
      </c>
      <c r="M242" s="785"/>
      <c r="N242" s="554"/>
      <c r="O242" s="744"/>
      <c r="P242" s="743"/>
      <c r="Q242" s="744"/>
      <c r="R242" s="743"/>
      <c r="S242" s="745"/>
      <c r="T242" s="743"/>
      <c r="U242" s="791"/>
      <c r="V242" s="761">
        <f t="shared" si="68"/>
        <v>0</v>
      </c>
      <c r="W242" s="983">
        <v>50649</v>
      </c>
    </row>
    <row r="243" spans="4:23" x14ac:dyDescent="0.25">
      <c r="D243" s="9" t="b">
        <f t="shared" si="65"/>
        <v>0</v>
      </c>
      <c r="E243" s="9">
        <f t="shared" si="66"/>
        <v>0</v>
      </c>
      <c r="G243" s="977">
        <v>50679</v>
      </c>
      <c r="H243" s="554">
        <f t="shared" si="67"/>
        <v>15113.064999999999</v>
      </c>
      <c r="I243" s="744"/>
      <c r="J243" s="743"/>
      <c r="K243" s="744"/>
      <c r="L243" s="761">
        <f t="shared" si="64"/>
        <v>15113.064999999999</v>
      </c>
      <c r="M243" s="785"/>
      <c r="N243" s="554"/>
      <c r="O243" s="744"/>
      <c r="P243" s="743"/>
      <c r="Q243" s="744"/>
      <c r="R243" s="743"/>
      <c r="S243" s="745"/>
      <c r="T243" s="743"/>
      <c r="U243" s="791"/>
      <c r="V243" s="761">
        <f t="shared" si="68"/>
        <v>0</v>
      </c>
      <c r="W243" s="983">
        <v>50679</v>
      </c>
    </row>
    <row r="244" spans="4:23" x14ac:dyDescent="0.25">
      <c r="D244" s="9" t="b">
        <f t="shared" si="65"/>
        <v>0</v>
      </c>
      <c r="E244" s="9">
        <f t="shared" si="66"/>
        <v>0</v>
      </c>
      <c r="G244" s="977">
        <v>50710</v>
      </c>
      <c r="H244" s="554">
        <f t="shared" si="67"/>
        <v>14483.353999999999</v>
      </c>
      <c r="I244" s="744"/>
      <c r="J244" s="743"/>
      <c r="K244" s="744"/>
      <c r="L244" s="761">
        <f t="shared" si="64"/>
        <v>14483.353999999999</v>
      </c>
      <c r="M244" s="785"/>
      <c r="N244" s="554"/>
      <c r="O244" s="744"/>
      <c r="P244" s="743"/>
      <c r="Q244" s="744"/>
      <c r="R244" s="743"/>
      <c r="S244" s="745"/>
      <c r="T244" s="743"/>
      <c r="U244" s="791"/>
      <c r="V244" s="761">
        <f t="shared" si="68"/>
        <v>0</v>
      </c>
      <c r="W244" s="983">
        <v>50710</v>
      </c>
    </row>
    <row r="245" spans="4:23" x14ac:dyDescent="0.25">
      <c r="D245" s="9" t="b">
        <f t="shared" si="65"/>
        <v>0</v>
      </c>
      <c r="E245" s="9">
        <f t="shared" si="66"/>
        <v>0</v>
      </c>
      <c r="G245" s="977">
        <v>50740</v>
      </c>
      <c r="H245" s="554">
        <f t="shared" si="67"/>
        <v>13853.643</v>
      </c>
      <c r="I245" s="744"/>
      <c r="J245" s="743"/>
      <c r="K245" s="744"/>
      <c r="L245" s="761">
        <f t="shared" si="64"/>
        <v>13853.643</v>
      </c>
      <c r="M245" s="785"/>
      <c r="N245" s="554"/>
      <c r="O245" s="744"/>
      <c r="P245" s="743"/>
      <c r="Q245" s="744"/>
      <c r="R245" s="743"/>
      <c r="S245" s="745"/>
      <c r="T245" s="743"/>
      <c r="U245" s="791"/>
      <c r="V245" s="761">
        <f t="shared" si="68"/>
        <v>0</v>
      </c>
      <c r="W245" s="983">
        <v>50740</v>
      </c>
    </row>
    <row r="246" spans="4:23" x14ac:dyDescent="0.25">
      <c r="D246" s="9" t="b">
        <f t="shared" si="65"/>
        <v>0</v>
      </c>
      <c r="E246" s="9">
        <f t="shared" si="66"/>
        <v>0</v>
      </c>
      <c r="G246" s="977">
        <v>50771</v>
      </c>
      <c r="H246" s="554">
        <f t="shared" si="67"/>
        <v>13223.932000000001</v>
      </c>
      <c r="I246" s="744"/>
      <c r="J246" s="743"/>
      <c r="K246" s="744"/>
      <c r="L246" s="761">
        <f t="shared" si="64"/>
        <v>13223.932000000001</v>
      </c>
      <c r="M246" s="785"/>
      <c r="N246" s="554"/>
      <c r="O246" s="744"/>
      <c r="P246" s="743"/>
      <c r="Q246" s="744"/>
      <c r="R246" s="743"/>
      <c r="S246" s="745"/>
      <c r="T246" s="743"/>
      <c r="U246" s="791"/>
      <c r="V246" s="761">
        <f t="shared" si="68"/>
        <v>0</v>
      </c>
      <c r="W246" s="983">
        <v>50771</v>
      </c>
    </row>
    <row r="247" spans="4:23" x14ac:dyDescent="0.25">
      <c r="D247" s="9" t="b">
        <f t="shared" si="65"/>
        <v>0</v>
      </c>
      <c r="E247" s="9">
        <f t="shared" si="66"/>
        <v>0</v>
      </c>
      <c r="G247" s="977">
        <v>50802</v>
      </c>
      <c r="H247" s="554">
        <f t="shared" si="67"/>
        <v>12594.221000000001</v>
      </c>
      <c r="I247" s="744"/>
      <c r="J247" s="743"/>
      <c r="K247" s="744"/>
      <c r="L247" s="761">
        <f t="shared" si="64"/>
        <v>12594.221000000001</v>
      </c>
      <c r="M247" s="785"/>
      <c r="N247" s="554"/>
      <c r="O247" s="744"/>
      <c r="P247" s="743"/>
      <c r="Q247" s="744"/>
      <c r="R247" s="743"/>
      <c r="S247" s="745"/>
      <c r="T247" s="743"/>
      <c r="U247" s="791"/>
      <c r="V247" s="761">
        <f t="shared" si="68"/>
        <v>0</v>
      </c>
      <c r="W247" s="983">
        <v>50802</v>
      </c>
    </row>
    <row r="248" spans="4:23" x14ac:dyDescent="0.25">
      <c r="D248" s="9" t="b">
        <f t="shared" si="65"/>
        <v>0</v>
      </c>
      <c r="E248" s="9">
        <f t="shared" si="66"/>
        <v>0</v>
      </c>
      <c r="G248" s="977">
        <v>50830</v>
      </c>
      <c r="H248" s="554">
        <f t="shared" si="67"/>
        <v>11964.510000000002</v>
      </c>
      <c r="I248" s="744"/>
      <c r="J248" s="743"/>
      <c r="K248" s="744"/>
      <c r="L248" s="761">
        <f t="shared" si="64"/>
        <v>11964.510000000002</v>
      </c>
      <c r="M248" s="785"/>
      <c r="N248" s="554"/>
      <c r="O248" s="744"/>
      <c r="P248" s="743"/>
      <c r="Q248" s="744"/>
      <c r="R248" s="743"/>
      <c r="S248" s="745"/>
      <c r="T248" s="743"/>
      <c r="U248" s="791"/>
      <c r="V248" s="761">
        <f t="shared" si="68"/>
        <v>0</v>
      </c>
      <c r="W248" s="983">
        <v>50830</v>
      </c>
    </row>
    <row r="249" spans="4:23" x14ac:dyDescent="0.25">
      <c r="D249" s="9" t="b">
        <f t="shared" si="65"/>
        <v>0</v>
      </c>
      <c r="E249" s="9">
        <f t="shared" si="66"/>
        <v>0</v>
      </c>
      <c r="G249" s="977">
        <v>50861</v>
      </c>
      <c r="H249" s="554">
        <f t="shared" si="67"/>
        <v>11334.799000000003</v>
      </c>
      <c r="I249" s="744"/>
      <c r="J249" s="743"/>
      <c r="K249" s="744"/>
      <c r="L249" s="761">
        <f t="shared" si="64"/>
        <v>11334.799000000003</v>
      </c>
      <c r="M249" s="785"/>
      <c r="N249" s="554"/>
      <c r="O249" s="744"/>
      <c r="P249" s="743"/>
      <c r="Q249" s="744"/>
      <c r="R249" s="743"/>
      <c r="S249" s="745"/>
      <c r="T249" s="743"/>
      <c r="U249" s="791"/>
      <c r="V249" s="761">
        <f t="shared" si="68"/>
        <v>0</v>
      </c>
      <c r="W249" s="983">
        <v>50861</v>
      </c>
    </row>
    <row r="250" spans="4:23" x14ac:dyDescent="0.25">
      <c r="D250" s="9" t="b">
        <f t="shared" si="65"/>
        <v>0</v>
      </c>
      <c r="E250" s="9">
        <f t="shared" si="66"/>
        <v>0</v>
      </c>
      <c r="G250" s="977">
        <v>50891</v>
      </c>
      <c r="H250" s="554">
        <f t="shared" si="67"/>
        <v>10705.088000000003</v>
      </c>
      <c r="I250" s="744"/>
      <c r="J250" s="743"/>
      <c r="K250" s="744"/>
      <c r="L250" s="761">
        <f t="shared" si="64"/>
        <v>10705.088000000003</v>
      </c>
      <c r="M250" s="785"/>
      <c r="N250" s="554"/>
      <c r="O250" s="744"/>
      <c r="P250" s="743"/>
      <c r="Q250" s="744"/>
      <c r="R250" s="743"/>
      <c r="S250" s="745"/>
      <c r="T250" s="743"/>
      <c r="U250" s="791"/>
      <c r="V250" s="761">
        <f t="shared" si="68"/>
        <v>0</v>
      </c>
      <c r="W250" s="983">
        <v>50891</v>
      </c>
    </row>
    <row r="251" spans="4:23" x14ac:dyDescent="0.25">
      <c r="D251" s="9" t="b">
        <f t="shared" si="65"/>
        <v>0</v>
      </c>
      <c r="E251" s="9">
        <f t="shared" si="66"/>
        <v>0</v>
      </c>
      <c r="G251" s="977">
        <v>50922</v>
      </c>
      <c r="H251" s="554">
        <f t="shared" si="67"/>
        <v>10075.377000000004</v>
      </c>
      <c r="I251" s="744"/>
      <c r="J251" s="743"/>
      <c r="K251" s="744"/>
      <c r="L251" s="761">
        <f t="shared" si="64"/>
        <v>10075.377000000004</v>
      </c>
      <c r="M251" s="785"/>
      <c r="N251" s="554"/>
      <c r="O251" s="744"/>
      <c r="P251" s="743"/>
      <c r="Q251" s="744"/>
      <c r="R251" s="743"/>
      <c r="S251" s="745"/>
      <c r="T251" s="743"/>
      <c r="U251" s="791"/>
      <c r="V251" s="761">
        <f t="shared" si="68"/>
        <v>0</v>
      </c>
      <c r="W251" s="983">
        <v>50922</v>
      </c>
    </row>
    <row r="252" spans="4:23" x14ac:dyDescent="0.25">
      <c r="D252" s="9" t="b">
        <f t="shared" si="65"/>
        <v>0</v>
      </c>
      <c r="E252" s="9">
        <f t="shared" si="66"/>
        <v>0</v>
      </c>
      <c r="G252" s="977">
        <v>50952</v>
      </c>
      <c r="H252" s="554">
        <f t="shared" si="67"/>
        <v>9445.6660000000047</v>
      </c>
      <c r="I252" s="744"/>
      <c r="J252" s="743"/>
      <c r="K252" s="744"/>
      <c r="L252" s="761">
        <f t="shared" si="64"/>
        <v>9445.6660000000047</v>
      </c>
      <c r="M252" s="785"/>
      <c r="N252" s="554"/>
      <c r="O252" s="744"/>
      <c r="P252" s="743"/>
      <c r="Q252" s="744"/>
      <c r="R252" s="743"/>
      <c r="S252" s="745"/>
      <c r="T252" s="743"/>
      <c r="U252" s="791"/>
      <c r="V252" s="761">
        <f t="shared" si="68"/>
        <v>0</v>
      </c>
      <c r="W252" s="983">
        <v>50952</v>
      </c>
    </row>
    <row r="253" spans="4:23" x14ac:dyDescent="0.25">
      <c r="D253" s="9" t="b">
        <f t="shared" si="65"/>
        <v>0</v>
      </c>
      <c r="E253" s="9">
        <f t="shared" si="66"/>
        <v>0</v>
      </c>
      <c r="G253" s="977">
        <v>50983</v>
      </c>
      <c r="H253" s="554">
        <f t="shared" si="67"/>
        <v>8815.9550000000054</v>
      </c>
      <c r="I253" s="744"/>
      <c r="J253" s="743"/>
      <c r="K253" s="744"/>
      <c r="L253" s="761">
        <f t="shared" si="64"/>
        <v>8815.9550000000054</v>
      </c>
      <c r="M253" s="785"/>
      <c r="N253" s="554"/>
      <c r="O253" s="744"/>
      <c r="P253" s="743"/>
      <c r="Q253" s="744"/>
      <c r="R253" s="743"/>
      <c r="S253" s="745"/>
      <c r="T253" s="743"/>
      <c r="U253" s="791"/>
      <c r="V253" s="761">
        <f t="shared" si="68"/>
        <v>0</v>
      </c>
      <c r="W253" s="983">
        <v>50983</v>
      </c>
    </row>
    <row r="254" spans="4:23" x14ac:dyDescent="0.25">
      <c r="D254" s="9" t="b">
        <f t="shared" si="65"/>
        <v>0</v>
      </c>
      <c r="E254" s="9">
        <f t="shared" si="66"/>
        <v>0</v>
      </c>
      <c r="G254" s="977">
        <v>51014</v>
      </c>
      <c r="H254" s="554">
        <f t="shared" si="67"/>
        <v>8186.2440000000051</v>
      </c>
      <c r="I254" s="744"/>
      <c r="J254" s="743"/>
      <c r="K254" s="744"/>
      <c r="L254" s="761">
        <f t="shared" si="64"/>
        <v>8186.2440000000051</v>
      </c>
      <c r="M254" s="785"/>
      <c r="N254" s="554"/>
      <c r="O254" s="744"/>
      <c r="P254" s="743"/>
      <c r="Q254" s="744"/>
      <c r="R254" s="743"/>
      <c r="S254" s="745"/>
      <c r="T254" s="743"/>
      <c r="U254" s="791"/>
      <c r="V254" s="761">
        <f t="shared" si="68"/>
        <v>0</v>
      </c>
      <c r="W254" s="983">
        <v>51014</v>
      </c>
    </row>
    <row r="255" spans="4:23" x14ac:dyDescent="0.25">
      <c r="D255" s="9" t="b">
        <f t="shared" si="65"/>
        <v>0</v>
      </c>
      <c r="E255" s="9">
        <f t="shared" si="66"/>
        <v>0</v>
      </c>
      <c r="G255" s="977">
        <v>51044</v>
      </c>
      <c r="H255" s="554">
        <f t="shared" si="67"/>
        <v>7556.5330000000049</v>
      </c>
      <c r="I255" s="744"/>
      <c r="J255" s="743"/>
      <c r="K255" s="744"/>
      <c r="L255" s="761">
        <f t="shared" si="64"/>
        <v>7556.5330000000049</v>
      </c>
      <c r="M255" s="785"/>
      <c r="N255" s="554"/>
      <c r="O255" s="744"/>
      <c r="P255" s="743"/>
      <c r="Q255" s="744"/>
      <c r="R255" s="743"/>
      <c r="S255" s="745"/>
      <c r="T255" s="743"/>
      <c r="U255" s="791"/>
      <c r="V255" s="761">
        <f t="shared" si="68"/>
        <v>0</v>
      </c>
      <c r="W255" s="983">
        <v>51044</v>
      </c>
    </row>
    <row r="256" spans="4:23" x14ac:dyDescent="0.25">
      <c r="D256" s="9" t="b">
        <f t="shared" si="65"/>
        <v>0</v>
      </c>
      <c r="E256" s="9">
        <f t="shared" si="66"/>
        <v>0</v>
      </c>
      <c r="G256" s="977">
        <v>51075</v>
      </c>
      <c r="H256" s="554">
        <f t="shared" si="67"/>
        <v>6926.8220000000047</v>
      </c>
      <c r="I256" s="744"/>
      <c r="J256" s="743"/>
      <c r="K256" s="744"/>
      <c r="L256" s="761">
        <f t="shared" si="64"/>
        <v>6926.8220000000047</v>
      </c>
      <c r="M256" s="785"/>
      <c r="N256" s="554"/>
      <c r="O256" s="744"/>
      <c r="P256" s="743"/>
      <c r="Q256" s="744"/>
      <c r="R256" s="743"/>
      <c r="S256" s="745"/>
      <c r="T256" s="743"/>
      <c r="U256" s="791"/>
      <c r="V256" s="761">
        <f t="shared" si="68"/>
        <v>0</v>
      </c>
      <c r="W256" s="983">
        <v>51075</v>
      </c>
    </row>
    <row r="257" spans="4:23" x14ac:dyDescent="0.25">
      <c r="D257" s="9" t="b">
        <f t="shared" si="65"/>
        <v>0</v>
      </c>
      <c r="E257" s="9">
        <f t="shared" si="66"/>
        <v>0</v>
      </c>
      <c r="G257" s="977">
        <v>51105</v>
      </c>
      <c r="H257" s="554">
        <f t="shared" si="67"/>
        <v>6297.1110000000044</v>
      </c>
      <c r="I257" s="744"/>
      <c r="J257" s="743"/>
      <c r="K257" s="744"/>
      <c r="L257" s="761">
        <f t="shared" si="64"/>
        <v>6297.1110000000044</v>
      </c>
      <c r="M257" s="785"/>
      <c r="N257" s="554"/>
      <c r="O257" s="744"/>
      <c r="P257" s="743"/>
      <c r="Q257" s="744"/>
      <c r="R257" s="743"/>
      <c r="S257" s="745"/>
      <c r="T257" s="743"/>
      <c r="U257" s="791"/>
      <c r="V257" s="761">
        <f t="shared" si="68"/>
        <v>0</v>
      </c>
      <c r="W257" s="983">
        <v>51105</v>
      </c>
    </row>
    <row r="258" spans="4:23" x14ac:dyDescent="0.25">
      <c r="D258" s="9" t="b">
        <f t="shared" si="65"/>
        <v>0</v>
      </c>
      <c r="E258" s="9">
        <f t="shared" si="66"/>
        <v>0</v>
      </c>
      <c r="G258" s="977">
        <v>51136</v>
      </c>
      <c r="H258" s="554">
        <f t="shared" si="67"/>
        <v>5667.4000000000042</v>
      </c>
      <c r="I258" s="744"/>
      <c r="J258" s="743"/>
      <c r="K258" s="744"/>
      <c r="L258" s="761">
        <f t="shared" si="64"/>
        <v>5667.4000000000042</v>
      </c>
      <c r="M258" s="785"/>
      <c r="N258" s="554"/>
      <c r="O258" s="744"/>
      <c r="P258" s="743"/>
      <c r="Q258" s="744"/>
      <c r="R258" s="743"/>
      <c r="S258" s="745"/>
      <c r="T258" s="743"/>
      <c r="U258" s="791"/>
      <c r="V258" s="761">
        <f t="shared" si="68"/>
        <v>0</v>
      </c>
      <c r="W258" s="983">
        <v>51136</v>
      </c>
    </row>
    <row r="259" spans="4:23" x14ac:dyDescent="0.25">
      <c r="D259" s="9" t="b">
        <f t="shared" si="65"/>
        <v>0</v>
      </c>
      <c r="E259" s="9">
        <f t="shared" si="66"/>
        <v>0</v>
      </c>
      <c r="G259" s="977">
        <v>51167</v>
      </c>
      <c r="H259" s="554">
        <f t="shared" si="67"/>
        <v>5037.6890000000039</v>
      </c>
      <c r="I259" s="744"/>
      <c r="J259" s="743"/>
      <c r="K259" s="744"/>
      <c r="L259" s="761">
        <f t="shared" si="64"/>
        <v>5037.6890000000039</v>
      </c>
      <c r="M259" s="785"/>
      <c r="N259" s="554"/>
      <c r="O259" s="744"/>
      <c r="P259" s="743"/>
      <c r="Q259" s="744"/>
      <c r="R259" s="743"/>
      <c r="S259" s="745"/>
      <c r="T259" s="743"/>
      <c r="U259" s="791"/>
      <c r="V259" s="761">
        <f t="shared" si="68"/>
        <v>0</v>
      </c>
      <c r="W259" s="983">
        <v>51167</v>
      </c>
    </row>
    <row r="260" spans="4:23" x14ac:dyDescent="0.25">
      <c r="D260" s="9" t="b">
        <f t="shared" si="65"/>
        <v>0</v>
      </c>
      <c r="E260" s="9">
        <f t="shared" si="66"/>
        <v>0</v>
      </c>
      <c r="G260" s="977">
        <v>51196</v>
      </c>
      <c r="H260" s="554">
        <f t="shared" si="67"/>
        <v>4407.9780000000037</v>
      </c>
      <c r="I260" s="744"/>
      <c r="J260" s="743"/>
      <c r="K260" s="744"/>
      <c r="L260" s="761">
        <f t="shared" si="64"/>
        <v>4407.9780000000037</v>
      </c>
      <c r="M260" s="785"/>
      <c r="N260" s="554"/>
      <c r="O260" s="744"/>
      <c r="P260" s="743"/>
      <c r="Q260" s="744"/>
      <c r="R260" s="743"/>
      <c r="S260" s="745"/>
      <c r="T260" s="743"/>
      <c r="U260" s="791"/>
      <c r="V260" s="761">
        <f t="shared" si="68"/>
        <v>0</v>
      </c>
      <c r="W260" s="983">
        <v>51196</v>
      </c>
    </row>
    <row r="261" spans="4:23" x14ac:dyDescent="0.25">
      <c r="D261" s="9" t="b">
        <f t="shared" si="65"/>
        <v>0</v>
      </c>
      <c r="E261" s="9">
        <f t="shared" si="66"/>
        <v>0</v>
      </c>
      <c r="G261" s="977">
        <v>51227</v>
      </c>
      <c r="H261" s="554">
        <f t="shared" si="67"/>
        <v>3778.2670000000035</v>
      </c>
      <c r="I261" s="744"/>
      <c r="J261" s="743"/>
      <c r="K261" s="744"/>
      <c r="L261" s="761">
        <f t="shared" si="64"/>
        <v>3778.2670000000035</v>
      </c>
      <c r="M261" s="785"/>
      <c r="N261" s="554"/>
      <c r="O261" s="744"/>
      <c r="P261" s="743"/>
      <c r="Q261" s="744"/>
      <c r="R261" s="743"/>
      <c r="S261" s="745"/>
      <c r="T261" s="743"/>
      <c r="U261" s="791"/>
      <c r="V261" s="761">
        <f t="shared" si="68"/>
        <v>0</v>
      </c>
      <c r="W261" s="983">
        <v>51227</v>
      </c>
    </row>
    <row r="262" spans="4:23" x14ac:dyDescent="0.25">
      <c r="D262" s="9" t="b">
        <f t="shared" si="65"/>
        <v>0</v>
      </c>
      <c r="E262" s="9">
        <f t="shared" si="66"/>
        <v>0</v>
      </c>
      <c r="G262" s="977">
        <v>51257</v>
      </c>
      <c r="H262" s="554">
        <f t="shared" si="67"/>
        <v>3148.5560000000032</v>
      </c>
      <c r="I262" s="744"/>
      <c r="J262" s="743"/>
      <c r="K262" s="744"/>
      <c r="L262" s="761">
        <f t="shared" si="64"/>
        <v>3148.5560000000032</v>
      </c>
      <c r="M262" s="785"/>
      <c r="N262" s="554"/>
      <c r="O262" s="744"/>
      <c r="P262" s="743"/>
      <c r="Q262" s="744"/>
      <c r="R262" s="743"/>
      <c r="S262" s="745"/>
      <c r="T262" s="743"/>
      <c r="U262" s="791"/>
      <c r="V262" s="761">
        <f t="shared" si="68"/>
        <v>0</v>
      </c>
      <c r="W262" s="983">
        <v>51257</v>
      </c>
    </row>
    <row r="263" spans="4:23" x14ac:dyDescent="0.25">
      <c r="D263" s="9" t="b">
        <f t="shared" si="65"/>
        <v>0</v>
      </c>
      <c r="E263" s="9">
        <f t="shared" si="66"/>
        <v>0</v>
      </c>
      <c r="G263" s="977">
        <v>51288</v>
      </c>
      <c r="H263" s="554">
        <f t="shared" si="67"/>
        <v>2518.845000000003</v>
      </c>
      <c r="I263" s="744"/>
      <c r="J263" s="743"/>
      <c r="K263" s="744"/>
      <c r="L263" s="761">
        <f t="shared" si="64"/>
        <v>2518.845000000003</v>
      </c>
      <c r="M263" s="785"/>
      <c r="N263" s="554"/>
      <c r="O263" s="744"/>
      <c r="P263" s="743"/>
      <c r="Q263" s="744"/>
      <c r="R263" s="743"/>
      <c r="S263" s="745"/>
      <c r="T263" s="743"/>
      <c r="U263" s="791"/>
      <c r="V263" s="761">
        <f t="shared" si="68"/>
        <v>0</v>
      </c>
      <c r="W263" s="983">
        <v>51288</v>
      </c>
    </row>
    <row r="264" spans="4:23" x14ac:dyDescent="0.25">
      <c r="D264" s="9" t="b">
        <f t="shared" si="65"/>
        <v>0</v>
      </c>
      <c r="E264" s="9">
        <f t="shared" si="66"/>
        <v>0</v>
      </c>
      <c r="G264" s="977">
        <v>51318</v>
      </c>
      <c r="H264" s="554">
        <f t="shared" si="67"/>
        <v>1889.134000000003</v>
      </c>
      <c r="I264" s="744"/>
      <c r="J264" s="743"/>
      <c r="K264" s="744"/>
      <c r="L264" s="761">
        <f t="shared" si="64"/>
        <v>1889.134000000003</v>
      </c>
      <c r="M264" s="785"/>
      <c r="N264" s="554"/>
      <c r="O264" s="744"/>
      <c r="P264" s="743"/>
      <c r="Q264" s="744"/>
      <c r="R264" s="743"/>
      <c r="S264" s="745"/>
      <c r="T264" s="743"/>
      <c r="U264" s="791"/>
      <c r="V264" s="761">
        <f t="shared" si="68"/>
        <v>0</v>
      </c>
      <c r="W264" s="983">
        <v>51318</v>
      </c>
    </row>
    <row r="265" spans="4:23" x14ac:dyDescent="0.25">
      <c r="D265" s="9" t="b">
        <f t="shared" si="65"/>
        <v>0</v>
      </c>
      <c r="E265" s="9">
        <f t="shared" si="66"/>
        <v>0</v>
      </c>
      <c r="G265" s="977">
        <v>51349</v>
      </c>
      <c r="H265" s="554">
        <f t="shared" si="67"/>
        <v>1259.423000000003</v>
      </c>
      <c r="I265" s="744"/>
      <c r="J265" s="743"/>
      <c r="K265" s="744"/>
      <c r="L265" s="761">
        <f t="shared" si="64"/>
        <v>1259.423000000003</v>
      </c>
      <c r="M265" s="785"/>
      <c r="N265" s="554"/>
      <c r="O265" s="744"/>
      <c r="P265" s="743"/>
      <c r="Q265" s="744"/>
      <c r="R265" s="743"/>
      <c r="S265" s="745"/>
      <c r="T265" s="743"/>
      <c r="U265" s="791"/>
      <c r="V265" s="761">
        <f t="shared" si="68"/>
        <v>0</v>
      </c>
      <c r="W265" s="983">
        <v>51349</v>
      </c>
    </row>
    <row r="266" spans="4:23" x14ac:dyDescent="0.25">
      <c r="D266" s="9" t="b">
        <f t="shared" si="65"/>
        <v>0</v>
      </c>
      <c r="E266" s="9">
        <f t="shared" si="66"/>
        <v>0</v>
      </c>
      <c r="G266" s="977">
        <v>51380</v>
      </c>
      <c r="H266" s="554">
        <f t="shared" si="67"/>
        <v>629.71200000000294</v>
      </c>
      <c r="I266" s="744"/>
      <c r="J266" s="743"/>
      <c r="K266" s="744"/>
      <c r="L266" s="761">
        <f t="shared" si="64"/>
        <v>629.71200000000294</v>
      </c>
      <c r="M266" s="785"/>
      <c r="N266" s="554"/>
      <c r="O266" s="744"/>
      <c r="P266" s="743"/>
      <c r="Q266" s="744"/>
      <c r="R266" s="743"/>
      <c r="S266" s="745"/>
      <c r="T266" s="743"/>
      <c r="U266" s="791"/>
      <c r="V266" s="761">
        <f t="shared" si="68"/>
        <v>0</v>
      </c>
      <c r="W266" s="983">
        <v>51380</v>
      </c>
    </row>
    <row r="267" spans="4:23" x14ac:dyDescent="0.25">
      <c r="D267" s="9" t="b">
        <f t="shared" si="65"/>
        <v>0</v>
      </c>
      <c r="E267" s="9">
        <f t="shared" si="66"/>
        <v>0</v>
      </c>
      <c r="G267" s="977">
        <v>51410</v>
      </c>
      <c r="H267" s="554">
        <f t="shared" si="67"/>
        <v>1.0000000029322109E-3</v>
      </c>
      <c r="I267" s="744"/>
      <c r="J267" s="743"/>
      <c r="K267" s="744"/>
      <c r="L267" s="761">
        <f t="shared" si="64"/>
        <v>1.0000000029322109E-3</v>
      </c>
      <c r="M267" s="785"/>
      <c r="N267" s="554"/>
      <c r="O267" s="744"/>
      <c r="P267" s="743"/>
      <c r="Q267" s="744"/>
      <c r="R267" s="743"/>
      <c r="S267" s="745"/>
      <c r="T267" s="743"/>
      <c r="U267" s="791"/>
      <c r="V267" s="761">
        <f t="shared" si="68"/>
        <v>0</v>
      </c>
      <c r="W267" s="983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 x14ac:dyDescent="0.25"/>
  <cols>
    <col min="1" max="1" width="38.140625" customWidth="1"/>
    <col min="2" max="4" width="22.85546875" customWidth="1"/>
  </cols>
  <sheetData>
    <row r="1" spans="1:4" ht="18.75" x14ac:dyDescent="0.3">
      <c r="A1" s="1351" t="s">
        <v>1223</v>
      </c>
      <c r="B1" s="1418">
        <f ca="1">DATE(YEAR(TODAY()),MONTH(TODAY())+1,1)</f>
        <v>46113</v>
      </c>
    </row>
    <row r="3" spans="1:4" x14ac:dyDescent="0.25">
      <c r="A3" s="1411" t="s">
        <v>1224</v>
      </c>
      <c r="B3" s="1418"/>
    </row>
    <row r="5" spans="1:4" x14ac:dyDescent="0.25">
      <c r="A5" s="1344" t="s">
        <v>1225</v>
      </c>
    </row>
    <row r="7" spans="1:4" x14ac:dyDescent="0.25">
      <c r="A7" s="1343" t="s">
        <v>638</v>
      </c>
      <c r="B7" s="1343" t="s">
        <v>1226</v>
      </c>
      <c r="C7" s="1343" t="s">
        <v>797</v>
      </c>
      <c r="D7" s="1343" t="s">
        <v>1227</v>
      </c>
    </row>
    <row r="8" spans="1:4" x14ac:dyDescent="0.25">
      <c r="A8" t="s">
        <v>1228</v>
      </c>
      <c r="B8" s="1347">
        <f>3392.2*3</f>
        <v>10176.599999999999</v>
      </c>
      <c r="C8" s="1347">
        <f ca="1">VLOOKUP(B1,'Gestione finanziamenti'!G28:L267,4,FALSE)</f>
        <v>13014.5</v>
      </c>
      <c r="D8" s="1347">
        <f ca="1">C8-B8</f>
        <v>2837.9000000000015</v>
      </c>
    </row>
    <row r="9" spans="1:4" x14ac:dyDescent="0.25">
      <c r="A9" t="s">
        <v>1229</v>
      </c>
      <c r="B9" s="1347">
        <f>B8/2</f>
        <v>5088.2999999999993</v>
      </c>
    </row>
    <row r="11" spans="1:4" x14ac:dyDescent="0.25">
      <c r="A11" s="1343" t="s">
        <v>677</v>
      </c>
      <c r="B11" s="1343" t="s">
        <v>1226</v>
      </c>
      <c r="C11" s="1343" t="s">
        <v>797</v>
      </c>
      <c r="D11" s="1343" t="s">
        <v>1227</v>
      </c>
    </row>
    <row r="12" spans="1:4" x14ac:dyDescent="0.25">
      <c r="A12" t="s">
        <v>1228</v>
      </c>
      <c r="B12" s="1347">
        <v>3425.8</v>
      </c>
      <c r="C12" s="1347">
        <f ca="1">VLOOKUP(B1,'Gestione finanziamenti'!G28:L267,5,FALSE)</f>
        <v>3825.05</v>
      </c>
      <c r="D12" s="1347">
        <f ca="1">C12-B12</f>
        <v>399.25</v>
      </c>
    </row>
    <row r="14" spans="1:4" x14ac:dyDescent="0.25">
      <c r="A14" s="1352" t="s">
        <v>397</v>
      </c>
      <c r="B14" s="1353">
        <f>B8+B12</f>
        <v>13602.399999999998</v>
      </c>
      <c r="C14" s="1353">
        <f ca="1">C8+C12</f>
        <v>16839.55</v>
      </c>
      <c r="D14" s="1353">
        <f ca="1">D8+D12</f>
        <v>3237.1500000000015</v>
      </c>
    </row>
    <row r="17" spans="1:4" x14ac:dyDescent="0.25">
      <c r="A17" s="1433" t="s">
        <v>1230</v>
      </c>
      <c r="B17" s="1434"/>
      <c r="C17" s="1434"/>
      <c r="D17" s="1434"/>
    </row>
    <row r="19" spans="1:4" x14ac:dyDescent="0.25">
      <c r="A19" s="1343"/>
      <c r="B19" s="1412" t="s">
        <v>1231</v>
      </c>
      <c r="C19" s="1412" t="s">
        <v>1232</v>
      </c>
      <c r="D19" s="1412" t="s">
        <v>1233</v>
      </c>
    </row>
    <row r="20" spans="1:4" x14ac:dyDescent="0.25">
      <c r="A20" t="s">
        <v>921</v>
      </c>
      <c r="B20" s="1347">
        <v>6000</v>
      </c>
      <c r="C20" s="1347">
        <v>5000</v>
      </c>
      <c r="D20" s="1347">
        <v>7000</v>
      </c>
    </row>
    <row r="21" spans="1:4" x14ac:dyDescent="0.25">
      <c r="A21" t="s">
        <v>922</v>
      </c>
      <c r="B21" s="1347">
        <f>$B$8-B20</f>
        <v>4176.5999999999985</v>
      </c>
      <c r="C21" s="1347">
        <f>$B$8-C20</f>
        <v>5176.5999999999985</v>
      </c>
      <c r="D21" s="1347">
        <f>$B$8-D20</f>
        <v>3176.5999999999985</v>
      </c>
    </row>
    <row r="22" spans="1:4" x14ac:dyDescent="0.25">
      <c r="A22" t="s">
        <v>923</v>
      </c>
      <c r="B22" s="1347">
        <v>107.91</v>
      </c>
      <c r="C22" s="1347">
        <v>85.07</v>
      </c>
      <c r="D22" s="1347">
        <v>125.9</v>
      </c>
    </row>
    <row r="23" spans="1:4" x14ac:dyDescent="0.25">
      <c r="A23" t="s">
        <v>924</v>
      </c>
      <c r="B23">
        <v>72</v>
      </c>
      <c r="C23">
        <v>72</v>
      </c>
      <c r="D23">
        <v>72</v>
      </c>
    </row>
    <row r="24" spans="1:4" x14ac:dyDescent="0.25">
      <c r="A24" t="s">
        <v>928</v>
      </c>
      <c r="B24">
        <f>B23/12</f>
        <v>6</v>
      </c>
      <c r="C24">
        <f>C23/12</f>
        <v>6</v>
      </c>
      <c r="D24">
        <f>D23/12</f>
        <v>6</v>
      </c>
    </row>
    <row r="25" spans="1:4" x14ac:dyDescent="0.25">
      <c r="A25" t="s">
        <v>925</v>
      </c>
      <c r="B25" s="1347">
        <f>B22*B23</f>
        <v>7769.5199999999995</v>
      </c>
      <c r="C25" s="1347">
        <f>C22*C23</f>
        <v>6125.0399999999991</v>
      </c>
      <c r="D25" s="1347">
        <f>D22*D23</f>
        <v>9064.8000000000011</v>
      </c>
    </row>
    <row r="26" spans="1:4" x14ac:dyDescent="0.25">
      <c r="A26" t="s">
        <v>926</v>
      </c>
      <c r="B26" s="1347">
        <f ca="1">$D$8-(B25-B20)</f>
        <v>1068.3800000000019</v>
      </c>
      <c r="C26" s="1347">
        <f ca="1">$D$8-(C25-C20)</f>
        <v>1712.8600000000024</v>
      </c>
      <c r="D26" s="1347">
        <f ca="1">$D$8-(D25-D20)</f>
        <v>773.10000000000036</v>
      </c>
    </row>
    <row r="28" spans="1:4" x14ac:dyDescent="0.25">
      <c r="A28" t="s">
        <v>927</v>
      </c>
      <c r="B28" s="1347">
        <f>'SPESE MENSILI MACCHINA'!$O$59-B22</f>
        <v>80.34</v>
      </c>
      <c r="C28" s="1347">
        <f>'SPESE MENSILI MACCHINA'!$O$59-C22</f>
        <v>103.18</v>
      </c>
      <c r="D28" s="1347">
        <f>'SPESE MENSILI MACCHINA'!$O$59-D22</f>
        <v>62.349999999999994</v>
      </c>
    </row>
    <row r="29" spans="1:4" x14ac:dyDescent="0.25">
      <c r="A29" t="s">
        <v>1234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 x14ac:dyDescent="0.25">
      <c r="A30" t="s">
        <v>1235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 x14ac:dyDescent="0.25">
      <c r="A33" s="1433" t="s">
        <v>1236</v>
      </c>
      <c r="B33" s="1434"/>
      <c r="C33" s="1434"/>
      <c r="D33" s="1434"/>
    </row>
    <row r="35" spans="1:4" x14ac:dyDescent="0.25">
      <c r="A35" s="1343"/>
      <c r="B35" s="1412" t="s">
        <v>1231</v>
      </c>
      <c r="C35" s="1412" t="s">
        <v>1232</v>
      </c>
      <c r="D35" s="1412" t="s">
        <v>1233</v>
      </c>
    </row>
    <row r="36" spans="1:4" x14ac:dyDescent="0.25">
      <c r="A36" t="s">
        <v>921</v>
      </c>
      <c r="B36" s="1347">
        <f>6000</f>
        <v>6000</v>
      </c>
      <c r="C36" s="1347">
        <f>C20+$B$12</f>
        <v>8425.7999999999993</v>
      </c>
      <c r="D36" s="1347">
        <v>8750</v>
      </c>
    </row>
    <row r="37" spans="1:4" x14ac:dyDescent="0.25">
      <c r="A37" t="s">
        <v>922</v>
      </c>
      <c r="B37" s="1347">
        <f>($B$8+$B$12)-B36</f>
        <v>7602.3999999999978</v>
      </c>
      <c r="C37" s="1347">
        <f>($B$8+$B$12)-C36</f>
        <v>5176.5999999999985</v>
      </c>
      <c r="D37" s="1347">
        <f>($B$8+$B$12)-D36</f>
        <v>4852.3999999999978</v>
      </c>
    </row>
    <row r="38" spans="1:4" x14ac:dyDescent="0.25">
      <c r="A38" t="s">
        <v>923</v>
      </c>
      <c r="B38" s="1347">
        <v>107.91</v>
      </c>
      <c r="C38" s="1347">
        <v>132.19</v>
      </c>
      <c r="D38" s="1347">
        <v>157.68</v>
      </c>
    </row>
    <row r="39" spans="1:4" x14ac:dyDescent="0.25">
      <c r="A39" t="s">
        <v>924</v>
      </c>
      <c r="B39">
        <v>72</v>
      </c>
      <c r="C39">
        <v>72</v>
      </c>
      <c r="D39">
        <v>72</v>
      </c>
    </row>
    <row r="40" spans="1:4" x14ac:dyDescent="0.25">
      <c r="A40" t="s">
        <v>928</v>
      </c>
      <c r="B40">
        <f>B39/12</f>
        <v>6</v>
      </c>
      <c r="C40">
        <f>C39/12</f>
        <v>6</v>
      </c>
      <c r="D40">
        <f>D39/12</f>
        <v>6</v>
      </c>
    </row>
    <row r="41" spans="1:4" x14ac:dyDescent="0.25">
      <c r="A41" t="s">
        <v>925</v>
      </c>
      <c r="B41" s="1347">
        <f>B38*B39</f>
        <v>7769.5199999999995</v>
      </c>
      <c r="C41" s="1347">
        <f>C38*C39</f>
        <v>9517.68</v>
      </c>
      <c r="D41" s="1347">
        <f>D38*D39</f>
        <v>11352.960000000001</v>
      </c>
    </row>
    <row r="42" spans="1:4" x14ac:dyDescent="0.25">
      <c r="A42" t="s">
        <v>926</v>
      </c>
      <c r="B42" s="1347">
        <f ca="1">$D$14-(B41-B36)</f>
        <v>1467.6300000000019</v>
      </c>
      <c r="C42" s="1347">
        <f ca="1">$D$14-(C41-C36)</f>
        <v>2145.2700000000004</v>
      </c>
      <c r="D42" s="1347">
        <f ca="1">$D$14-(D41-D36)</f>
        <v>634.19000000000051</v>
      </c>
    </row>
    <row r="44" spans="1:4" x14ac:dyDescent="0.25">
      <c r="A44" t="s">
        <v>927</v>
      </c>
      <c r="B44" s="1347">
        <f>'SPESE MENSILI MACCHINA'!$O$59+'SPESE MENSILI MACCHINA'!$N$75-B38</f>
        <v>163.34</v>
      </c>
      <c r="C44" s="1347">
        <f>'SPESE MENSILI MACCHINA'!$O$59+'SPESE MENSILI MACCHINA'!$N$75-C38</f>
        <v>139.06</v>
      </c>
      <c r="D44" s="1347">
        <f>'SPESE MENSILI MACCHINA'!$O$59+'SPESE MENSILI MACCHINA'!$N$75-D38</f>
        <v>113.57</v>
      </c>
    </row>
    <row r="45" spans="1:4" x14ac:dyDescent="0.25">
      <c r="A45" t="s">
        <v>1234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 x14ac:dyDescent="0.25">
      <c r="A46" t="s">
        <v>1235</v>
      </c>
      <c r="B46" s="1417">
        <f>B45/12</f>
        <v>3.9166666666666665</v>
      </c>
      <c r="C46" s="1417">
        <f>C45/12</f>
        <v>3.0833333333333335</v>
      </c>
      <c r="D46" s="1417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 x14ac:dyDescent="0.25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 x14ac:dyDescent="0.25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 x14ac:dyDescent="0.25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38" t="s">
        <v>480</v>
      </c>
      <c r="W3" s="1439"/>
      <c r="X3" s="1439"/>
      <c r="Y3" s="1440"/>
    </row>
    <row r="4" spans="1:117" s="19" customFormat="1" x14ac:dyDescent="0.25">
      <c r="M4" s="1435">
        <v>2021</v>
      </c>
      <c r="N4" s="1436"/>
      <c r="O4" s="1436"/>
      <c r="P4" s="1436"/>
      <c r="Q4" s="1436"/>
      <c r="R4" s="1436"/>
      <c r="S4" s="1436"/>
      <c r="T4" s="1436"/>
      <c r="U4" s="1436"/>
      <c r="V4" s="1436"/>
      <c r="W4" s="1436"/>
      <c r="X4" s="1437"/>
      <c r="Y4" s="1435">
        <v>2022</v>
      </c>
      <c r="Z4" s="1436"/>
      <c r="AA4" s="1436"/>
      <c r="AB4" s="1436"/>
      <c r="AC4" s="1436"/>
      <c r="AD4" s="1436"/>
      <c r="AE4" s="1436"/>
      <c r="AF4" s="1436"/>
      <c r="AG4" s="1436"/>
      <c r="AH4" s="1436"/>
      <c r="AI4" s="1436"/>
      <c r="AJ4" s="1437"/>
      <c r="AK4" s="1435">
        <v>2023</v>
      </c>
      <c r="AL4" s="1436"/>
      <c r="AM4" s="1436"/>
      <c r="AN4" s="1436"/>
      <c r="AO4" s="1436"/>
      <c r="AP4" s="1436"/>
      <c r="AQ4" s="1436"/>
      <c r="AR4" s="1436"/>
      <c r="AS4" s="1436"/>
      <c r="AT4" s="1436"/>
      <c r="AU4" s="1436"/>
      <c r="AV4" s="1437"/>
      <c r="AW4" s="1435">
        <v>2024</v>
      </c>
      <c r="AX4" s="1436"/>
      <c r="AY4" s="1436"/>
      <c r="AZ4" s="1436"/>
      <c r="BA4" s="1436"/>
      <c r="BB4" s="1436"/>
      <c r="BC4" s="1436"/>
      <c r="BD4" s="1436"/>
      <c r="BE4" s="1436"/>
      <c r="BF4" s="1436"/>
      <c r="BG4" s="1436"/>
      <c r="BH4" s="1437"/>
      <c r="BI4" s="1435">
        <v>2025</v>
      </c>
      <c r="BJ4" s="1436"/>
      <c r="BK4" s="1436"/>
      <c r="BL4" s="1436"/>
      <c r="BM4" s="1436"/>
      <c r="BN4" s="1436"/>
      <c r="BO4" s="1436"/>
      <c r="BP4" s="1436"/>
      <c r="BQ4" s="1436"/>
      <c r="BR4" s="1436"/>
      <c r="BS4" s="1436"/>
      <c r="BT4" s="1437"/>
      <c r="BU4" s="1435">
        <v>2026</v>
      </c>
      <c r="BV4" s="1436"/>
      <c r="BW4" s="1436"/>
      <c r="BX4" s="1436"/>
      <c r="BY4" s="1436"/>
      <c r="BZ4" s="1436"/>
      <c r="CA4" s="1436"/>
      <c r="CB4" s="1436"/>
      <c r="CC4" s="1436"/>
      <c r="CD4" s="1436"/>
      <c r="CE4" s="1436"/>
      <c r="CF4" s="1437"/>
    </row>
    <row r="5" spans="1:117" ht="15" customHeight="1" x14ac:dyDescent="0.25">
      <c r="B5" s="1442" t="s">
        <v>481</v>
      </c>
      <c r="C5" s="1442"/>
      <c r="D5" s="733"/>
      <c r="E5" s="733"/>
      <c r="F5" s="733"/>
      <c r="G5" s="733"/>
      <c r="H5" s="733"/>
      <c r="I5" s="733"/>
      <c r="J5" s="733"/>
      <c r="L5" s="608"/>
      <c r="W5" s="103"/>
      <c r="Y5" s="265"/>
      <c r="AK5" s="265"/>
      <c r="AW5" s="265"/>
      <c r="BI5" s="265"/>
      <c r="BT5" s="1002"/>
      <c r="CF5" s="1002"/>
    </row>
    <row r="6" spans="1:117" s="314" customFormat="1" x14ac:dyDescent="0.25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7">
        <v>2026</v>
      </c>
      <c r="J6" s="837"/>
      <c r="L6" s="1280">
        <v>44166</v>
      </c>
      <c r="M6" s="967">
        <v>44197</v>
      </c>
      <c r="N6" s="967">
        <v>44228</v>
      </c>
      <c r="O6" s="967">
        <v>44256</v>
      </c>
      <c r="P6" s="967">
        <v>44287</v>
      </c>
      <c r="Q6" s="967">
        <v>44317</v>
      </c>
      <c r="R6" s="967">
        <v>44348</v>
      </c>
      <c r="S6" s="967">
        <v>44378</v>
      </c>
      <c r="T6" s="967">
        <v>44409</v>
      </c>
      <c r="U6" s="967">
        <v>44440</v>
      </c>
      <c r="V6" s="967">
        <v>44470</v>
      </c>
      <c r="W6" s="967">
        <v>44501</v>
      </c>
      <c r="X6" s="1281">
        <v>44531</v>
      </c>
      <c r="Y6" s="970">
        <v>44562</v>
      </c>
      <c r="Z6" s="967">
        <v>44593</v>
      </c>
      <c r="AA6" s="967">
        <v>44621</v>
      </c>
      <c r="AB6" s="967">
        <v>44652</v>
      </c>
      <c r="AC6" s="967">
        <v>44682</v>
      </c>
      <c r="AD6" s="967">
        <v>44713</v>
      </c>
      <c r="AE6" s="967">
        <v>44743</v>
      </c>
      <c r="AF6" s="967">
        <v>44774</v>
      </c>
      <c r="AG6" s="967">
        <v>44805</v>
      </c>
      <c r="AH6" s="967">
        <v>44835</v>
      </c>
      <c r="AI6" s="967">
        <v>44866</v>
      </c>
      <c r="AJ6" s="967">
        <v>44896</v>
      </c>
      <c r="AK6" s="970">
        <v>44927</v>
      </c>
      <c r="AL6" s="967">
        <v>44958</v>
      </c>
      <c r="AM6" s="967">
        <v>44986</v>
      </c>
      <c r="AN6" s="967">
        <v>45017</v>
      </c>
      <c r="AO6" s="967">
        <v>45047</v>
      </c>
      <c r="AP6" s="967">
        <v>45078</v>
      </c>
      <c r="AQ6" s="967">
        <v>45108</v>
      </c>
      <c r="AR6" s="967">
        <v>45139</v>
      </c>
      <c r="AS6" s="967">
        <v>45170</v>
      </c>
      <c r="AT6" s="967">
        <v>45200</v>
      </c>
      <c r="AU6" s="967">
        <v>45231</v>
      </c>
      <c r="AV6" s="967">
        <v>45261</v>
      </c>
      <c r="AW6" s="970">
        <v>45292</v>
      </c>
      <c r="AX6" s="967">
        <v>45323</v>
      </c>
      <c r="AY6" s="967">
        <v>45352</v>
      </c>
      <c r="AZ6" s="967">
        <v>45383</v>
      </c>
      <c r="BA6" s="967">
        <v>45413</v>
      </c>
      <c r="BB6" s="967">
        <v>45444</v>
      </c>
      <c r="BC6" s="967">
        <v>45474</v>
      </c>
      <c r="BD6" s="967">
        <v>45505</v>
      </c>
      <c r="BE6" s="967">
        <v>45536</v>
      </c>
      <c r="BF6" s="967">
        <v>45566</v>
      </c>
      <c r="BG6" s="967">
        <v>45597</v>
      </c>
      <c r="BH6" s="967">
        <v>45627</v>
      </c>
      <c r="BI6" s="970">
        <v>45658</v>
      </c>
      <c r="BJ6" s="967">
        <v>45689</v>
      </c>
      <c r="BK6" s="971">
        <v>45717</v>
      </c>
      <c r="BL6" s="971">
        <v>45748</v>
      </c>
      <c r="BM6" s="967">
        <v>45778</v>
      </c>
      <c r="BN6" s="967">
        <v>45809</v>
      </c>
      <c r="BO6" s="967">
        <v>45839</v>
      </c>
      <c r="BP6" s="967">
        <v>45870</v>
      </c>
      <c r="BQ6" s="967">
        <v>45901</v>
      </c>
      <c r="BR6" s="967">
        <v>45931</v>
      </c>
      <c r="BS6" s="967">
        <v>45962</v>
      </c>
      <c r="BT6" s="1031">
        <v>45992</v>
      </c>
      <c r="BU6" s="969">
        <v>46023</v>
      </c>
      <c r="BV6" s="967">
        <v>46054</v>
      </c>
      <c r="BW6" s="969">
        <v>46082</v>
      </c>
      <c r="BX6" s="967">
        <v>46113</v>
      </c>
      <c r="BY6" s="969">
        <v>46143</v>
      </c>
      <c r="BZ6" s="967">
        <v>46174</v>
      </c>
      <c r="CA6" s="969">
        <v>46204</v>
      </c>
      <c r="CB6" s="967">
        <v>46235</v>
      </c>
      <c r="CC6" s="969">
        <v>46266</v>
      </c>
      <c r="CD6" s="967">
        <v>46296</v>
      </c>
      <c r="CE6" s="969">
        <v>46327</v>
      </c>
      <c r="CF6" s="1031">
        <v>46357</v>
      </c>
      <c r="CG6" s="969">
        <v>46388</v>
      </c>
      <c r="CH6" s="967">
        <v>46419</v>
      </c>
      <c r="CI6" s="969">
        <v>46447</v>
      </c>
      <c r="CJ6" s="967">
        <v>46478</v>
      </c>
      <c r="CK6" s="969">
        <v>46508</v>
      </c>
      <c r="CL6" s="967">
        <v>46539</v>
      </c>
      <c r="CM6" s="969">
        <v>46569</v>
      </c>
      <c r="CN6" s="967">
        <v>46600</v>
      </c>
      <c r="CO6" s="969">
        <v>46631</v>
      </c>
      <c r="CP6" s="967">
        <v>46661</v>
      </c>
      <c r="CQ6" s="969">
        <v>46692</v>
      </c>
      <c r="CR6" s="967">
        <v>46722</v>
      </c>
      <c r="CS6" s="969">
        <v>46753</v>
      </c>
      <c r="CT6" s="967">
        <v>46784</v>
      </c>
      <c r="CU6" s="969">
        <v>46813</v>
      </c>
      <c r="CV6" s="967">
        <v>46844</v>
      </c>
      <c r="CW6" s="969">
        <v>46874</v>
      </c>
      <c r="CX6" s="967">
        <v>46905</v>
      </c>
      <c r="CY6" s="969">
        <v>46935</v>
      </c>
      <c r="CZ6" s="967">
        <v>46966</v>
      </c>
      <c r="DA6" s="969">
        <v>46997</v>
      </c>
      <c r="DB6" s="967">
        <v>47027</v>
      </c>
      <c r="DC6" s="969">
        <v>47058</v>
      </c>
      <c r="DD6" s="967">
        <v>47088</v>
      </c>
      <c r="DE6" s="969">
        <v>47119</v>
      </c>
      <c r="DF6" s="967">
        <v>47150</v>
      </c>
      <c r="DG6" s="969">
        <v>47178</v>
      </c>
      <c r="DH6" s="967">
        <v>47209</v>
      </c>
      <c r="DI6" s="969">
        <v>47239</v>
      </c>
      <c r="DJ6" s="967">
        <v>47270</v>
      </c>
      <c r="DK6" s="969">
        <v>47300</v>
      </c>
      <c r="DL6" s="967">
        <v>47331</v>
      </c>
      <c r="DM6" s="969">
        <v>47362</v>
      </c>
    </row>
    <row r="7" spans="1:117" x14ac:dyDescent="0.25">
      <c r="B7" s="470">
        <f>AVERAGE(O7,Q7,S7,U7,Y7,AA7,AC7,AE7,AG7,AI7,AK7,AM7,AO7,AQ7,AS7,AU7,AW7)</f>
        <v>0.70406684043145729</v>
      </c>
      <c r="C7" s="995" t="s">
        <v>482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5">
        <f>CH7+BX7+BZ7+CB7+CD7+CF7</f>
        <v>461.18646292552836</v>
      </c>
      <c r="J7" s="1078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4">
        <f>BH7/BH$17</f>
        <v>0.59962129181569535</v>
      </c>
      <c r="BJ7" s="474">
        <v>132.78</v>
      </c>
      <c r="BK7" s="881">
        <f>BJ7/BJ$17</f>
        <v>0.49172314187312527</v>
      </c>
      <c r="BL7" s="474">
        <v>130.68</v>
      </c>
      <c r="BM7" s="881">
        <f>BL7/BL$17</f>
        <v>0.573560393258427</v>
      </c>
      <c r="BN7" s="474">
        <v>51.77</v>
      </c>
      <c r="BO7" s="881">
        <f>BN7/BN$17</f>
        <v>0.53932701323054488</v>
      </c>
      <c r="BP7" s="474">
        <v>29.09</v>
      </c>
      <c r="BQ7" s="881">
        <f>BP7/BP$17</f>
        <v>0.59030032467532467</v>
      </c>
      <c r="BR7" s="474">
        <v>28.46</v>
      </c>
      <c r="BS7" s="881">
        <f>BR7/BR$17</f>
        <v>0.60156415134221097</v>
      </c>
      <c r="BT7" s="474">
        <v>29.58</v>
      </c>
      <c r="BU7" s="654">
        <f>BT7/BT$17</f>
        <v>0.59613059250302292</v>
      </c>
      <c r="BV7" s="474">
        <f>114.56+BV8</f>
        <v>138.56</v>
      </c>
      <c r="BW7" s="881">
        <f>BV7/BV$17</f>
        <v>0.51019957286987261</v>
      </c>
      <c r="BX7" s="474">
        <f>155.46+BX8</f>
        <v>179.46</v>
      </c>
      <c r="BY7" s="881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6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 x14ac:dyDescent="0.25">
      <c r="A8" s="476"/>
      <c r="B8" s="918">
        <f t="shared" ref="B8:B15" si="6">AVERAGE(O8,Q8,S8,U8,Y8,AA8,AC8,AE8,AG8,AI8,AK8,AM8,AO8,AQ8,AS8,AU8,AW8,AY8,BA8,BC8)</f>
        <v>0.38979239045093711</v>
      </c>
      <c r="C8" s="996" t="s">
        <v>483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43">
        <f t="shared" ref="I8:I19" si="8">CH8+BX8+BZ8+CB8+CD8+CF8</f>
        <v>144</v>
      </c>
      <c r="J8" s="843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52">
        <v>24</v>
      </c>
      <c r="BI8" s="655">
        <f>BH8/BH17</f>
        <v>0.50494424573953289</v>
      </c>
      <c r="BJ8" s="652">
        <v>24</v>
      </c>
      <c r="BK8" s="938">
        <f>BJ8/BJ17</f>
        <v>8.8879013442950794E-2</v>
      </c>
      <c r="BL8" s="652">
        <v>24</v>
      </c>
      <c r="BM8" s="938">
        <f>BL8/BL17</f>
        <v>0.10533707865168539</v>
      </c>
      <c r="BN8" s="652">
        <v>24</v>
      </c>
      <c r="BO8" s="938">
        <f>BN8/BN17</f>
        <v>0.25002604437962284</v>
      </c>
      <c r="BP8" s="652">
        <v>24</v>
      </c>
      <c r="BQ8" s="938">
        <f>BP8/BP17</f>
        <v>0.48701298701298701</v>
      </c>
      <c r="BR8" s="652">
        <v>24</v>
      </c>
      <c r="BS8" s="938">
        <f>BR8/BR17</f>
        <v>0.507292327203551</v>
      </c>
      <c r="BT8" s="652">
        <v>24</v>
      </c>
      <c r="BU8" s="655">
        <f>BT8/BT17</f>
        <v>0.4836759371221282</v>
      </c>
      <c r="BV8" s="652">
        <v>24</v>
      </c>
      <c r="BW8" s="938">
        <f>BV8/BV17</f>
        <v>8.8371750497091103E-2</v>
      </c>
      <c r="BX8" s="652">
        <v>24</v>
      </c>
      <c r="BY8" s="938">
        <f>BX8/BX17</f>
        <v>7.5159714393085303E-2</v>
      </c>
      <c r="BZ8" s="486">
        <v>24</v>
      </c>
      <c r="CA8" s="649">
        <f>BZ8/BZ17</f>
        <v>0.23938401463813774</v>
      </c>
      <c r="CB8" s="486">
        <v>24</v>
      </c>
      <c r="CC8" s="649">
        <f>CB8/CB17</f>
        <v>0.44600652526576912</v>
      </c>
      <c r="CD8" s="486">
        <v>24</v>
      </c>
      <c r="CE8" s="649">
        <f>CD8/CD17</f>
        <v>0.45453541267026432</v>
      </c>
      <c r="CF8" s="486">
        <v>24</v>
      </c>
      <c r="CG8" s="647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 x14ac:dyDescent="0.25">
      <c r="B9" s="919">
        <f t="shared" si="6"/>
        <v>0.30020629239137353</v>
      </c>
      <c r="C9" s="997" t="s">
        <v>484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44">
        <f t="shared" si="8"/>
        <v>317.18646292552836</v>
      </c>
      <c r="J9" s="844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3">
        <f>BH7-BH8</f>
        <v>4.5</v>
      </c>
      <c r="BI9" s="656">
        <f>BH9/BH17</f>
        <v>9.4677046076162424E-2</v>
      </c>
      <c r="BJ9" s="653">
        <f>BJ7-BJ8</f>
        <v>108.78</v>
      </c>
      <c r="BK9" s="939">
        <f>BJ9/BJ17</f>
        <v>0.40284412843017448</v>
      </c>
      <c r="BL9" s="653">
        <f>BL7-BL8</f>
        <v>106.68</v>
      </c>
      <c r="BM9" s="939">
        <f>BL9/BL17</f>
        <v>0.4682233146067416</v>
      </c>
      <c r="BN9" s="653">
        <f>BN7-BN8</f>
        <v>27.770000000000003</v>
      </c>
      <c r="BO9" s="939">
        <f>BN9/BN17</f>
        <v>0.28930096885092199</v>
      </c>
      <c r="BP9" s="653">
        <v>7.88</v>
      </c>
      <c r="BQ9" s="939">
        <f>BP9/BP17</f>
        <v>0.15990259740259741</v>
      </c>
      <c r="BR9" s="653">
        <f>BR7-BR8</f>
        <v>4.4600000000000009</v>
      </c>
      <c r="BS9" s="939">
        <f>BR9/BR17</f>
        <v>9.4271824138659921E-2</v>
      </c>
      <c r="BT9" s="653">
        <f>BT7-BT8</f>
        <v>5.5799999999999983</v>
      </c>
      <c r="BU9" s="656">
        <f>BT9/BT17</f>
        <v>0.11245465538089477</v>
      </c>
      <c r="BV9" s="653">
        <f>BV7-BV8</f>
        <v>114.56</v>
      </c>
      <c r="BW9" s="939">
        <f>BV9/BV17</f>
        <v>0.42182782237278155</v>
      </c>
      <c r="BX9" s="653">
        <f>BX7-BX8</f>
        <v>155.46</v>
      </c>
      <c r="BY9" s="939">
        <f>BX9/BX17</f>
        <v>0.48684704998121009</v>
      </c>
      <c r="BZ9" s="501">
        <f>BZ7-BZ8</f>
        <v>32.345292585105675</v>
      </c>
      <c r="CA9" s="650">
        <f>BZ9/BZ17</f>
        <v>0.32262274973615768</v>
      </c>
      <c r="CB9" s="501">
        <f>CB7-CB8</f>
        <v>6.2420740076519721</v>
      </c>
      <c r="CC9" s="650">
        <f>CB9/CB17</f>
        <v>0.11600023910852625</v>
      </c>
      <c r="CD9" s="501">
        <f>CD7-CD8</f>
        <v>5.6746127342290649</v>
      </c>
      <c r="CE9" s="650">
        <f>CD9/CD17</f>
        <v>0.10747135170403103</v>
      </c>
      <c r="CF9" s="501">
        <f>CF7-CF8</f>
        <v>5.6746127342290649</v>
      </c>
      <c r="CG9" s="648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 x14ac:dyDescent="0.25">
      <c r="A10" s="9"/>
      <c r="B10" s="100">
        <f t="shared" si="6"/>
        <v>-5.1151980998819277E-2</v>
      </c>
      <c r="C10" s="998" t="s">
        <v>485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30">
        <f t="shared" si="8"/>
        <v>0</v>
      </c>
      <c r="J10" s="830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32">
        <v>-0.17</v>
      </c>
      <c r="BG10" s="372">
        <f>BF10/BF$17</f>
        <v>-3.7535879885184369E-3</v>
      </c>
      <c r="BH10" s="632">
        <v>-0.22</v>
      </c>
      <c r="BI10" s="657">
        <f>BH10/BH$17</f>
        <v>-4.6286555859457188E-3</v>
      </c>
      <c r="BJ10" s="632">
        <v>-5.43</v>
      </c>
      <c r="BK10" s="878">
        <f>BJ10/BJ$17</f>
        <v>-2.0108876791467615E-2</v>
      </c>
      <c r="BL10" s="632">
        <v>-5.33</v>
      </c>
      <c r="BM10" s="878">
        <f>BL10/BL$17</f>
        <v>-2.3393609550561797E-2</v>
      </c>
      <c r="BN10" s="632">
        <v>-1.38</v>
      </c>
      <c r="BO10" s="878">
        <f>BN10/BN7</f>
        <v>-2.6656364689974885E-2</v>
      </c>
      <c r="BP10" s="632">
        <v>0</v>
      </c>
      <c r="BQ10" s="878">
        <f>BP10/BP7</f>
        <v>0</v>
      </c>
      <c r="BR10" s="632">
        <f>(BR$7)*BS10</f>
        <v>0</v>
      </c>
      <c r="BS10" s="878">
        <f>BP10/BP7</f>
        <v>0</v>
      </c>
      <c r="BT10" s="632">
        <f>(BT$7)*BU10</f>
        <v>0</v>
      </c>
      <c r="BU10" s="657">
        <f>BR10/BR7</f>
        <v>0</v>
      </c>
      <c r="BV10" s="632">
        <v>0</v>
      </c>
      <c r="BW10" s="878">
        <f>BV10/BV$17</f>
        <v>0</v>
      </c>
      <c r="BX10" s="632">
        <f>(BX$7)*BY10</f>
        <v>0</v>
      </c>
      <c r="BY10" s="878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 x14ac:dyDescent="0.25">
      <c r="B11" s="100">
        <f t="shared" si="6"/>
        <v>0.26623307256746853</v>
      </c>
      <c r="C11" s="999" t="s">
        <v>486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31">
        <f t="shared" si="8"/>
        <v>173.10553963369881</v>
      </c>
      <c r="J11" s="831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8">
        <f>BH11/BH$17</f>
        <v>0.27729854828529349</v>
      </c>
      <c r="BJ11" s="235">
        <v>62.35</v>
      </c>
      <c r="BK11" s="879">
        <f>BJ11/BJ$17</f>
        <v>0.23090027034033259</v>
      </c>
      <c r="BL11" s="235">
        <v>50.68</v>
      </c>
      <c r="BM11" s="879">
        <f>BL11/BL$17</f>
        <v>0.22243679775280897</v>
      </c>
      <c r="BN11" s="235">
        <v>23.4</v>
      </c>
      <c r="BO11" s="879">
        <f>BN11/BN7</f>
        <v>0.45199922735174808</v>
      </c>
      <c r="BP11" s="235">
        <v>13.18</v>
      </c>
      <c r="BQ11" s="879">
        <f>BP11/BP7</f>
        <v>0.45307665864558266</v>
      </c>
      <c r="BR11" s="235">
        <f>2.16+7.55</f>
        <v>9.7100000000000009</v>
      </c>
      <c r="BS11" s="879">
        <f>BP11/BP7</f>
        <v>0.45307665864558266</v>
      </c>
      <c r="BT11" s="235">
        <f>13.08</f>
        <v>13.08</v>
      </c>
      <c r="BU11" s="658">
        <f>BR11/BR7</f>
        <v>0.34118060435699227</v>
      </c>
      <c r="BV11" s="235">
        <v>51.95</v>
      </c>
      <c r="BW11" s="879">
        <f>BV11/BV$17</f>
        <v>0.19128801826349512</v>
      </c>
      <c r="BX11" s="235">
        <v>67.36</v>
      </c>
      <c r="BY11" s="879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 x14ac:dyDescent="0.25">
      <c r="A12" s="9"/>
      <c r="B12" s="100">
        <f t="shared" si="6"/>
        <v>-0.11856220124506907</v>
      </c>
      <c r="C12" s="998" t="s">
        <v>487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30">
        <f t="shared" si="8"/>
        <v>20.378962727066977</v>
      </c>
      <c r="J12" s="830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32">
        <v>-3.4</v>
      </c>
      <c r="BG12" s="372">
        <f t="shared" si="38"/>
        <v>-7.5071759770368729E-2</v>
      </c>
      <c r="BH12" s="632">
        <v>-3.25</v>
      </c>
      <c r="BI12" s="657">
        <f t="shared" si="38"/>
        <v>-6.8377866610561749E-2</v>
      </c>
      <c r="BJ12" s="632">
        <v>9.8000000000000007</v>
      </c>
      <c r="BK12" s="878">
        <f t="shared" si="38"/>
        <v>3.6292263822538244E-2</v>
      </c>
      <c r="BL12" s="632">
        <v>5.07</v>
      </c>
      <c r="BM12" s="878">
        <f t="shared" si="38"/>
        <v>2.2252457865168541E-2</v>
      </c>
      <c r="BN12" s="632">
        <v>7.0000000000000007E-2</v>
      </c>
      <c r="BO12" s="878">
        <f>BN12/BN7</f>
        <v>1.3521344407958279E-3</v>
      </c>
      <c r="BP12" s="632">
        <v>-2.84</v>
      </c>
      <c r="BQ12" s="878">
        <f>BP12/BP7</f>
        <v>-9.7628050876589892E-2</v>
      </c>
      <c r="BR12" s="632">
        <v>0</v>
      </c>
      <c r="BS12" s="878">
        <f>BP12/BP7</f>
        <v>-9.7628050876589892E-2</v>
      </c>
      <c r="BT12" s="632">
        <f>-2.75</f>
        <v>-2.75</v>
      </c>
      <c r="BU12" s="657">
        <f>BR12/BR7</f>
        <v>0</v>
      </c>
      <c r="BV12" s="632">
        <f>13.47</f>
        <v>13.47</v>
      </c>
      <c r="BW12" s="878">
        <f t="shared" ref="BW12:BW15" si="39">BV12/BV$17</f>
        <v>4.9598644966492383E-2</v>
      </c>
      <c r="BX12" s="632">
        <v>7.93</v>
      </c>
      <c r="BY12" s="878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 x14ac:dyDescent="0.25">
      <c r="B13" s="100">
        <f t="shared" si="6"/>
        <v>2.5004273100864054E-2</v>
      </c>
      <c r="C13" s="999" t="s">
        <v>488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31">
        <f t="shared" si="8"/>
        <v>0</v>
      </c>
      <c r="J13" s="831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8">
        <f t="shared" si="50"/>
        <v>0</v>
      </c>
      <c r="BJ13" s="235">
        <v>0.45</v>
      </c>
      <c r="BK13" s="879">
        <f t="shared" si="50"/>
        <v>1.6664815020553275E-3</v>
      </c>
      <c r="BL13" s="235">
        <v>0</v>
      </c>
      <c r="BM13" s="879">
        <f t="shared" si="50"/>
        <v>0</v>
      </c>
      <c r="BN13" s="235">
        <v>0</v>
      </c>
      <c r="BO13" s="879">
        <f>BN13/BN7</f>
        <v>0</v>
      </c>
      <c r="BP13" s="235">
        <v>0</v>
      </c>
      <c r="BQ13" s="879">
        <f>BP13/BP7</f>
        <v>0</v>
      </c>
      <c r="BR13" s="235">
        <f t="shared" ref="BR13" si="51">(BR$7)*BS13</f>
        <v>0</v>
      </c>
      <c r="BS13" s="879">
        <f>BP13/BP7</f>
        <v>0</v>
      </c>
      <c r="BT13" s="235">
        <f t="shared" ref="BT13" si="52">(BT$7)*BU13</f>
        <v>0</v>
      </c>
      <c r="BU13" s="658">
        <f>BR13/BR7</f>
        <v>0</v>
      </c>
      <c r="BV13" s="235">
        <v>0.45</v>
      </c>
      <c r="BW13" s="879">
        <f t="shared" si="39"/>
        <v>1.6569703218204581E-3</v>
      </c>
      <c r="BX13" s="235">
        <v>0</v>
      </c>
      <c r="BY13" s="879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 x14ac:dyDescent="0.25">
      <c r="A14" s="9"/>
      <c r="B14" s="100">
        <f t="shared" si="6"/>
        <v>0.11154861614988458</v>
      </c>
      <c r="C14" s="998" t="s">
        <v>489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30">
        <f t="shared" si="8"/>
        <v>82.389602147511653</v>
      </c>
      <c r="J14" s="830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32">
        <v>1.23</v>
      </c>
      <c r="BG14" s="372">
        <f t="shared" si="63"/>
        <v>2.7158313093398102E-2</v>
      </c>
      <c r="BH14" s="632">
        <v>1.58</v>
      </c>
      <c r="BI14" s="657">
        <f t="shared" si="63"/>
        <v>3.3242162844519252E-2</v>
      </c>
      <c r="BJ14" s="632">
        <v>37.950000000000003</v>
      </c>
      <c r="BK14" s="878">
        <f t="shared" si="63"/>
        <v>0.14053994000666595</v>
      </c>
      <c r="BL14" s="632">
        <v>22.61</v>
      </c>
      <c r="BM14" s="878">
        <f t="shared" si="63"/>
        <v>9.9236306179775274E-2</v>
      </c>
      <c r="BN14" s="632">
        <v>9.98</v>
      </c>
      <c r="BO14" s="878">
        <f>BN14/BN7</f>
        <v>0.19277573884489085</v>
      </c>
      <c r="BP14" s="632">
        <v>1.93</v>
      </c>
      <c r="BQ14" s="878">
        <f>BP14/BP7</f>
        <v>6.6345823306978344E-2</v>
      </c>
      <c r="BR14" s="632">
        <v>1.4</v>
      </c>
      <c r="BS14" s="878">
        <f>BP14/BP7</f>
        <v>6.6345823306978344E-2</v>
      </c>
      <c r="BT14" s="632">
        <f>1.76</f>
        <v>1.76</v>
      </c>
      <c r="BU14" s="657">
        <f>BR14/BR7</f>
        <v>4.9191848208011237E-2</v>
      </c>
      <c r="BV14" s="632">
        <f>35.73</f>
        <v>35.729999999999997</v>
      </c>
      <c r="BW14" s="878">
        <f t="shared" si="39"/>
        <v>0.13156344355254437</v>
      </c>
      <c r="BX14" s="632">
        <v>32.06</v>
      </c>
      <c r="BY14" s="878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 x14ac:dyDescent="0.25">
      <c r="B15" s="100">
        <f t="shared" si="6"/>
        <v>7.6929537583360394E-2</v>
      </c>
      <c r="C15" s="999" t="s">
        <v>490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31">
        <f t="shared" si="8"/>
        <v>83.546037611216576</v>
      </c>
      <c r="J15" s="831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8">
        <f t="shared" si="74"/>
        <v>0.16284451925099938</v>
      </c>
      <c r="BJ15" s="235">
        <v>32.130000000000003</v>
      </c>
      <c r="BK15" s="879">
        <f t="shared" si="74"/>
        <v>0.11898677924675038</v>
      </c>
      <c r="BL15" s="235">
        <v>24.13</v>
      </c>
      <c r="BM15" s="879">
        <f t="shared" si="74"/>
        <v>0.10590765449438201</v>
      </c>
      <c r="BN15" s="235">
        <v>12.15</v>
      </c>
      <c r="BO15" s="879">
        <f>BN15/BN7</f>
        <v>0.23469190650956151</v>
      </c>
      <c r="BP15" s="235">
        <v>7.92</v>
      </c>
      <c r="BQ15" s="879">
        <f>BP15/BP7</f>
        <v>0.27225850807837743</v>
      </c>
      <c r="BR15" s="235">
        <v>7.74</v>
      </c>
      <c r="BS15" s="879">
        <f>BP15/BP7</f>
        <v>0.27225850807837743</v>
      </c>
      <c r="BT15" s="235">
        <f>6.94+1.01</f>
        <v>7.95</v>
      </c>
      <c r="BU15" s="658">
        <f>BR15/BR7</f>
        <v>0.27196064652143359</v>
      </c>
      <c r="BV15" s="235">
        <v>31.42</v>
      </c>
      <c r="BW15" s="879">
        <f t="shared" si="39"/>
        <v>0.1156933500257751</v>
      </c>
      <c r="BX15" s="235">
        <f>7.02+25.49</f>
        <v>32.51</v>
      </c>
      <c r="BY15" s="879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 x14ac:dyDescent="0.25">
      <c r="A16" s="9"/>
      <c r="B16" s="920">
        <f>AVERAGEA(N16:BB16)</f>
        <v>0.31811570947038842</v>
      </c>
      <c r="C16" s="1000" t="s">
        <v>491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32">
        <f>AVERAGE(BX16,BZ16,CB16,CD16,CF16,CH16)</f>
        <v>0.39999999999999997</v>
      </c>
      <c r="J16" s="1079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3">
        <f>SUM(BF10:BF15)/(BF17)</f>
        <v>0.3928019430337823</v>
      </c>
      <c r="BG16" s="378"/>
      <c r="BH16" s="633">
        <f>SUM(BH10:BH15)/(BH17)</f>
        <v>0.40037870818430465</v>
      </c>
      <c r="BI16" s="410"/>
      <c r="BJ16" s="633">
        <f>SUM(BJ10:BJ15)/(BJ17)</f>
        <v>0.50827685812687484</v>
      </c>
      <c r="BK16" s="633"/>
      <c r="BL16" s="633">
        <f>SUM(BL10:BL15)/(BL17)</f>
        <v>0.426439606741573</v>
      </c>
      <c r="BM16" s="633"/>
      <c r="BN16" s="633">
        <f>SUM(BN10:BN15)/(BN17)</f>
        <v>0.46067298676945512</v>
      </c>
      <c r="BO16" s="633"/>
      <c r="BP16" s="633">
        <f>SUM(BP10:BP15)/(BP17)</f>
        <v>0.40969967532467527</v>
      </c>
      <c r="BQ16" s="812"/>
      <c r="BR16" s="633">
        <f>SUM(BR10:BR15)/(BR17)</f>
        <v>0.39843584865778908</v>
      </c>
      <c r="BS16" s="812"/>
      <c r="BT16" s="633">
        <f>SUM(BT10:BT15)/(BT17)</f>
        <v>0.40386940749697703</v>
      </c>
      <c r="BU16" s="813"/>
      <c r="BV16" s="633">
        <f>SUM(BV10:BV15)/(BV17)</f>
        <v>0.48980042713012739</v>
      </c>
      <c r="BW16" s="378"/>
      <c r="BX16" s="633">
        <v>0.4</v>
      </c>
      <c r="BY16" s="378"/>
      <c r="BZ16" s="812">
        <v>0.4</v>
      </c>
      <c r="CA16" s="378"/>
      <c r="CB16" s="812">
        <v>0.4</v>
      </c>
      <c r="CC16" s="378"/>
      <c r="CD16" s="812">
        <v>0.4</v>
      </c>
      <c r="CE16" s="378"/>
      <c r="CF16" s="812">
        <v>0.4</v>
      </c>
      <c r="CG16" s="813"/>
      <c r="CH16" s="812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 x14ac:dyDescent="0.25">
      <c r="C17" s="1002" t="s">
        <v>397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4">
        <f>BF7+SUM(BF10:BF15)</f>
        <v>45.29</v>
      </c>
      <c r="BG17" s="110"/>
      <c r="BH17" s="634">
        <f>BH7+SUM(BH10:BH15)</f>
        <v>47.53</v>
      </c>
      <c r="BI17" s="265"/>
      <c r="BJ17" s="634">
        <f>BJ7+SUM(BJ10:BJ15)</f>
        <v>270.02999999999997</v>
      </c>
      <c r="BK17" s="634"/>
      <c r="BL17" s="634">
        <f>BL7+SUM(BL10:BL15)</f>
        <v>227.84</v>
      </c>
      <c r="BM17" s="634"/>
      <c r="BN17" s="634">
        <f>BN7+SUM(BN10:BN15)</f>
        <v>95.990000000000009</v>
      </c>
      <c r="BO17" s="634"/>
      <c r="BP17" s="634">
        <f>BP7+SUM(BP10:BP15)</f>
        <v>49.28</v>
      </c>
      <c r="BQ17" s="110"/>
      <c r="BR17" s="634">
        <f>BR7+SUM(BR10:BR15)</f>
        <v>47.31</v>
      </c>
      <c r="BS17" s="110"/>
      <c r="BT17" s="634">
        <f>BT7+SUM(BT10:BT15)</f>
        <v>49.62</v>
      </c>
      <c r="BU17" s="415"/>
      <c r="BV17" s="634">
        <f>BV7+SUM(BV10:BV15)</f>
        <v>271.58</v>
      </c>
      <c r="BW17" s="110"/>
      <c r="BX17" s="634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 x14ac:dyDescent="0.25">
      <c r="C18" s="1001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 x14ac:dyDescent="0.25">
      <c r="C19" s="1065" t="s">
        <v>492</v>
      </c>
      <c r="D19" s="926">
        <f>P19+R19+T19+V19+W19+X19+Z19</f>
        <v>291.21000000000004</v>
      </c>
      <c r="E19" s="926">
        <f>AB19+AD19+AF19+AH19+AJ19+AL19</f>
        <v>54.66</v>
      </c>
      <c r="F19" s="926">
        <f>AN19+AP19+AR19+AT19+AV19+AX19</f>
        <v>109.53999999999999</v>
      </c>
      <c r="G19" s="926">
        <f>AZ19+BB19+BD19+BF19+BH19+BJ19</f>
        <v>335.96</v>
      </c>
      <c r="H19" s="926">
        <f>BL19+BN19+BP19+BR19+BT19+BV19</f>
        <v>333.47999999999996</v>
      </c>
      <c r="I19" s="927">
        <f t="shared" si="8"/>
        <v>359.42014211949396</v>
      </c>
      <c r="J19" s="927"/>
      <c r="L19" s="928"/>
      <c r="M19" s="926"/>
      <c r="N19" s="926">
        <f>SUM(N10:N15)-N13</f>
        <v>115.33999999999997</v>
      </c>
      <c r="O19" s="926"/>
      <c r="P19" s="926">
        <f>SUM(P10:P15)</f>
        <v>70.8</v>
      </c>
      <c r="Q19" s="926"/>
      <c r="R19" s="926">
        <f>SUM(R10:R15)</f>
        <v>30.979999999999997</v>
      </c>
      <c r="S19" s="926"/>
      <c r="T19" s="926">
        <f>SUM(T10:T15)</f>
        <v>15.420000000000002</v>
      </c>
      <c r="U19" s="926"/>
      <c r="V19" s="926">
        <f>SUM(V10:V15)</f>
        <v>13.030000000000001</v>
      </c>
      <c r="W19" s="929">
        <f>SUM(W10:W15)</f>
        <v>20.18</v>
      </c>
      <c r="X19" s="926">
        <f>SUM(X10:X15)-X13</f>
        <v>29.159999999999997</v>
      </c>
      <c r="Y19" s="930"/>
      <c r="Z19" s="926">
        <f>SUM(Z10:Z15)</f>
        <v>111.64</v>
      </c>
      <c r="AA19" s="926"/>
      <c r="AB19" s="926">
        <f>SUM(AB10:AB15)</f>
        <v>15.809999999999999</v>
      </c>
      <c r="AC19" s="926"/>
      <c r="AD19" s="926">
        <f>SUM(AD10:AD15)</f>
        <v>10.26</v>
      </c>
      <c r="AE19" s="926"/>
      <c r="AF19" s="926">
        <f>SUM(AF10:AF15)</f>
        <v>8.0500000000000007</v>
      </c>
      <c r="AG19" s="926"/>
      <c r="AH19" s="926">
        <f>SUM(AH10:AH15)</f>
        <v>3.2600000000000007</v>
      </c>
      <c r="AI19" s="926"/>
      <c r="AJ19" s="926">
        <f>SUM(AJ10:AJ15)</f>
        <v>12.559999999999997</v>
      </c>
      <c r="AK19" s="307"/>
      <c r="AL19" s="926">
        <f>SUM(AL10:AL15)</f>
        <v>4.7199999999999989</v>
      </c>
      <c r="AN19" s="926">
        <f>SUM(AN10:AN15)</f>
        <v>-12.130000000000003</v>
      </c>
      <c r="AP19" s="926">
        <f>SUM(AP10:AP15)</f>
        <v>12.38</v>
      </c>
      <c r="AR19" s="926">
        <f>SUM(AR10:AR15)</f>
        <v>11.66</v>
      </c>
      <c r="AT19" s="926">
        <f>SUM(AT10:AT15)</f>
        <v>9.7800000000000011</v>
      </c>
      <c r="AV19" s="926">
        <f>SUM(AV10:AV15)</f>
        <v>11.149999999999999</v>
      </c>
      <c r="AW19" s="307"/>
      <c r="AX19" s="926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6">
        <f>SUM(BH10:BH15)</f>
        <v>19.03</v>
      </c>
      <c r="BI19" s="307"/>
      <c r="BJ19" s="931">
        <f>SUM(BJ10:BJ15)</f>
        <v>137.25</v>
      </c>
      <c r="BK19" s="931"/>
      <c r="BL19" s="931">
        <f>SUM(BL10:BL15)</f>
        <v>97.16</v>
      </c>
      <c r="BM19" s="931"/>
      <c r="BN19" s="931">
        <f>SUM(BN10:BN15)</f>
        <v>44.22</v>
      </c>
      <c r="BO19" s="931"/>
      <c r="BP19" s="931">
        <f>SUM(BP10:BP15)</f>
        <v>20.189999999999998</v>
      </c>
      <c r="BQ19" s="19"/>
      <c r="BR19" s="931">
        <f>SUM(BR10:BR15)</f>
        <v>18.850000000000001</v>
      </c>
      <c r="BS19" s="932"/>
      <c r="BT19" s="926">
        <f>SUM(BT10:BT15)</f>
        <v>20.04</v>
      </c>
      <c r="BU19" s="933"/>
      <c r="BV19" s="931">
        <f>SUM(BV10:BV15)</f>
        <v>133.01999999999998</v>
      </c>
      <c r="BX19" s="931">
        <f>SUM(BX10:BX15)</f>
        <v>139.85999999999999</v>
      </c>
      <c r="BZ19" s="932">
        <f>SUM(BZ10:BZ15)</f>
        <v>43.912028423898803</v>
      </c>
      <c r="CB19" s="932">
        <f>SUM(CB10:CB15)</f>
        <v>23.568797897638497</v>
      </c>
      <c r="CD19" s="932">
        <f>SUM(CD10:CD15)</f>
        <v>23.126553755763275</v>
      </c>
      <c r="CF19" s="932">
        <f>SUM(CF10:CF15)</f>
        <v>23.126553755763275</v>
      </c>
      <c r="CG19" s="933"/>
      <c r="CH19" s="932">
        <f>SUM(CH10:CH15)</f>
        <v>105.82620828643016</v>
      </c>
    </row>
    <row r="20" spans="1:117" x14ac:dyDescent="0.25">
      <c r="C20" s="1001" t="s">
        <v>502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11">
        <f>AVERAGE(BX20,BZ20,CB20,CD20,CF20,CH20)</f>
        <v>0.43799323562570464</v>
      </c>
      <c r="J20" s="811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5">
        <f>BJ19/BJ17</f>
        <v>0.50827685812687484</v>
      </c>
      <c r="BK20" s="291"/>
      <c r="BL20" s="925">
        <f>BL19/BL17</f>
        <v>0.426439606741573</v>
      </c>
      <c r="BM20" s="291"/>
      <c r="BN20" s="925">
        <f>BN19/BN17</f>
        <v>0.46067298676945512</v>
      </c>
      <c r="BO20" s="291"/>
      <c r="BP20" s="925">
        <f>BP19/BP17</f>
        <v>0.40969967532467527</v>
      </c>
      <c r="BQ20" s="587"/>
      <c r="BR20" s="925">
        <f>BR19/BR17</f>
        <v>0.39843584865778908</v>
      </c>
      <c r="BS20" s="587"/>
      <c r="BT20" s="112">
        <f>BT19/BT17</f>
        <v>0.40386940749697703</v>
      </c>
      <c r="BU20" s="588"/>
      <c r="BV20" s="925">
        <f>BV19/BV17</f>
        <v>0.48980042713012739</v>
      </c>
      <c r="BW20" s="19"/>
      <c r="BX20" s="925">
        <f>BX19/BX17</f>
        <v>0.43799323562570458</v>
      </c>
      <c r="BY20" s="19"/>
      <c r="BZ20" s="811">
        <f>BZ19/BZ17</f>
        <v>0.43799323562570464</v>
      </c>
      <c r="CA20" s="19"/>
      <c r="CB20" s="811">
        <f>CB19/CB17</f>
        <v>0.43799323562570464</v>
      </c>
      <c r="CC20" s="19"/>
      <c r="CD20" s="811">
        <f>CD19/CD17</f>
        <v>0.43799323562570464</v>
      </c>
      <c r="CE20" s="19"/>
      <c r="CF20" s="811">
        <f>CF19/CF17</f>
        <v>0.43799323562570464</v>
      </c>
      <c r="CG20" s="588"/>
      <c r="CH20" s="811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 x14ac:dyDescent="0.25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 x14ac:dyDescent="0.25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44" t="b">
        <f t="shared" ref="BK22" si="76">IF($B$3=BN6,TRUE,FALSE)</f>
        <v>0</v>
      </c>
      <c r="BL22" s="235" t="b">
        <f t="shared" ref="BL22" si="77">IF($B$3=BN6,TRUE,FALSE)</f>
        <v>0</v>
      </c>
      <c r="BM22" s="944" t="b">
        <f t="shared" ref="BM22" si="78">IF($B$3=BP6,TRUE,FALSE)</f>
        <v>0</v>
      </c>
      <c r="BN22" s="235" t="b">
        <f t="shared" ref="BN22" si="79">IF($B$3=BP6,TRUE,FALSE)</f>
        <v>0</v>
      </c>
      <c r="BO22" s="944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 x14ac:dyDescent="0.25">
      <c r="B23" s="9" t="s">
        <v>493</v>
      </c>
      <c r="C23" s="9" t="s">
        <v>494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44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44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44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 x14ac:dyDescent="0.25">
      <c r="B24" s="278"/>
      <c r="C24" s="1002" t="s">
        <v>495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92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8">
        <f t="shared" ref="AI24:BE24" si="132">AI23-AH23</f>
        <v>7</v>
      </c>
      <c r="AJ24" s="1181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8">
        <f t="shared" si="132"/>
        <v>6</v>
      </c>
      <c r="AV24" s="1181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8">
        <f t="shared" si="133"/>
        <v>5</v>
      </c>
      <c r="BH24" s="1181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8">
        <f>BS23-BR23</f>
        <v>92</v>
      </c>
      <c r="BT24" s="1181">
        <f>BT23-BS23</f>
        <v>109</v>
      </c>
      <c r="BU24" s="1181">
        <f>BU23-BT23</f>
        <v>177</v>
      </c>
      <c r="BV24" s="1181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 x14ac:dyDescent="0.25">
      <c r="A25" s="9"/>
      <c r="B25" s="9"/>
      <c r="C25" s="1003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93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9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9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9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9"/>
      <c r="BT25" s="374"/>
      <c r="BU25" s="374"/>
      <c r="BV25" s="374"/>
      <c r="CG25" s="364"/>
    </row>
    <row r="26" spans="1:117" x14ac:dyDescent="0.25">
      <c r="C26" s="1001" t="s">
        <v>850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71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71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71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71"/>
      <c r="BT26" s="105"/>
      <c r="BU26" s="105"/>
      <c r="BV26" s="105"/>
      <c r="CG26" s="265"/>
    </row>
    <row r="27" spans="1:117" s="343" customFormat="1" x14ac:dyDescent="0.25">
      <c r="A27" s="9"/>
      <c r="B27" s="9"/>
      <c r="C27" s="1003" t="s">
        <v>810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94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72">
        <v>59</v>
      </c>
      <c r="AJ27" s="1180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72">
        <v>48</v>
      </c>
      <c r="AV27" s="1180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72">
        <v>71</v>
      </c>
      <c r="BH27" s="1180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72">
        <v>83</v>
      </c>
      <c r="BT27" s="1180">
        <v>122</v>
      </c>
      <c r="BU27" s="1180">
        <v>180</v>
      </c>
      <c r="BV27" s="1180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74">
        <v>130</v>
      </c>
      <c r="CH27" s="872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 x14ac:dyDescent="0.25">
      <c r="A28" s="9"/>
      <c r="C28" s="1004" t="s">
        <v>496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83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73">
        <v>65</v>
      </c>
      <c r="AK28" s="1179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73">
        <v>11</v>
      </c>
      <c r="AW28" s="1179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73">
        <f>BE27+BF27</f>
        <v>8</v>
      </c>
      <c r="BI28" s="1179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73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7"/>
      <c r="CH28" s="875">
        <f>CE27+CF27</f>
        <v>197</v>
      </c>
    </row>
    <row r="29" spans="1:117" s="343" customFormat="1" x14ac:dyDescent="0.25">
      <c r="A29" s="9"/>
      <c r="B29" s="9"/>
      <c r="C29" s="1003" t="s">
        <v>497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84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70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70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70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6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 x14ac:dyDescent="0.25">
      <c r="B30" s="14"/>
      <c r="C30" s="1001" t="s">
        <v>498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6">
        <f>X28-X29</f>
        <v>101</v>
      </c>
      <c r="Y30" s="1195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74"/>
      <c r="AJ30" s="1164">
        <f>AJ28-AJ29</f>
        <v>54</v>
      </c>
      <c r="AK30" s="1167"/>
      <c r="AL30" s="105">
        <f>AL28-AL29</f>
        <v>89</v>
      </c>
      <c r="AM30" s="947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74"/>
      <c r="AV30" s="1164">
        <f>AV28-AV29</f>
        <v>2</v>
      </c>
      <c r="AW30" s="1167"/>
      <c r="AX30" s="105">
        <f>AX28-AX29</f>
        <v>101</v>
      </c>
      <c r="AY30" s="947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74"/>
      <c r="BH30" s="1164">
        <f>BH28-BH29</f>
        <v>1</v>
      </c>
      <c r="BI30" s="1167"/>
      <c r="BJ30" s="105">
        <f>BJ28-BJ29</f>
        <v>143</v>
      </c>
      <c r="BK30" s="947"/>
      <c r="BL30" s="948">
        <f>BL28-BL29</f>
        <v>-5</v>
      </c>
      <c r="BM30" s="947"/>
      <c r="BN30" s="948">
        <f>BN28-BN29</f>
        <v>-96</v>
      </c>
      <c r="BO30" s="947"/>
      <c r="BP30" s="948">
        <f>BP28-BP29</f>
        <v>-3</v>
      </c>
      <c r="BQ30" s="947"/>
      <c r="BR30" s="948">
        <f>BR28-BR29</f>
        <v>0</v>
      </c>
      <c r="BS30" s="1163"/>
      <c r="BT30" s="1164">
        <f>BT28-BT29</f>
        <v>0</v>
      </c>
      <c r="BU30" s="1155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14">
        <f>CD28-CD29</f>
        <v>0</v>
      </c>
      <c r="CE30" s="1414"/>
      <c r="CF30" s="1414">
        <f>CF28-CF29</f>
        <v>0</v>
      </c>
      <c r="CG30" s="1415"/>
      <c r="CH30" s="1416">
        <f>CH28-CH29</f>
        <v>0</v>
      </c>
    </row>
    <row r="31" spans="1:117" x14ac:dyDescent="0.25">
      <c r="D31" s="49"/>
      <c r="E31" s="49"/>
      <c r="F31" s="49"/>
      <c r="G31" s="49"/>
      <c r="H31" s="49" t="s">
        <v>499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6">
        <f t="shared" si="138"/>
        <v>-0.4</v>
      </c>
      <c r="AI31" s="1175">
        <f t="shared" si="138"/>
        <v>-0.10606060606060606</v>
      </c>
      <c r="AJ31" s="1175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7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6">
        <f t="shared" si="141"/>
        <v>-0.8</v>
      </c>
      <c r="AU31" s="1175">
        <f t="shared" si="141"/>
        <v>-0.1864406779661017</v>
      </c>
      <c r="AV31" s="1175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7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6">
        <f t="shared" ref="BF31" si="144">(BF27-AT27)/AT27</f>
        <v>-0.33333333333333331</v>
      </c>
      <c r="BG31" s="1175">
        <f t="shared" ref="BG31" si="145">(BG27-AU27)/AU27</f>
        <v>0.47916666666666669</v>
      </c>
      <c r="BH31" s="1175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7">
        <f t="shared" si="146"/>
        <v>0.1951219512195122</v>
      </c>
      <c r="BL31" s="947">
        <f t="shared" si="146"/>
        <v>-0.52941176470588236</v>
      </c>
      <c r="BM31" s="947">
        <f>(BM27-BA27)/BA27</f>
        <v>0.5</v>
      </c>
      <c r="BN31" s="947">
        <f>(BN27-BB27)/BB27</f>
        <v>0</v>
      </c>
      <c r="BO31" s="947">
        <f t="shared" ref="BO31" si="147">(BO27-BC27)/BC27</f>
        <v>1</v>
      </c>
      <c r="BP31" s="947">
        <f t="shared" ref="BP31" si="148">(BP27-BD27)/BD27</f>
        <v>0.25</v>
      </c>
      <c r="BQ31" s="947">
        <f t="shared" ref="BQ31" si="149">(BQ27-BE27)/BE27</f>
        <v>0.25</v>
      </c>
      <c r="BR31" s="1165">
        <f t="shared" ref="BR31" si="150">(BR27-BF27)/BF27</f>
        <v>0.25</v>
      </c>
      <c r="BS31" s="947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8">
        <f t="shared" ref="BW31" si="154">(BW27-BK27)/BK27</f>
        <v>0</v>
      </c>
      <c r="BX31" s="988">
        <f t="shared" ref="BX31" si="155">(BX27-BL27)/BL27</f>
        <v>0</v>
      </c>
      <c r="BY31" s="988">
        <f>(BY27-BM27)/BM27</f>
        <v>0</v>
      </c>
      <c r="BZ31" s="988">
        <f>(BZ27-BN27)/BN27</f>
        <v>0</v>
      </c>
      <c r="CA31" s="988">
        <f t="shared" ref="CA31" si="156">(CA27-BO27)/BO27</f>
        <v>-0.375</v>
      </c>
      <c r="CB31" s="988">
        <f t="shared" ref="CB31" si="157">(CB27-BP27)/BP27</f>
        <v>0</v>
      </c>
      <c r="CC31" s="988">
        <f t="shared" ref="CC31" si="158">(CC27-BQ27)/BQ27</f>
        <v>0</v>
      </c>
      <c r="CD31" s="988">
        <f t="shared" ref="CD31" si="159">(CD27-BR27)/BR27</f>
        <v>0</v>
      </c>
      <c r="CE31" s="988">
        <f t="shared" ref="CE31" si="160">(CE27-BS27)/BS27</f>
        <v>-0.25301204819277107</v>
      </c>
      <c r="CF31" s="129">
        <f t="shared" ref="CF31" si="161">(CF27-BT27)/BT27</f>
        <v>0.10655737704918032</v>
      </c>
      <c r="CG31" s="901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 x14ac:dyDescent="0.25">
      <c r="L32" s="608"/>
      <c r="M32" s="119"/>
      <c r="N32" s="119"/>
      <c r="P32" s="119"/>
      <c r="R32" s="119"/>
      <c r="T32" s="119"/>
      <c r="V32" s="119"/>
      <c r="W32" s="103"/>
      <c r="X32" s="119"/>
      <c r="AH32" s="717"/>
      <c r="AM32" s="105"/>
      <c r="AT32" s="717"/>
      <c r="AY32" s="105"/>
      <c r="BF32" s="717"/>
      <c r="BK32" s="105"/>
      <c r="BL32" s="105"/>
      <c r="BM32" s="105"/>
      <c r="BN32" s="105"/>
      <c r="BO32" s="105"/>
      <c r="BP32" s="105"/>
      <c r="BQ32" s="105"/>
      <c r="BR32" s="1166"/>
      <c r="BS32" s="105"/>
      <c r="BW32" s="117"/>
    </row>
    <row r="33" spans="1:117" x14ac:dyDescent="0.25">
      <c r="B33" s="237"/>
      <c r="C33" s="1005" t="s">
        <v>500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7">
        <v>2026</v>
      </c>
      <c r="J33" s="837"/>
      <c r="L33" s="621"/>
      <c r="W33" s="103"/>
      <c r="AH33" s="717"/>
      <c r="AM33" s="105"/>
      <c r="AT33" s="717"/>
      <c r="AY33" s="105"/>
      <c r="BF33" s="717"/>
      <c r="BK33" s="105"/>
      <c r="BL33" s="105"/>
      <c r="BM33" s="105"/>
      <c r="BN33" s="105"/>
      <c r="BO33" s="105"/>
      <c r="BP33" s="105"/>
      <c r="BQ33" s="105"/>
      <c r="BR33" s="1166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 x14ac:dyDescent="0.3">
      <c r="A34" s="9"/>
      <c r="B34" s="370" t="s">
        <v>501</v>
      </c>
      <c r="C34" s="1006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8">
        <f>AVERAGE(BU34:CF34)</f>
        <v>68.38388375375186</v>
      </c>
      <c r="J34" s="838"/>
      <c r="K34" s="9"/>
      <c r="L34" s="854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7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8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6">
        <f>AT17/2</f>
        <v>17.25</v>
      </c>
      <c r="AR34" s="846">
        <f>AT17-AQ34</f>
        <v>17.25</v>
      </c>
      <c r="AS34" s="846">
        <f>AV17/2</f>
        <v>18.829999999999998</v>
      </c>
      <c r="AT34" s="1158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7">
        <f>BB17-AY34</f>
        <v>53.879999999999995</v>
      </c>
      <c r="BA34" s="847">
        <f>BD17/2</f>
        <v>24.379999999999995</v>
      </c>
      <c r="BB34" s="847">
        <f>BD17-BA34</f>
        <v>24.379999999999995</v>
      </c>
      <c r="BC34" s="847">
        <f>BF17/2</f>
        <v>22.645</v>
      </c>
      <c r="BD34" s="847">
        <f>BF17-BC34</f>
        <v>22.645</v>
      </c>
      <c r="BE34" s="368">
        <f>BH17/2</f>
        <v>23.765000000000001</v>
      </c>
      <c r="BF34" s="1158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6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 x14ac:dyDescent="0.3">
      <c r="B35" s="49" t="s">
        <v>502</v>
      </c>
      <c r="C35" s="1007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8"/>
      <c r="Y35" s="123"/>
      <c r="Z35" s="123"/>
      <c r="AA35" s="123"/>
      <c r="AB35" s="123"/>
      <c r="AC35" s="123"/>
      <c r="AD35" s="123"/>
      <c r="AE35" s="123"/>
      <c r="AF35" s="123"/>
      <c r="AG35" s="123"/>
      <c r="AH35" s="1157"/>
      <c r="AI35" s="84"/>
      <c r="AJ35" s="84"/>
      <c r="AK35" s="84"/>
      <c r="AL35" s="84"/>
      <c r="AM35" s="84"/>
      <c r="AN35" s="123"/>
      <c r="AO35" s="123"/>
      <c r="AP35" s="123"/>
      <c r="AQ35" s="848"/>
      <c r="AR35" s="848"/>
      <c r="AS35" s="123"/>
      <c r="AT35" s="1157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7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7"/>
      <c r="BS35" s="84"/>
      <c r="BT35" s="84"/>
      <c r="BU35" s="84"/>
      <c r="BV35" s="84"/>
      <c r="BW35" s="990"/>
      <c r="BX35" s="990"/>
      <c r="BY35" s="990"/>
      <c r="BZ35" s="990"/>
      <c r="CA35" s="990"/>
      <c r="CB35" s="990"/>
      <c r="CC35" s="990"/>
      <c r="CD35" s="990"/>
      <c r="CE35" s="990"/>
      <c r="CF35" s="857"/>
      <c r="CG35" s="990"/>
      <c r="CH35" s="990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 x14ac:dyDescent="0.25">
      <c r="A36" s="9"/>
      <c r="B36" s="466" t="s">
        <v>16</v>
      </c>
      <c r="C36" s="1008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14">
        <f>AVERAGE(M36:X36)</f>
        <v>28.188333333333333</v>
      </c>
      <c r="E36" s="814">
        <f>AVERAGE(Y36:AJ36)</f>
        <v>6.5100000000000007</v>
      </c>
      <c r="F36" s="814">
        <f>AVERAGE(AK36:AV36)</f>
        <v>20.685833333333335</v>
      </c>
      <c r="G36" s="814">
        <f>AVERAGE(AW36:BH36)</f>
        <v>25.650833333333328</v>
      </c>
      <c r="H36" s="814">
        <f>AVERAGE(BI36:BT36)</f>
        <v>32.011666666666656</v>
      </c>
      <c r="I36" s="839">
        <f>AVERAGE(BU36:CF36)</f>
        <v>36.432205243794023</v>
      </c>
      <c r="J36" s="839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9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8">
        <f>AJ9/2</f>
        <v>18.914999999999999</v>
      </c>
      <c r="AI36" s="846">
        <f>AL9/2</f>
        <v>11.875</v>
      </c>
      <c r="AJ36" s="846">
        <f>AL9/2</f>
        <v>11.875</v>
      </c>
      <c r="AK36" s="846">
        <f>AN9/2</f>
        <v>52.305</v>
      </c>
      <c r="AL36" s="846">
        <f>AN9/2</f>
        <v>52.305</v>
      </c>
      <c r="AM36" s="846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6">
        <f>AT9/2</f>
        <v>2.3599999999999994</v>
      </c>
      <c r="AR36" s="846">
        <f>AT9/2</f>
        <v>2.3599999999999994</v>
      </c>
      <c r="AS36" s="846">
        <f>AV9/2</f>
        <v>3.2550000000000008</v>
      </c>
      <c r="AT36" s="1158">
        <f>AV9/2</f>
        <v>3.2550000000000008</v>
      </c>
      <c r="AU36" s="846">
        <f>AX9/2</f>
        <v>49.35</v>
      </c>
      <c r="AV36" s="846">
        <f>AX9/2</f>
        <v>49.35</v>
      </c>
      <c r="AW36" s="846">
        <f>AZ9/2</f>
        <v>72.984999999999999</v>
      </c>
      <c r="AX36" s="846">
        <f>AZ9/2</f>
        <v>72.984999999999999</v>
      </c>
      <c r="AY36" s="846">
        <f>BB9/2</f>
        <v>19.579999999999998</v>
      </c>
      <c r="AZ36" s="846">
        <f>BB9/2</f>
        <v>19.579999999999998</v>
      </c>
      <c r="BA36" s="846">
        <f>BD9/2</f>
        <v>2.9499999999999993</v>
      </c>
      <c r="BB36" s="846">
        <f>BD9/2</f>
        <v>2.9499999999999993</v>
      </c>
      <c r="BC36" s="846">
        <f>BF9/2</f>
        <v>1.75</v>
      </c>
      <c r="BD36" s="846">
        <f>BF9/2</f>
        <v>1.75</v>
      </c>
      <c r="BE36" s="846">
        <f>BH9/2</f>
        <v>2.25</v>
      </c>
      <c r="BF36" s="1158">
        <f>BH9/2</f>
        <v>2.25</v>
      </c>
      <c r="BG36" s="846">
        <f>BJ9/2</f>
        <v>54.39</v>
      </c>
      <c r="BH36" s="846">
        <f>BJ9/2</f>
        <v>54.39</v>
      </c>
      <c r="BI36" s="846">
        <f>BL9/2</f>
        <v>53.34</v>
      </c>
      <c r="BJ36" s="846">
        <f>BL9/2</f>
        <v>53.34</v>
      </c>
      <c r="BK36" s="846">
        <f>BN7/2</f>
        <v>25.885000000000002</v>
      </c>
      <c r="BL36" s="846">
        <f>BN7/2</f>
        <v>25.885000000000002</v>
      </c>
      <c r="BM36" s="846">
        <f>BP7/2</f>
        <v>14.545</v>
      </c>
      <c r="BN36" s="846">
        <f>BP7/2</f>
        <v>14.545</v>
      </c>
      <c r="BO36" s="846">
        <f>BR7/2</f>
        <v>14.23</v>
      </c>
      <c r="BP36" s="846">
        <f>BR7/2</f>
        <v>14.23</v>
      </c>
      <c r="BQ36" s="846">
        <f>BT7/2</f>
        <v>14.79</v>
      </c>
      <c r="BR36" s="1158">
        <f>BT7/2</f>
        <v>14.79</v>
      </c>
      <c r="BS36" s="846">
        <f>BV7/2</f>
        <v>69.28</v>
      </c>
      <c r="BT36" s="846">
        <f>BV7/2</f>
        <v>69.28</v>
      </c>
      <c r="BU36" s="846">
        <f>BX9/2</f>
        <v>77.73</v>
      </c>
      <c r="BV36" s="846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8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 x14ac:dyDescent="0.25">
      <c r="A37" s="9"/>
      <c r="B37" s="593" t="s">
        <v>503</v>
      </c>
      <c r="C37" s="1009"/>
      <c r="D37" s="815">
        <f>AVERAGE(M37:X37)</f>
        <v>40.309951299782512</v>
      </c>
      <c r="E37" s="815">
        <f>AVERAGE(Y37:AJ37)</f>
        <v>24.516530744970229</v>
      </c>
      <c r="F37" s="815">
        <f>AVERAGE(AK37:AV37)</f>
        <v>17.905331442955788</v>
      </c>
      <c r="G37" s="815">
        <f>AVERAGE(AW37:BH37)</f>
        <v>21.670042156602904</v>
      </c>
      <c r="H37" s="815">
        <f>AVERAGE(BI37:BT37)</f>
        <v>29.612663540273029</v>
      </c>
      <c r="I37" s="840">
        <f>AVERAGE(BU37:CF37)</f>
        <v>25.388841763986022</v>
      </c>
      <c r="J37" s="840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90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9">
        <f t="shared" si="163"/>
        <v>2.7546663758393519</v>
      </c>
      <c r="AI37" s="849">
        <f t="shared" si="163"/>
        <v>3.8565329261750927</v>
      </c>
      <c r="AJ37" s="849">
        <f t="shared" si="163"/>
        <v>8.2639991275180549</v>
      </c>
      <c r="AK37" s="849">
        <f t="shared" si="163"/>
        <v>51.787727865779814</v>
      </c>
      <c r="AL37" s="849">
        <f t="shared" si="163"/>
        <v>50.134928040276208</v>
      </c>
      <c r="AM37" s="849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9">
        <f t="shared" si="163"/>
        <v>3.8565329261750927</v>
      </c>
      <c r="AR37" s="849">
        <f t="shared" si="163"/>
        <v>2.2037331006714815</v>
      </c>
      <c r="AS37" s="849">
        <f t="shared" si="163"/>
        <v>2.2037331006714815</v>
      </c>
      <c r="AT37" s="1159">
        <f t="shared" si="163"/>
        <v>2.7546663758393519</v>
      </c>
      <c r="AU37" s="849">
        <f t="shared" si="163"/>
        <v>3.3055996510072223</v>
      </c>
      <c r="AV37" s="849">
        <f t="shared" si="163"/>
        <v>25.893863932889907</v>
      </c>
      <c r="AW37" s="849">
        <f t="shared" si="163"/>
        <v>57.29706061745852</v>
      </c>
      <c r="AX37" s="849">
        <f t="shared" si="163"/>
        <v>73.274125597326758</v>
      </c>
      <c r="AY37" s="849">
        <f t="shared" si="163"/>
        <v>45.727461838933245</v>
      </c>
      <c r="AZ37" s="849">
        <f t="shared" si="163"/>
        <v>31.403196684568613</v>
      </c>
      <c r="BA37" s="849">
        <f t="shared" si="163"/>
        <v>0</v>
      </c>
      <c r="BB37" s="849">
        <f t="shared" si="163"/>
        <v>2.2037331006714815</v>
      </c>
      <c r="BC37" s="849">
        <f t="shared" si="163"/>
        <v>2.7546663758393519</v>
      </c>
      <c r="BD37" s="849">
        <f t="shared" si="163"/>
        <v>2.2037331006714815</v>
      </c>
      <c r="BE37" s="849">
        <f t="shared" si="163"/>
        <v>1.6527998255036112</v>
      </c>
      <c r="BF37" s="1159">
        <f t="shared" si="163"/>
        <v>2.2037331006714815</v>
      </c>
      <c r="BG37" s="849">
        <f t="shared" si="163"/>
        <v>2.7546663758393519</v>
      </c>
      <c r="BH37" s="849">
        <f t="shared" si="163"/>
        <v>38.565329261750925</v>
      </c>
      <c r="BI37" s="849">
        <f t="shared" si="163"/>
        <v>79.334391624173335</v>
      </c>
      <c r="BJ37" s="849">
        <f t="shared" si="163"/>
        <v>60.602660268465741</v>
      </c>
      <c r="BK37" s="849">
        <f>((BK24*$C$40))</f>
        <v>57.847993892626391</v>
      </c>
      <c r="BL37" s="849">
        <f t="shared" si="163"/>
        <v>26.444797208057778</v>
      </c>
      <c r="BM37" s="849">
        <f t="shared" si="163"/>
        <v>4.4074662013429631</v>
      </c>
      <c r="BN37" s="849">
        <f t="shared" si="163"/>
        <v>3.3055996510072223</v>
      </c>
      <c r="BO37" s="849">
        <f t="shared" si="163"/>
        <v>2.7546663758393519</v>
      </c>
      <c r="BP37" s="849">
        <f t="shared" si="163"/>
        <v>4.4074662013429631</v>
      </c>
      <c r="BQ37" s="849">
        <f t="shared" si="163"/>
        <v>2.7546663758393519</v>
      </c>
      <c r="BR37" s="1159">
        <f t="shared" si="163"/>
        <v>2.7546663758393519</v>
      </c>
      <c r="BS37" s="849">
        <f t="shared" si="163"/>
        <v>50.685861315444072</v>
      </c>
      <c r="BT37" s="849">
        <f t="shared" si="163"/>
        <v>60.051726993297869</v>
      </c>
      <c r="BU37" s="849">
        <f>((BU24*$C$40))</f>
        <v>97.515189704713052</v>
      </c>
      <c r="BV37" s="849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9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 x14ac:dyDescent="0.25">
      <c r="A38" s="9"/>
      <c r="B38" s="597" t="s">
        <v>851</v>
      </c>
      <c r="C38" s="1010"/>
      <c r="D38" s="940">
        <f>AVERAGE(M38:X38)</f>
        <v>70.846563925539144</v>
      </c>
      <c r="E38" s="940">
        <f>AVERAGE(Y38:AJ38)</f>
        <v>48.606240688647659</v>
      </c>
      <c r="F38" s="940">
        <f>AVERAGE(AK38:AV38)</f>
        <v>39.296337938320995</v>
      </c>
      <c r="G38" s="940">
        <f>AVERAGE(AW38:BH38)</f>
        <v>46.710113036240507</v>
      </c>
      <c r="H38" s="940">
        <f>AVERAGE(BI38:BT38)</f>
        <v>58.599027656595048</v>
      </c>
      <c r="I38" s="941">
        <f>AVERAGE(BU38:CF38)</f>
        <v>39.121791719056311</v>
      </c>
      <c r="J38" s="941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9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8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6">
        <f t="shared" si="165"/>
        <v>38.132600094530154</v>
      </c>
      <c r="AO38" s="846">
        <f t="shared" si="165"/>
        <v>23.391920739846256</v>
      </c>
      <c r="AP38" s="846">
        <f t="shared" si="165"/>
        <v>18.736969364682921</v>
      </c>
      <c r="AQ38" s="846">
        <f t="shared" si="165"/>
        <v>19.512794593876809</v>
      </c>
      <c r="AR38" s="846">
        <f t="shared" si="165"/>
        <v>17.185318906295141</v>
      </c>
      <c r="AS38" s="846">
        <f t="shared" si="165"/>
        <v>17.185318906295141</v>
      </c>
      <c r="AT38" s="1158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6">
        <f>((AZ24*$C$40)+12)*(1+$C$35)</f>
        <v>61.120459651475194</v>
      </c>
      <c r="BA38" s="846">
        <f t="shared" ref="BA38:BT38" si="166">((BA24*$C$40)+12)*(1+$C$35)</f>
        <v>16.898421587423499</v>
      </c>
      <c r="BB38" s="846">
        <f t="shared" si="166"/>
        <v>20.001722504199059</v>
      </c>
      <c r="BC38" s="846">
        <f t="shared" si="166"/>
        <v>20.77754773339295</v>
      </c>
      <c r="BD38" s="846">
        <f t="shared" si="166"/>
        <v>20.001722504199059</v>
      </c>
      <c r="BE38" s="368">
        <f t="shared" si="166"/>
        <v>19.225897275005167</v>
      </c>
      <c r="BF38" s="1158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6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 x14ac:dyDescent="0.25">
      <c r="A39" s="934"/>
      <c r="B39" s="599" t="s">
        <v>505</v>
      </c>
      <c r="C39" s="1011">
        <f>AVERAGEA(M39:BH39)</f>
        <v>2.3625222305204163</v>
      </c>
      <c r="D39" s="816">
        <f>AVERAGE(M39:X39)</f>
        <v>3.1973972588724942</v>
      </c>
      <c r="E39" s="816">
        <f>AVERAGE(Y39:AJ39)</f>
        <v>25.874574021980994</v>
      </c>
      <c r="F39" s="816">
        <f>AVERAGE(AK39:AV39)</f>
        <v>-0.68449539501234347</v>
      </c>
      <c r="G39" s="816">
        <f>AVERAGE(AW39:BH39)</f>
        <v>-18.93738696375949</v>
      </c>
      <c r="H39" s="816">
        <f>AVERAGE(BI39:BT39)</f>
        <v>-3.202639010071612</v>
      </c>
      <c r="I39" s="841">
        <f>AVERAGE(BU39:CF39)</f>
        <v>-29.262092034695566</v>
      </c>
      <c r="J39" s="841"/>
      <c r="K39" s="934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91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7">
        <f t="shared" si="169"/>
        <v>-22.233855864510968</v>
      </c>
      <c r="AI39" s="1178">
        <f t="shared" si="169"/>
        <v>-4.7222054061231908</v>
      </c>
      <c r="AJ39" s="1182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7">
        <f t="shared" si="170"/>
        <v>-0.86885586451096586</v>
      </c>
      <c r="AU39" s="1178">
        <f t="shared" si="170"/>
        <v>-79.963030635317082</v>
      </c>
      <c r="AV39" s="1182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50">
        <f t="shared" si="170"/>
        <v>7.2404596514751987</v>
      </c>
      <c r="BA39" s="850">
        <f t="shared" si="170"/>
        <v>-7.4815784125764964</v>
      </c>
      <c r="BB39" s="850">
        <f t="shared" si="170"/>
        <v>-4.3782774958009369</v>
      </c>
      <c r="BC39" s="850">
        <f t="shared" si="170"/>
        <v>-1.8674522666070494</v>
      </c>
      <c r="BD39" s="850">
        <f t="shared" si="170"/>
        <v>-2.6432774958009411</v>
      </c>
      <c r="BE39" s="850">
        <f t="shared" si="170"/>
        <v>-4.5391027249948337</v>
      </c>
      <c r="BF39" s="1177">
        <f t="shared" si="170"/>
        <v>-3.7632774958009421</v>
      </c>
      <c r="BG39" s="1178">
        <f t="shared" si="170"/>
        <v>-114.23745226660704</v>
      </c>
      <c r="BH39" s="1182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60">
        <f t="shared" si="170"/>
        <v>-4.0324522666070486</v>
      </c>
      <c r="BS39" s="1178">
        <f t="shared" si="170"/>
        <v>-47.515657326738676</v>
      </c>
      <c r="BT39" s="1182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5">
        <f t="shared" si="171"/>
        <v>-10.972761187086633</v>
      </c>
      <c r="BX39" s="935">
        <f t="shared" si="171"/>
        <v>-43.735860615944588</v>
      </c>
      <c r="BY39" s="935">
        <f t="shared" si="171"/>
        <v>-22.110836036226999</v>
      </c>
      <c r="BZ39" s="935">
        <f t="shared" si="171"/>
        <v>-22.909936022296705</v>
      </c>
      <c r="CA39" s="935">
        <f t="shared" si="171"/>
        <v>-22.405083314647641</v>
      </c>
      <c r="CB39" s="935">
        <f t="shared" si="171"/>
        <v>-22.405083314647641</v>
      </c>
      <c r="CC39" s="935">
        <f t="shared" si="171"/>
        <v>-22.405083314647641</v>
      </c>
      <c r="CD39" s="935">
        <f t="shared" si="171"/>
        <v>-22.405083314647641</v>
      </c>
      <c r="CE39" s="935">
        <f t="shared" si="171"/>
        <v>-71.263840439049588</v>
      </c>
      <c r="CF39" s="936">
        <f t="shared" si="171"/>
        <v>-12.929541455961058</v>
      </c>
      <c r="CG39" s="935">
        <f t="shared" ref="CG39:CH39" si="172">CG38-CG34</f>
        <v>117.75570138262913</v>
      </c>
      <c r="CH39" s="935">
        <f t="shared" si="172"/>
        <v>90.601818360842998</v>
      </c>
      <c r="CI39" s="937"/>
      <c r="CJ39" s="937"/>
      <c r="CK39" s="937"/>
      <c r="CL39" s="937"/>
      <c r="CM39" s="937"/>
      <c r="CN39" s="937"/>
      <c r="CO39" s="937"/>
      <c r="CP39" s="937"/>
      <c r="CQ39" s="937"/>
      <c r="CR39" s="937"/>
      <c r="CS39" s="937"/>
      <c r="CT39" s="937"/>
      <c r="CU39" s="937"/>
      <c r="CV39" s="937"/>
      <c r="CW39" s="937"/>
      <c r="CX39" s="937"/>
      <c r="CY39" s="937"/>
      <c r="CZ39" s="937"/>
      <c r="DA39" s="937"/>
      <c r="DB39" s="937"/>
      <c r="DC39" s="937"/>
      <c r="DD39" s="937"/>
      <c r="DE39" s="937"/>
      <c r="DF39" s="937"/>
      <c r="DG39" s="937"/>
      <c r="DH39" s="937"/>
      <c r="DI39" s="937"/>
      <c r="DJ39" s="937"/>
      <c r="DK39" s="937"/>
      <c r="DL39" s="937"/>
      <c r="DM39" s="937"/>
    </row>
    <row r="40" spans="1:117" s="19" customFormat="1" x14ac:dyDescent="0.25">
      <c r="A40" s="9"/>
      <c r="B40" s="17" t="s">
        <v>506</v>
      </c>
      <c r="C40" s="1012">
        <f>TRIMMEAN(AK40:BT40,5%)</f>
        <v>0.55093327516787038</v>
      </c>
      <c r="D40" s="817">
        <f>AVERAGE(O40:Z40)</f>
        <v>0.2445387984807168</v>
      </c>
      <c r="E40" s="817">
        <f>AVERAGE(AA40:AL40)</f>
        <v>0.21997962528354686</v>
      </c>
      <c r="F40" s="817">
        <f>AVERAGE(AM40:AX40)</f>
        <v>0.59936529572122799</v>
      </c>
      <c r="G40" s="817">
        <f>AVERAGE(AY40:BJ40)</f>
        <v>0.5955959896489792</v>
      </c>
      <c r="H40" s="817">
        <f>AVERAGE(BK40:BV40)</f>
        <v>0.51531609085485697</v>
      </c>
      <c r="I40" s="842">
        <f>AVERAGE(BW40:CH40)</f>
        <v>0.5677928194275137</v>
      </c>
      <c r="J40" s="842"/>
      <c r="L40" s="626"/>
      <c r="N40" s="851">
        <f>N9/N28</f>
        <v>0.2482905982905983</v>
      </c>
      <c r="O40" s="851"/>
      <c r="P40" s="851">
        <f>P9/P28</f>
        <v>0.18946745562130179</v>
      </c>
      <c r="Q40" s="851"/>
      <c r="R40" s="851">
        <f>R9/R28</f>
        <v>8.1666666666666637E-2</v>
      </c>
      <c r="S40" s="851"/>
      <c r="T40" s="851">
        <f>T9/T28</f>
        <v>-0.20590909090909096</v>
      </c>
      <c r="U40" s="851"/>
      <c r="V40" s="851">
        <f>V9/V28</f>
        <v>0.24812499999999993</v>
      </c>
      <c r="W40" s="603">
        <f>W9/W28</f>
        <v>0.24847457627118644</v>
      </c>
      <c r="X40" s="856">
        <f>X9/X28</f>
        <v>0.58258620689655172</v>
      </c>
      <c r="Y40" s="604"/>
      <c r="Z40" s="851">
        <f>Z9/Z28</f>
        <v>0.56736077481840197</v>
      </c>
      <c r="AA40" s="851"/>
      <c r="AB40" s="851">
        <f>AB9/AB28</f>
        <v>0.20703703703703716</v>
      </c>
      <c r="AC40" s="851"/>
      <c r="AD40" s="851">
        <f>AD9/AD28</f>
        <v>0.58235294117647052</v>
      </c>
      <c r="AE40" s="851"/>
      <c r="AF40" s="851">
        <f>AF9/AF28</f>
        <v>0.58166666666666667</v>
      </c>
      <c r="AG40" s="851"/>
      <c r="AH40" s="604">
        <f>AH9/AH28</f>
        <v>-0.84714285714285709</v>
      </c>
      <c r="AI40" s="587"/>
      <c r="AJ40" s="1161">
        <f>AJ9/AJ28</f>
        <v>0.58199999999999996</v>
      </c>
      <c r="AK40" s="852"/>
      <c r="AL40" s="902">
        <f>AL9/AL28</f>
        <v>0.21396396396396397</v>
      </c>
      <c r="AM40" s="291"/>
      <c r="AN40" s="851">
        <f>AN9/AN28</f>
        <v>0.59101694915254233</v>
      </c>
      <c r="AO40" s="851"/>
      <c r="AP40" s="851">
        <f>AP9/AP28</f>
        <v>0.59090909090909094</v>
      </c>
      <c r="AQ40" s="851"/>
      <c r="AR40" s="851">
        <f>AR9/AR28</f>
        <v>0.59153846153846168</v>
      </c>
      <c r="AS40" s="851"/>
      <c r="AT40" s="604">
        <f>AT9/AT28</f>
        <v>0.58999999999999986</v>
      </c>
      <c r="AU40" s="587"/>
      <c r="AV40" s="1161">
        <f>AV9/AV28</f>
        <v>0.59181818181818191</v>
      </c>
      <c r="AW40" s="852"/>
      <c r="AX40" s="902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61">
        <f>BH9/BH29</f>
        <v>0.6428571428571429</v>
      </c>
      <c r="BI40" s="852"/>
      <c r="BJ40" s="902">
        <f>BJ9/BJ28</f>
        <v>0.4989908256880734</v>
      </c>
      <c r="BK40" s="291"/>
      <c r="BL40" s="902">
        <f>BL9/BL28</f>
        <v>0.42843373493975906</v>
      </c>
      <c r="BM40" s="291"/>
      <c r="BN40" s="902">
        <f>BN9/BN28</f>
        <v>0.4871929824561404</v>
      </c>
      <c r="BO40" s="291"/>
      <c r="BP40" s="902">
        <f>BP9/BP28</f>
        <v>0.71636363636363631</v>
      </c>
      <c r="BQ40" s="587"/>
      <c r="BR40" s="902">
        <f>BR9/BR28</f>
        <v>0.34307692307692317</v>
      </c>
      <c r="BS40" s="587"/>
      <c r="BT40" s="1161">
        <f>BT9/BT28</f>
        <v>0.55799999999999983</v>
      </c>
      <c r="BU40" s="587"/>
      <c r="BV40" s="902">
        <f>BV9/BV28</f>
        <v>0.55882926829268298</v>
      </c>
      <c r="BW40" s="587"/>
      <c r="BX40" s="902">
        <f>BX9/BX28</f>
        <v>0.56945054945054951</v>
      </c>
      <c r="BY40" s="587"/>
      <c r="BZ40" s="852">
        <f>BZ9/BZ28</f>
        <v>0.56746127342290653</v>
      </c>
      <c r="CA40" s="587"/>
      <c r="CB40" s="852">
        <f>CB9/CB28</f>
        <v>0.56746127342290653</v>
      </c>
      <c r="CC40" s="587"/>
      <c r="CD40" s="852">
        <f>CD9/CD28</f>
        <v>0.56746127342290653</v>
      </c>
      <c r="CE40" s="587"/>
      <c r="CF40" s="852">
        <f>CF9/CF28</f>
        <v>0.56746127342290653</v>
      </c>
      <c r="CG40" s="903"/>
      <c r="CH40" s="991">
        <f>CH9/CH28</f>
        <v>0.56746127342290653</v>
      </c>
    </row>
    <row r="41" spans="1:117" s="343" customFormat="1" x14ac:dyDescent="0.25">
      <c r="A41" s="9"/>
      <c r="B41" s="592" t="s">
        <v>507</v>
      </c>
      <c r="C41" s="1006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5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62">
        <f>AJ17/AJ28</f>
        <v>1.2367692307692308</v>
      </c>
      <c r="AK41" s="853"/>
      <c r="AL41" s="847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62">
        <f>AV17/AV28</f>
        <v>3.4236363636363634</v>
      </c>
      <c r="AW41" s="853"/>
      <c r="AX41" s="847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62">
        <f>BH17/BH29</f>
        <v>6.79</v>
      </c>
      <c r="BI41" s="853"/>
      <c r="BJ41" s="847">
        <f>BJ17/BJ28</f>
        <v>1.238669724770642</v>
      </c>
      <c r="BK41" s="396"/>
      <c r="BL41" s="847">
        <f>BL17/BL28</f>
        <v>0.91502008032128512</v>
      </c>
      <c r="BM41" s="396"/>
      <c r="BN41" s="847">
        <f>BN17/BN28</f>
        <v>1.6840350877192984</v>
      </c>
      <c r="BO41" s="396"/>
      <c r="BP41" s="847">
        <f>BP17/BP28</f>
        <v>4.4800000000000004</v>
      </c>
      <c r="BQ41" s="345"/>
      <c r="BR41" s="847">
        <f>BR17/BR28</f>
        <v>3.6392307692307693</v>
      </c>
      <c r="BS41" s="345"/>
      <c r="BT41" s="1162">
        <f>BT17/BT28</f>
        <v>4.9619999999999997</v>
      </c>
      <c r="BU41" s="989"/>
      <c r="BV41" s="847">
        <f>BV17/BV28</f>
        <v>1.3247804878048779</v>
      </c>
      <c r="BW41" s="345"/>
      <c r="BX41" s="847">
        <f>BX17/BX28</f>
        <v>1.1696703296703297</v>
      </c>
      <c r="BY41" s="345"/>
      <c r="BZ41" s="853">
        <f>BZ17/BZ28</f>
        <v>1.7589003685790259</v>
      </c>
      <c r="CA41" s="345"/>
      <c r="CB41" s="853">
        <f>CB17/CB28</f>
        <v>4.8918974459354976</v>
      </c>
      <c r="CC41" s="345"/>
      <c r="CD41" s="853">
        <f>CD17/CD28</f>
        <v>5.2801166489992344</v>
      </c>
      <c r="CE41" s="345"/>
      <c r="CF41" s="853">
        <f>CF17/CF28</f>
        <v>5.2801166489992344</v>
      </c>
      <c r="CG41" s="853"/>
      <c r="CH41" s="853">
        <f>CH17/CH28</f>
        <v>1.2264775591408261</v>
      </c>
    </row>
    <row r="42" spans="1:117" s="19" customFormat="1" x14ac:dyDescent="0.25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 x14ac:dyDescent="0.25">
      <c r="B43" s="511" t="s">
        <v>508</v>
      </c>
      <c r="C43" s="569">
        <v>0.57999999999999996</v>
      </c>
      <c r="D43" s="737"/>
      <c r="E43" s="737"/>
      <c r="F43" s="737"/>
      <c r="G43" s="737"/>
      <c r="H43" s="737"/>
      <c r="I43" s="737"/>
      <c r="J43" s="737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 x14ac:dyDescent="0.25">
      <c r="B44" s="511" t="s">
        <v>509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 x14ac:dyDescent="0.25">
      <c r="B45" s="511" t="s">
        <v>510</v>
      </c>
      <c r="C45" s="510">
        <v>12</v>
      </c>
      <c r="E45" s="738"/>
      <c r="F45" s="738"/>
      <c r="G45" s="738"/>
      <c r="H45" s="738"/>
      <c r="I45" s="738"/>
      <c r="J45" s="738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 x14ac:dyDescent="0.25">
      <c r="B46" s="46" t="s">
        <v>1169</v>
      </c>
      <c r="C46" s="1330">
        <v>1.03</v>
      </c>
      <c r="AP46" s="125"/>
    </row>
    <row r="47" spans="1:117" ht="45.75" customHeight="1" x14ac:dyDescent="0.25"/>
    <row r="48" spans="1:117" ht="20.25" customHeight="1" x14ac:dyDescent="0.25">
      <c r="BN48" s="124"/>
    </row>
    <row r="49" spans="1:125" ht="15" customHeight="1" x14ac:dyDescent="0.25">
      <c r="B49" s="1441" t="s">
        <v>511</v>
      </c>
      <c r="C49" s="1441"/>
      <c r="D49" s="732"/>
      <c r="E49" s="732"/>
      <c r="F49" s="732"/>
      <c r="G49" s="732"/>
      <c r="H49" s="732"/>
      <c r="I49" s="732"/>
      <c r="J49" s="732"/>
      <c r="L49" s="1435">
        <v>2020</v>
      </c>
      <c r="M49" s="1436"/>
      <c r="N49" s="1437"/>
      <c r="O49" s="1435">
        <v>2021</v>
      </c>
      <c r="P49" s="1436"/>
      <c r="Q49" s="1436"/>
      <c r="R49" s="1436"/>
      <c r="S49" s="1436"/>
      <c r="T49" s="1436"/>
      <c r="U49" s="1436"/>
      <c r="V49" s="1436"/>
      <c r="W49" s="1436"/>
      <c r="X49" s="1436"/>
      <c r="Y49" s="1436"/>
      <c r="Z49" s="1437"/>
      <c r="AA49" s="1436">
        <v>2022</v>
      </c>
      <c r="AB49" s="1436"/>
      <c r="AC49" s="1436"/>
      <c r="AD49" s="1436"/>
      <c r="AE49" s="1436"/>
      <c r="AF49" s="1436"/>
      <c r="AG49" s="1436"/>
      <c r="AH49" s="1436"/>
      <c r="AI49" s="1436"/>
      <c r="AJ49" s="1436"/>
      <c r="AK49" s="1436"/>
      <c r="AL49" s="1437"/>
      <c r="AM49" s="1435">
        <v>2023</v>
      </c>
      <c r="AN49" s="1436"/>
      <c r="AO49" s="1436"/>
      <c r="AP49" s="1436"/>
      <c r="AQ49" s="1436"/>
      <c r="AR49" s="1436"/>
      <c r="AS49" s="1436"/>
      <c r="AT49" s="1436"/>
      <c r="AU49" s="1436"/>
      <c r="AV49" s="1436"/>
      <c r="AW49" s="1436"/>
      <c r="AX49" s="1437"/>
      <c r="AY49" s="1435">
        <v>2024</v>
      </c>
      <c r="AZ49" s="1436"/>
      <c r="BA49" s="1436"/>
      <c r="BB49" s="1436"/>
      <c r="BC49" s="1436"/>
      <c r="BD49" s="1436"/>
      <c r="BE49" s="1436"/>
      <c r="BF49" s="1436"/>
      <c r="BG49" s="1436"/>
      <c r="BH49" s="1436"/>
      <c r="BI49" s="1436"/>
      <c r="BJ49" s="1437"/>
      <c r="BK49" s="1435">
        <v>2025</v>
      </c>
      <c r="BL49" s="1436"/>
      <c r="BM49" s="1436"/>
      <c r="BN49" s="1436"/>
      <c r="BO49" s="1436"/>
      <c r="BP49" s="1436"/>
      <c r="BQ49" s="1436"/>
      <c r="BR49" s="1436"/>
      <c r="BS49" s="1436"/>
      <c r="BT49" s="1436"/>
      <c r="BU49" s="1436"/>
      <c r="BV49" s="1436"/>
      <c r="BW49" s="1436">
        <v>2026</v>
      </c>
      <c r="BX49" s="1436"/>
      <c r="BY49" s="1436"/>
      <c r="BZ49" s="1436"/>
      <c r="CA49" s="1436"/>
      <c r="CB49" s="1436"/>
      <c r="CC49" s="1436"/>
      <c r="CD49" s="1436"/>
      <c r="CE49" s="1436"/>
      <c r="CF49" s="1436"/>
      <c r="CG49" s="1436"/>
      <c r="CH49" s="1437"/>
      <c r="CI49" s="1435">
        <v>2027</v>
      </c>
      <c r="CJ49" s="1436"/>
      <c r="CK49" s="1436"/>
      <c r="CL49" s="1436"/>
      <c r="CM49" s="1436"/>
      <c r="CN49" s="1436"/>
      <c r="CO49" s="1436"/>
      <c r="CP49" s="1436"/>
      <c r="CQ49" s="1436"/>
      <c r="CR49" s="1436"/>
      <c r="CS49" s="1436"/>
      <c r="CT49" s="1437"/>
    </row>
    <row r="50" spans="1:125" s="314" customFormat="1" x14ac:dyDescent="0.25">
      <c r="D50" s="819">
        <v>2021</v>
      </c>
      <c r="E50" s="819">
        <v>2022</v>
      </c>
      <c r="F50" s="819">
        <v>2023</v>
      </c>
      <c r="G50" s="819">
        <v>2024</v>
      </c>
      <c r="H50" s="1283">
        <v>2025</v>
      </c>
      <c r="I50" s="836">
        <v>2026</v>
      </c>
      <c r="J50" s="837"/>
      <c r="L50" s="1278">
        <v>44166</v>
      </c>
      <c r="M50" s="967">
        <f t="shared" ref="M50:BB50" si="173">M6</f>
        <v>44197</v>
      </c>
      <c r="N50" s="968">
        <f t="shared" si="173"/>
        <v>44228</v>
      </c>
      <c r="O50" s="967">
        <f t="shared" si="173"/>
        <v>44256</v>
      </c>
      <c r="P50" s="967">
        <f t="shared" si="173"/>
        <v>44287</v>
      </c>
      <c r="Q50" s="967">
        <f t="shared" si="173"/>
        <v>44317</v>
      </c>
      <c r="R50" s="967">
        <f t="shared" si="173"/>
        <v>44348</v>
      </c>
      <c r="S50" s="967">
        <f t="shared" si="173"/>
        <v>44378</v>
      </c>
      <c r="T50" s="967">
        <f t="shared" si="173"/>
        <v>44409</v>
      </c>
      <c r="U50" s="967">
        <f t="shared" si="173"/>
        <v>44440</v>
      </c>
      <c r="V50" s="967">
        <f t="shared" si="173"/>
        <v>44470</v>
      </c>
      <c r="W50" s="1278">
        <f t="shared" si="173"/>
        <v>44501</v>
      </c>
      <c r="X50" s="967">
        <f t="shared" si="173"/>
        <v>44531</v>
      </c>
      <c r="Y50" s="967">
        <f t="shared" si="173"/>
        <v>44562</v>
      </c>
      <c r="Z50" s="967">
        <f t="shared" si="173"/>
        <v>44593</v>
      </c>
      <c r="AA50" s="1279">
        <f t="shared" si="173"/>
        <v>44621</v>
      </c>
      <c r="AB50" s="967">
        <f t="shared" si="173"/>
        <v>44652</v>
      </c>
      <c r="AC50" s="967">
        <f t="shared" si="173"/>
        <v>44682</v>
      </c>
      <c r="AD50" s="967">
        <f t="shared" si="173"/>
        <v>44713</v>
      </c>
      <c r="AE50" s="967">
        <f t="shared" si="173"/>
        <v>44743</v>
      </c>
      <c r="AF50" s="967">
        <f t="shared" si="173"/>
        <v>44774</v>
      </c>
      <c r="AG50" s="967">
        <f t="shared" si="173"/>
        <v>44805</v>
      </c>
      <c r="AH50" s="967">
        <f t="shared" si="173"/>
        <v>44835</v>
      </c>
      <c r="AI50" s="967">
        <f t="shared" si="173"/>
        <v>44866</v>
      </c>
      <c r="AJ50" s="967">
        <f t="shared" si="173"/>
        <v>44896</v>
      </c>
      <c r="AK50" s="967">
        <f t="shared" si="173"/>
        <v>44927</v>
      </c>
      <c r="AL50" s="968">
        <f t="shared" si="173"/>
        <v>44958</v>
      </c>
      <c r="AM50" s="967">
        <f t="shared" si="173"/>
        <v>44986</v>
      </c>
      <c r="AN50" s="967">
        <f t="shared" si="173"/>
        <v>45017</v>
      </c>
      <c r="AO50" s="967">
        <f t="shared" si="173"/>
        <v>45047</v>
      </c>
      <c r="AP50" s="967">
        <f t="shared" si="173"/>
        <v>45078</v>
      </c>
      <c r="AQ50" s="967">
        <f t="shared" si="173"/>
        <v>45108</v>
      </c>
      <c r="AR50" s="967">
        <f t="shared" si="173"/>
        <v>45139</v>
      </c>
      <c r="AS50" s="967">
        <f t="shared" si="173"/>
        <v>45170</v>
      </c>
      <c r="AT50" s="967">
        <f t="shared" si="173"/>
        <v>45200</v>
      </c>
      <c r="AU50" s="967">
        <f t="shared" si="173"/>
        <v>45231</v>
      </c>
      <c r="AV50" s="967">
        <f t="shared" si="173"/>
        <v>45261</v>
      </c>
      <c r="AW50" s="967">
        <f t="shared" si="173"/>
        <v>45292</v>
      </c>
      <c r="AX50" s="968">
        <f t="shared" si="173"/>
        <v>45323</v>
      </c>
      <c r="AY50" s="967">
        <f t="shared" si="173"/>
        <v>45352</v>
      </c>
      <c r="AZ50" s="967">
        <f t="shared" si="173"/>
        <v>45383</v>
      </c>
      <c r="BA50" s="967">
        <f t="shared" si="173"/>
        <v>45413</v>
      </c>
      <c r="BB50" s="967">
        <f t="shared" si="173"/>
        <v>45444</v>
      </c>
      <c r="BC50" s="967">
        <v>45474</v>
      </c>
      <c r="BD50" s="967">
        <v>45505</v>
      </c>
      <c r="BE50" s="967">
        <v>45536</v>
      </c>
      <c r="BF50" s="967">
        <v>45566</v>
      </c>
      <c r="BG50" s="967">
        <v>45597</v>
      </c>
      <c r="BH50" s="1209">
        <v>45627</v>
      </c>
      <c r="BI50" s="967">
        <v>45658</v>
      </c>
      <c r="BJ50" s="967">
        <v>45689</v>
      </c>
      <c r="BK50" s="967">
        <v>45717</v>
      </c>
      <c r="BL50" s="967">
        <v>45748</v>
      </c>
      <c r="BM50" s="967">
        <v>45778</v>
      </c>
      <c r="BN50" s="967">
        <v>45809</v>
      </c>
      <c r="BO50" s="967">
        <v>45839</v>
      </c>
      <c r="BP50" s="967">
        <v>45870</v>
      </c>
      <c r="BQ50" s="967">
        <v>45901</v>
      </c>
      <c r="BR50" s="967">
        <v>45931</v>
      </c>
      <c r="BS50" s="967">
        <v>45962</v>
      </c>
      <c r="BT50" s="1209">
        <v>45992</v>
      </c>
      <c r="BU50" s="967">
        <v>46023</v>
      </c>
      <c r="BV50" s="1218">
        <v>46054</v>
      </c>
      <c r="BW50" s="967">
        <v>46082</v>
      </c>
      <c r="BX50" s="967">
        <v>46113</v>
      </c>
      <c r="BY50" s="969">
        <v>46143</v>
      </c>
      <c r="BZ50" s="967">
        <v>46174</v>
      </c>
      <c r="CA50" s="969">
        <v>46204</v>
      </c>
      <c r="CB50" s="967">
        <v>46235</v>
      </c>
      <c r="CC50" s="969">
        <v>46266</v>
      </c>
      <c r="CD50" s="967">
        <v>46296</v>
      </c>
      <c r="CE50" s="967">
        <v>46327</v>
      </c>
      <c r="CF50" s="1209">
        <v>46357</v>
      </c>
      <c r="CG50" s="967">
        <v>46388</v>
      </c>
      <c r="CH50" s="1218">
        <v>46419</v>
      </c>
      <c r="CI50" s="967">
        <v>46447</v>
      </c>
      <c r="CJ50" s="967">
        <v>46478</v>
      </c>
      <c r="CK50" s="969">
        <v>46508</v>
      </c>
      <c r="CL50" s="967">
        <v>46539</v>
      </c>
      <c r="CM50" s="969">
        <v>46569</v>
      </c>
      <c r="CN50" s="967">
        <v>46600</v>
      </c>
      <c r="CO50" s="969">
        <v>46631</v>
      </c>
      <c r="CP50" s="967">
        <v>46661</v>
      </c>
      <c r="CQ50" s="967">
        <v>46692</v>
      </c>
      <c r="CR50" s="1209">
        <v>46722</v>
      </c>
      <c r="CS50" s="967">
        <v>46753</v>
      </c>
      <c r="CT50" s="1218">
        <v>46784</v>
      </c>
      <c r="CU50" s="967">
        <v>46813</v>
      </c>
      <c r="CV50" s="967">
        <v>46844</v>
      </c>
      <c r="CW50" s="969">
        <v>46874</v>
      </c>
      <c r="CX50" s="967">
        <v>46905</v>
      </c>
      <c r="CY50" s="969">
        <v>46935</v>
      </c>
      <c r="CZ50" s="967">
        <v>46966</v>
      </c>
      <c r="DA50" s="969">
        <v>46997</v>
      </c>
      <c r="DB50" s="967">
        <v>47027</v>
      </c>
      <c r="DC50" s="967">
        <v>47058</v>
      </c>
      <c r="DD50" s="1209">
        <v>47088</v>
      </c>
      <c r="DE50" s="967">
        <v>47119</v>
      </c>
      <c r="DF50" s="1218">
        <v>47150</v>
      </c>
      <c r="DG50" s="967">
        <v>47178</v>
      </c>
      <c r="DH50" s="967">
        <v>47209</v>
      </c>
      <c r="DI50" s="969">
        <v>47239</v>
      </c>
      <c r="DJ50" s="967">
        <v>47270</v>
      </c>
      <c r="DK50" s="969">
        <v>47300</v>
      </c>
      <c r="DL50" s="967">
        <v>47331</v>
      </c>
      <c r="DM50" s="969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 x14ac:dyDescent="0.25">
      <c r="B51" s="100">
        <f t="shared" ref="B51:B57" si="174">AVERAGE(O51,Q51,S51,U51,Y51,AA51,AC51,AE51,AG51,AI51,AK51,AM51,AO51,AQ51,AS51,AU51,AW51,AY51,BA51,BC51)</f>
        <v>0.58302489148331593</v>
      </c>
      <c r="C51" s="1013" t="s">
        <v>482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84">
        <f t="shared" ref="H51:H57" si="179">BL51+BN51+BP51+BR51+BT51+BV51</f>
        <v>394.61</v>
      </c>
      <c r="I51" s="835">
        <f>BX51+BZ51+CB51+CD51+CF51+CH51</f>
        <v>340.905901053104</v>
      </c>
      <c r="J51" s="831"/>
      <c r="L51" s="293"/>
      <c r="M51" s="292"/>
      <c r="N51" s="861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44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9">
        <v>60.56</v>
      </c>
      <c r="AK51" s="277">
        <f t="shared" ref="AK51:AK57" si="189">AJ51/AJ$60</f>
        <v>0.62157446371754088</v>
      </c>
      <c r="AL51" s="294">
        <v>62.74</v>
      </c>
      <c r="AM51" s="884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9">
        <v>59.59</v>
      </c>
      <c r="AW51" s="277">
        <f t="shared" ref="AW51:AW57" si="194">AV51/AV$60</f>
        <v>0.58136585365853666</v>
      </c>
      <c r="AX51" s="294">
        <v>70.7</v>
      </c>
      <c r="AY51" s="884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9">
        <v>61.7</v>
      </c>
      <c r="BI51" s="277">
        <f>BH51/BH60</f>
        <v>0.58896525391370746</v>
      </c>
      <c r="BJ51" s="294">
        <v>62.15</v>
      </c>
      <c r="BK51" s="884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9">
        <f>53.82</f>
        <v>53.82</v>
      </c>
      <c r="BU51" s="277">
        <f>BT51/BT60</f>
        <v>0.41428681394811784</v>
      </c>
      <c r="BV51" s="294">
        <v>55.63</v>
      </c>
      <c r="BW51" s="884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10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10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10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3" customFormat="1" x14ac:dyDescent="0.25">
      <c r="A52" s="227"/>
      <c r="B52" s="914">
        <f t="shared" si="174"/>
        <v>-4.7640126091708278E-2</v>
      </c>
      <c r="C52" s="1014" t="s">
        <v>485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5">
        <f t="shared" si="179"/>
        <v>-3.8</v>
      </c>
      <c r="I52" s="830">
        <f t="shared" ref="I52:I57" si="197">BX52+BZ52+CB52+CD52+CF52+CH52</f>
        <v>0</v>
      </c>
      <c r="J52" s="830"/>
      <c r="K52" s="105"/>
      <c r="L52" s="664"/>
      <c r="M52" s="660"/>
      <c r="N52" s="662">
        <v>-4.63</v>
      </c>
      <c r="O52" s="661">
        <f t="shared" si="180"/>
        <v>-4.1764387515785678E-2</v>
      </c>
      <c r="P52" s="660">
        <v>-6.68</v>
      </c>
      <c r="Q52" s="661">
        <f t="shared" si="181"/>
        <v>-6.6826730692276903E-2</v>
      </c>
      <c r="R52" s="660">
        <v>-7.44</v>
      </c>
      <c r="S52" s="661">
        <f t="shared" si="182"/>
        <v>-6.4293121327341871E-2</v>
      </c>
      <c r="T52" s="660">
        <v>-7.42</v>
      </c>
      <c r="U52" s="661">
        <f t="shared" si="183"/>
        <v>-6.691919191919192E-2</v>
      </c>
      <c r="V52" s="660">
        <v>-7.44</v>
      </c>
      <c r="W52" s="659">
        <v>-4.3899999999999997</v>
      </c>
      <c r="X52" s="1245">
        <v>-0.26</v>
      </c>
      <c r="Y52" s="661">
        <f t="shared" ref="Y52:Y59" si="198">(+W52+X52)/(X$60+W$60)</f>
        <v>-3.5371976266544952E-2</v>
      </c>
      <c r="Z52" s="660">
        <v>-4.22</v>
      </c>
      <c r="AA52" s="661">
        <f t="shared" si="184"/>
        <v>-4.1646106779828281E-2</v>
      </c>
      <c r="AB52" s="660">
        <v>-2.2599999999999998</v>
      </c>
      <c r="AC52" s="661">
        <f t="shared" si="185"/>
        <v>-3.6346091990993881E-2</v>
      </c>
      <c r="AD52" s="660">
        <v>-3.76</v>
      </c>
      <c r="AE52" s="661">
        <f t="shared" si="186"/>
        <v>-3.8919366525204425E-2</v>
      </c>
      <c r="AF52" s="660">
        <v>-4.12</v>
      </c>
      <c r="AG52" s="661">
        <f t="shared" si="187"/>
        <v>-4.1344706472654286E-2</v>
      </c>
      <c r="AH52" s="660">
        <v>-5.24</v>
      </c>
      <c r="AI52" s="661">
        <f t="shared" si="188"/>
        <v>-4.9757857753299779E-2</v>
      </c>
      <c r="AJ52" s="1211">
        <v>-3.88</v>
      </c>
      <c r="AK52" s="661">
        <f t="shared" si="189"/>
        <v>-3.9823462999076263E-2</v>
      </c>
      <c r="AL52" s="660">
        <v>-5.89</v>
      </c>
      <c r="AM52" s="661">
        <f t="shared" si="190"/>
        <v>-7.3855799373040751E-2</v>
      </c>
      <c r="AN52" s="660">
        <v>-4.75</v>
      </c>
      <c r="AO52" s="661">
        <f t="shared" si="191"/>
        <v>-5.4192812321734167E-2</v>
      </c>
      <c r="AP52" s="660">
        <v>-4.13</v>
      </c>
      <c r="AQ52" s="661">
        <f t="shared" si="192"/>
        <v>-4.807356535909673E-2</v>
      </c>
      <c r="AR52" s="660">
        <v>-5.1100000000000003</v>
      </c>
      <c r="AS52" s="661">
        <f t="shared" si="193"/>
        <v>-5.7648916967509026E-2</v>
      </c>
      <c r="AT52" s="660">
        <v>-7.2</v>
      </c>
      <c r="AU52" s="661">
        <f t="shared" ref="AU52:AU57" si="199">AT52/AT$60</f>
        <v>-5.7720057720057727E-2</v>
      </c>
      <c r="AV52" s="1211">
        <v>-5.72</v>
      </c>
      <c r="AW52" s="661">
        <f t="shared" si="194"/>
        <v>-5.5804878048780489E-2</v>
      </c>
      <c r="AX52" s="660">
        <v>-4.3499999999999996</v>
      </c>
      <c r="AY52" s="661">
        <f t="shared" si="195"/>
        <v>-4.0983606557377039E-2</v>
      </c>
      <c r="AZ52" s="660">
        <v>-2.7</v>
      </c>
      <c r="BA52" s="661">
        <f t="shared" si="195"/>
        <v>-2.0914020139426802E-2</v>
      </c>
      <c r="BB52" s="660">
        <v>-2.62</v>
      </c>
      <c r="BC52" s="661">
        <f t="shared" si="196"/>
        <v>-2.0595865104944579E-2</v>
      </c>
      <c r="BD52" s="660">
        <v>-2.97</v>
      </c>
      <c r="BE52" s="661">
        <f t="shared" si="196"/>
        <v>-2.1581165528266243E-2</v>
      </c>
      <c r="BF52" s="660">
        <v>-2.61</v>
      </c>
      <c r="BG52" s="661">
        <f>BF52/BF60</f>
        <v>-1.7767188563648739E-2</v>
      </c>
      <c r="BH52" s="1211">
        <v>-1.64</v>
      </c>
      <c r="BI52" s="661">
        <f>BH52/BH60</f>
        <v>-1.5654830087819777E-2</v>
      </c>
      <c r="BJ52" s="660">
        <v>-1.68</v>
      </c>
      <c r="BK52" s="661">
        <f>BJ52/BJ60</f>
        <v>-1.5601783060921246E-2</v>
      </c>
      <c r="BL52" s="660">
        <v>-1.92</v>
      </c>
      <c r="BM52" s="661">
        <f>BL52/BL60</f>
        <v>-1.5131216013870281E-2</v>
      </c>
      <c r="BN52" s="660">
        <v>-1.88</v>
      </c>
      <c r="BO52" s="661">
        <f>BN52/BN60</f>
        <v>-1.507618283881315E-2</v>
      </c>
      <c r="BP52" s="660">
        <v>0</v>
      </c>
      <c r="BQ52" s="661">
        <f>BP52/BP60</f>
        <v>0</v>
      </c>
      <c r="BR52" s="660">
        <v>0</v>
      </c>
      <c r="BS52" s="661">
        <f>BR52/BR60</f>
        <v>0</v>
      </c>
      <c r="BT52" s="1156">
        <v>0</v>
      </c>
      <c r="BU52" s="661">
        <f>BT52/BT60</f>
        <v>0</v>
      </c>
      <c r="BV52" s="368">
        <v>0</v>
      </c>
      <c r="BW52" s="661">
        <f>BV52/BV60</f>
        <v>0</v>
      </c>
      <c r="BX52" s="660">
        <f>BX51*BY52</f>
        <v>0</v>
      </c>
      <c r="BY52" s="1298">
        <f>BV52/BV60</f>
        <v>0</v>
      </c>
      <c r="BZ52" s="660">
        <f>BZ51*CA52</f>
        <v>0</v>
      </c>
      <c r="CA52" s="1298">
        <f>BX52/BX60</f>
        <v>0</v>
      </c>
      <c r="CB52" s="660">
        <f>CB51*CC52</f>
        <v>0</v>
      </c>
      <c r="CC52" s="1298">
        <f>BZ52/BZ60</f>
        <v>0</v>
      </c>
      <c r="CD52" s="660">
        <f>CD51*CE52</f>
        <v>0</v>
      </c>
      <c r="CE52" s="1298">
        <f>CB52/CB60</f>
        <v>0</v>
      </c>
      <c r="CF52" s="1211">
        <f>CF51*CG52</f>
        <v>0</v>
      </c>
      <c r="CG52" s="661">
        <f>CD52/CD60</f>
        <v>0</v>
      </c>
      <c r="CH52" s="660">
        <f>CH51*CI52</f>
        <v>0</v>
      </c>
      <c r="CI52" s="661">
        <f>CF52/CF60</f>
        <v>0</v>
      </c>
      <c r="CJ52" s="660">
        <f>CJ51*CK52</f>
        <v>0</v>
      </c>
      <c r="CK52" s="1298">
        <f>CH52/CH60</f>
        <v>0</v>
      </c>
      <c r="CL52" s="660"/>
      <c r="CM52" s="660"/>
      <c r="CN52" s="660"/>
      <c r="CO52" s="660"/>
      <c r="CP52" s="660"/>
      <c r="CQ52" s="661"/>
      <c r="CR52" s="1211"/>
      <c r="CS52" s="661"/>
      <c r="CT52" s="660"/>
      <c r="CU52" s="661"/>
      <c r="CV52" s="660"/>
      <c r="CW52" s="660"/>
      <c r="CX52" s="660"/>
      <c r="CY52" s="660"/>
      <c r="CZ52" s="660"/>
      <c r="DA52" s="660"/>
      <c r="DB52" s="660"/>
      <c r="DC52" s="661"/>
      <c r="DD52" s="1211"/>
      <c r="DE52" s="661"/>
      <c r="DF52" s="660"/>
      <c r="DG52" s="661"/>
      <c r="DH52" s="660"/>
      <c r="DI52" s="660"/>
      <c r="DJ52" s="660"/>
      <c r="DK52" s="660"/>
      <c r="DL52" s="660"/>
      <c r="DM52" s="660"/>
      <c r="DN52" s="660"/>
      <c r="DO52" s="660"/>
      <c r="DP52" s="660"/>
      <c r="DQ52" s="660"/>
      <c r="DR52" s="660"/>
      <c r="DS52" s="660"/>
      <c r="DT52" s="660"/>
      <c r="DU52" s="660"/>
    </row>
    <row r="53" spans="1:125" ht="15.75" customHeight="1" x14ac:dyDescent="0.25">
      <c r="B53" s="100">
        <f t="shared" si="174"/>
        <v>0.15560081816622701</v>
      </c>
      <c r="C53" s="1015" t="s">
        <v>1135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6">
        <f t="shared" si="179"/>
        <v>142.06</v>
      </c>
      <c r="I53" s="831">
        <f t="shared" si="197"/>
        <v>148.36116959366615</v>
      </c>
      <c r="J53" s="831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6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20">
        <v>15.53</v>
      </c>
      <c r="AK53" s="129">
        <f t="shared" si="189"/>
        <v>0.15939648978753979</v>
      </c>
      <c r="AL53" s="279">
        <v>15.65</v>
      </c>
      <c r="AM53" s="879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20">
        <v>15.95</v>
      </c>
      <c r="AW53" s="129">
        <f t="shared" si="194"/>
        <v>0.15560975609756098</v>
      </c>
      <c r="AX53" s="279">
        <v>16.13</v>
      </c>
      <c r="AY53" s="879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20">
        <v>18.22</v>
      </c>
      <c r="BI53" s="129">
        <f>BH53/BH60</f>
        <v>0.17392134402443679</v>
      </c>
      <c r="BJ53" s="279">
        <v>18.28</v>
      </c>
      <c r="BK53" s="879">
        <f>BJ53/BJ60</f>
        <v>0.16976225854383359</v>
      </c>
      <c r="BL53" s="279">
        <v>20.74</v>
      </c>
      <c r="BM53" s="879">
        <f>BL53/BL60</f>
        <v>0.16344865631649458</v>
      </c>
      <c r="BN53" s="279">
        <v>20.67</v>
      </c>
      <c r="BO53" s="879">
        <f>BN53/BN60</f>
        <v>0.16575781876503609</v>
      </c>
      <c r="BP53" s="279">
        <v>28.02</v>
      </c>
      <c r="BQ53" s="879">
        <f>BP53/BP60</f>
        <v>0.19191780821917809</v>
      </c>
      <c r="BR53" s="279">
        <v>24.21</v>
      </c>
      <c r="BS53" s="879">
        <f>BR53/BR60</f>
        <v>0.14303438496986887</v>
      </c>
      <c r="BT53" s="1220">
        <v>24.21</v>
      </c>
      <c r="BU53" s="129">
        <f>BT53/BT51</f>
        <v>0.44983277591973247</v>
      </c>
      <c r="BV53" s="279">
        <v>24.21</v>
      </c>
      <c r="BW53" s="879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6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9"/>
      <c r="CR53" s="1206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9"/>
      <c r="DD53" s="1206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 x14ac:dyDescent="0.25">
      <c r="A54" s="9"/>
      <c r="B54" s="100">
        <f t="shared" si="174"/>
        <v>4.434090133035682E-2</v>
      </c>
      <c r="C54" s="1016" t="s">
        <v>487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5">
        <f t="shared" si="179"/>
        <v>129.41</v>
      </c>
      <c r="I54" s="830">
        <f t="shared" si="197"/>
        <v>189.78708890193474</v>
      </c>
      <c r="J54" s="830"/>
      <c r="K54" s="9"/>
      <c r="L54" s="367"/>
      <c r="M54" s="365"/>
      <c r="N54" s="862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7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6">
        <v>0</v>
      </c>
      <c r="AK54" s="366">
        <f t="shared" si="189"/>
        <v>0</v>
      </c>
      <c r="AL54" s="368">
        <v>0</v>
      </c>
      <c r="AM54" s="878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6">
        <v>7</v>
      </c>
      <c r="AW54" s="366">
        <f t="shared" si="194"/>
        <v>6.8292682926829273E-2</v>
      </c>
      <c r="AX54" s="368">
        <v>7.65</v>
      </c>
      <c r="AY54" s="878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6">
        <v>10.59</v>
      </c>
      <c r="BI54" s="366">
        <f>BH54/BH60</f>
        <v>0.10108820160366551</v>
      </c>
      <c r="BJ54" s="368">
        <v>10.78</v>
      </c>
      <c r="BK54" s="878">
        <f>BJ54/BJ60</f>
        <v>0.100111441307578</v>
      </c>
      <c r="BL54" s="368">
        <v>10.23</v>
      </c>
      <c r="BM54" s="878">
        <f>BL54/BL60</f>
        <v>8.0621010323902592E-2</v>
      </c>
      <c r="BN54" s="368">
        <v>9.9499999999999993</v>
      </c>
      <c r="BO54" s="878">
        <f>BN54/BN60</f>
        <v>7.9791499599037682E-2</v>
      </c>
      <c r="BP54" s="368">
        <v>12.64</v>
      </c>
      <c r="BQ54" s="878">
        <f>BP54/BP60</f>
        <v>8.6575342465753435E-2</v>
      </c>
      <c r="BR54" s="368">
        <f>18.97+3.8+12.64</f>
        <v>35.409999999999997</v>
      </c>
      <c r="BS54" s="878">
        <f>BR54/BR60</f>
        <v>0.20920477372090274</v>
      </c>
      <c r="BT54" s="1156">
        <f>13.77+3.8+12.64</f>
        <v>30.21</v>
      </c>
      <c r="BU54" s="366">
        <f>BT54/BT51</f>
        <v>0.56131549609810483</v>
      </c>
      <c r="BV54" s="368">
        <f>14.53+3.8+12.64</f>
        <v>30.97</v>
      </c>
      <c r="BW54" s="878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5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8"/>
      <c r="CR54" s="1205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8"/>
      <c r="DD54" s="1205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 x14ac:dyDescent="0.25">
      <c r="B55" s="100">
        <f t="shared" si="174"/>
        <v>4.3127138258982872E-2</v>
      </c>
      <c r="C55" s="1015" t="s">
        <v>488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6">
        <f t="shared" si="179"/>
        <v>1.41</v>
      </c>
      <c r="I55" s="831">
        <f t="shared" si="197"/>
        <v>0</v>
      </c>
      <c r="J55" s="831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6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20">
        <v>0</v>
      </c>
      <c r="AK55" s="129">
        <f t="shared" si="189"/>
        <v>0</v>
      </c>
      <c r="AL55" s="279">
        <v>0</v>
      </c>
      <c r="AM55" s="879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20">
        <v>0</v>
      </c>
      <c r="AW55" s="129">
        <f t="shared" si="194"/>
        <v>0</v>
      </c>
      <c r="AX55" s="279">
        <v>0</v>
      </c>
      <c r="AY55" s="879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20">
        <v>0</v>
      </c>
      <c r="BI55" s="129">
        <f>BH55/BH60</f>
        <v>0</v>
      </c>
      <c r="BJ55" s="279">
        <v>0</v>
      </c>
      <c r="BK55" s="879">
        <f>BJ55/BJ60</f>
        <v>0</v>
      </c>
      <c r="BL55" s="279">
        <v>0</v>
      </c>
      <c r="BM55" s="879">
        <f>BL55/BL60</f>
        <v>0</v>
      </c>
      <c r="BN55" s="279">
        <v>0</v>
      </c>
      <c r="BO55" s="879">
        <f>BN55/BN60</f>
        <v>0</v>
      </c>
      <c r="BP55" s="279">
        <v>0</v>
      </c>
      <c r="BQ55" s="879">
        <f>BP55/BP60</f>
        <v>0</v>
      </c>
      <c r="BR55" s="279">
        <v>0</v>
      </c>
      <c r="BS55" s="879">
        <f>BR55/BR60</f>
        <v>0</v>
      </c>
      <c r="BT55" s="1220">
        <v>1.41</v>
      </c>
      <c r="BU55" s="129">
        <f>BT55/BT51</f>
        <v>2.61984392419175E-2</v>
      </c>
      <c r="BV55" s="279">
        <v>0</v>
      </c>
      <c r="BW55" s="879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6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9"/>
      <c r="CR55" s="1206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9"/>
      <c r="DD55" s="1206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 x14ac:dyDescent="0.25">
      <c r="A56" s="9"/>
      <c r="B56" s="100">
        <f t="shared" si="174"/>
        <v>3.9378497041736103E-3</v>
      </c>
      <c r="C56" s="1016" t="s">
        <v>489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5">
        <f t="shared" si="179"/>
        <v>3.9699999999999998</v>
      </c>
      <c r="I56" s="830">
        <f t="shared" si="197"/>
        <v>0</v>
      </c>
      <c r="J56" s="830"/>
      <c r="K56" s="9"/>
      <c r="L56" s="367"/>
      <c r="M56" s="365"/>
      <c r="N56" s="862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7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6">
        <v>0</v>
      </c>
      <c r="AK56" s="366">
        <f t="shared" si="189"/>
        <v>0</v>
      </c>
      <c r="AL56" s="368">
        <v>0</v>
      </c>
      <c r="AM56" s="878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6">
        <v>0</v>
      </c>
      <c r="AW56" s="366">
        <f t="shared" si="194"/>
        <v>0</v>
      </c>
      <c r="AX56" s="368">
        <v>0</v>
      </c>
      <c r="AY56" s="878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6">
        <v>0</v>
      </c>
      <c r="BI56" s="366">
        <f>BH56/BH60</f>
        <v>0</v>
      </c>
      <c r="BJ56" s="368">
        <v>0.18</v>
      </c>
      <c r="BK56" s="878">
        <f>BJ56/BJ60</f>
        <v>1.6716196136701336E-3</v>
      </c>
      <c r="BL56" s="368">
        <v>0.61</v>
      </c>
      <c r="BM56" s="878">
        <f>BL56/BL60</f>
        <v>4.8073134210733703E-3</v>
      </c>
      <c r="BN56" s="368">
        <v>0.27</v>
      </c>
      <c r="BO56" s="878">
        <f>BN56/BN60</f>
        <v>2.165196471531676E-3</v>
      </c>
      <c r="BP56" s="368">
        <v>3.09</v>
      </c>
      <c r="BQ56" s="878">
        <f>BP56/BP60</f>
        <v>2.1164383561643834E-2</v>
      </c>
      <c r="BR56" s="368">
        <v>0</v>
      </c>
      <c r="BS56" s="878">
        <f>BR56/BR60</f>
        <v>0</v>
      </c>
      <c r="BT56" s="1156">
        <v>0</v>
      </c>
      <c r="BU56" s="366">
        <f>BT56/BT51</f>
        <v>0</v>
      </c>
      <c r="BV56" s="368">
        <v>0</v>
      </c>
      <c r="BW56" s="878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5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8"/>
      <c r="CR56" s="1205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8"/>
      <c r="DD56" s="1205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 x14ac:dyDescent="0.25">
      <c r="B57" s="100">
        <f t="shared" si="174"/>
        <v>7.8232214187857155E-2</v>
      </c>
      <c r="C57" s="1017" t="s">
        <v>490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6">
        <f t="shared" si="179"/>
        <v>70.56</v>
      </c>
      <c r="I57" s="831">
        <f t="shared" si="197"/>
        <v>71.392301766468847</v>
      </c>
      <c r="J57" s="831"/>
      <c r="L57" s="298"/>
      <c r="M57" s="296"/>
      <c r="N57" s="863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8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21">
        <v>7.22</v>
      </c>
      <c r="AK57" s="297">
        <f t="shared" si="189"/>
        <v>7.4104485271476964E-2</v>
      </c>
      <c r="AL57" s="299">
        <v>7.25</v>
      </c>
      <c r="AM57" s="880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21">
        <v>7.68</v>
      </c>
      <c r="AW57" s="297">
        <f t="shared" si="194"/>
        <v>7.492682926829268E-2</v>
      </c>
      <c r="AX57" s="299">
        <v>9.01</v>
      </c>
      <c r="AY57" s="880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21">
        <v>8.89</v>
      </c>
      <c r="BI57" s="297">
        <f>BH57/BH60</f>
        <v>8.4860633829705989E-2</v>
      </c>
      <c r="BJ57" s="299">
        <v>8.9700000000000006</v>
      </c>
      <c r="BK57" s="880">
        <f>BJ57/BJ60</f>
        <v>8.330237741456166E-2</v>
      </c>
      <c r="BL57" s="299">
        <v>9.9</v>
      </c>
      <c r="BM57" s="880">
        <f>BL57/BL60</f>
        <v>7.8020332571518636E-2</v>
      </c>
      <c r="BN57" s="299">
        <v>9.6999999999999993</v>
      </c>
      <c r="BO57" s="880">
        <f>BN57/BN60</f>
        <v>7.7786688051323175E-2</v>
      </c>
      <c r="BP57" s="299">
        <v>11.64</v>
      </c>
      <c r="BQ57" s="880">
        <f>BP57/BP60</f>
        <v>7.9726027397260271E-2</v>
      </c>
      <c r="BR57" s="299">
        <v>16.41</v>
      </c>
      <c r="BS57" s="880">
        <f>BR57/BR60</f>
        <v>9.6951435661113083E-2</v>
      </c>
      <c r="BT57" s="1221">
        <v>11.26</v>
      </c>
      <c r="BU57" s="297">
        <f>BT57/BT51</f>
        <v>0.20921590486807878</v>
      </c>
      <c r="BV57" s="299">
        <v>11.65</v>
      </c>
      <c r="BW57" s="880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12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80"/>
      <c r="CR57" s="1212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80"/>
      <c r="DD57" s="1212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 x14ac:dyDescent="0.25">
      <c r="A58" s="9"/>
      <c r="B58" s="915"/>
      <c r="C58" s="1018" t="s">
        <v>491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7">
        <f>AVERAGE(BL58,BN58,BP58,BR58,BT58,BV58)</f>
        <v>0.89355371040621712</v>
      </c>
      <c r="I58" s="832">
        <f>AVERAGE(BX58,BZ58,CB58,CD58,CF58,CH58)</f>
        <v>1.2013302175085385</v>
      </c>
      <c r="J58" s="1079"/>
      <c r="K58" s="9"/>
      <c r="L58" s="377"/>
      <c r="M58" s="378"/>
      <c r="N58" s="864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9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22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22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22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22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13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13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13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 x14ac:dyDescent="0.25">
      <c r="B59" s="100">
        <f>AVERAGE(O59,Q59,S59,U59,Y59,AA59,AC59,AE59,AG59,AI59,AK59,AM59,AO59,AQ59,AS59,AU59,AW59,AY59,BA59,BC59)</f>
        <v>0.13937631296079483</v>
      </c>
      <c r="C59" s="1019" t="s">
        <v>512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6">
        <f>BL59+BN59+BP59+BR59+BT59+BV59</f>
        <v>90</v>
      </c>
      <c r="I59" s="831">
        <f>BX59+BZ59+CB59+CD59+CF59+CH59</f>
        <v>99</v>
      </c>
      <c r="J59" s="831"/>
      <c r="L59" s="303"/>
      <c r="M59" s="302"/>
      <c r="N59" s="865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50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23">
        <v>18</v>
      </c>
      <c r="AK59" s="286">
        <f>AJ59/AJ$60</f>
        <v>0.18474802422251874</v>
      </c>
      <c r="AL59" s="304"/>
      <c r="AM59" s="881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23">
        <v>18</v>
      </c>
      <c r="AW59" s="286">
        <f>AV59/AV$60</f>
        <v>0.17560975609756097</v>
      </c>
      <c r="AX59" s="304">
        <v>7</v>
      </c>
      <c r="AY59" s="881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23">
        <v>7</v>
      </c>
      <c r="BI59" s="286">
        <f>BH59/BH60</f>
        <v>6.6819396716303936E-2</v>
      </c>
      <c r="BJ59" s="304">
        <v>9</v>
      </c>
      <c r="BK59" s="881">
        <f>BJ59/BJ60</f>
        <v>8.3580980683506681E-2</v>
      </c>
      <c r="BL59" s="304">
        <v>18</v>
      </c>
      <c r="BM59" s="881">
        <f>BL59/BL60</f>
        <v>0.14185515013003389</v>
      </c>
      <c r="BN59" s="304">
        <v>18</v>
      </c>
      <c r="BO59" s="881">
        <f>BN59/BN60</f>
        <v>0.14434643143544507</v>
      </c>
      <c r="BP59" s="304">
        <v>18</v>
      </c>
      <c r="BQ59" s="881">
        <f>BP59/BP60</f>
        <v>0.12328767123287671</v>
      </c>
      <c r="BR59" s="304">
        <v>18</v>
      </c>
      <c r="BS59" s="881">
        <f>BR59/BR60</f>
        <v>0.10634526763559023</v>
      </c>
      <c r="BT59" s="1223">
        <v>9</v>
      </c>
      <c r="BU59" s="286">
        <f>BT59/BT$60</f>
        <v>6.9278731429451151E-2</v>
      </c>
      <c r="BV59" s="304">
        <v>9</v>
      </c>
      <c r="BW59" s="881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14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81"/>
      <c r="CR59" s="1214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81"/>
      <c r="DD59" s="1214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 x14ac:dyDescent="0.25">
      <c r="A60" s="9"/>
      <c r="B60" s="9"/>
      <c r="C60" s="1020" t="s">
        <v>397</v>
      </c>
      <c r="D60" s="820">
        <f>N60+P60+R60+T60+V60+W60+X60+Z60</f>
        <v>779.95999999999992</v>
      </c>
      <c r="E60" s="820">
        <f>AB60+AD60+AF60+AH60+AJ60+AL60</f>
        <v>540.93000000000006</v>
      </c>
      <c r="F60" s="820">
        <f t="shared" ref="F60" si="202">AN60+AP60+AR60+AT60+AV60+AX60</f>
        <v>595.58000000000004</v>
      </c>
      <c r="G60" s="820">
        <f>AZ60+BB60+BD60+BF60+BH60+BJ60</f>
        <v>753.27</v>
      </c>
      <c r="H60" s="1288">
        <f>BL60+BN60+BP60+BR60+BT60+BV60</f>
        <v>828.22</v>
      </c>
      <c r="I60" s="833">
        <f>BX60+BZ60+CB60+CD60+CF60+CH60</f>
        <v>849.44646131517379</v>
      </c>
      <c r="J60" s="1080"/>
      <c r="K60" s="9"/>
      <c r="L60" s="399"/>
      <c r="M60" s="390"/>
      <c r="N60" s="866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51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24">
        <f>SUM(AJ51:AJ57)+AJ59</f>
        <v>97.429999999999993</v>
      </c>
      <c r="AK60" s="391"/>
      <c r="AL60" s="394">
        <f>SUM(AL51:AL57)+AL59</f>
        <v>79.75</v>
      </c>
      <c r="AM60" s="885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24">
        <f>SUM(AV51:AV57)+AV59</f>
        <v>102.5</v>
      </c>
      <c r="AW60" s="391"/>
      <c r="AX60" s="394">
        <f>SUM(AX51:AX57)+AX59</f>
        <v>106.14000000000001</v>
      </c>
      <c r="AY60" s="885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24">
        <f>SUM(BH51:BH57)+BH59</f>
        <v>104.76</v>
      </c>
      <c r="BI60" s="391"/>
      <c r="BJ60" s="394">
        <f>SUM(BJ51:BJ57)+BJ59</f>
        <v>107.68</v>
      </c>
      <c r="BK60" s="885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24">
        <f>SUM(BT51:BT57)+BT59</f>
        <v>129.91000000000003</v>
      </c>
      <c r="BU60" s="391"/>
      <c r="BV60" s="394">
        <f>SUM(BV51:BV57)+BV59</f>
        <v>131.46</v>
      </c>
      <c r="BW60" s="885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5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5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5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 x14ac:dyDescent="0.25">
      <c r="H61" s="105"/>
      <c r="I61" s="117"/>
      <c r="J61" s="117"/>
      <c r="L61" s="103"/>
      <c r="N61" s="266"/>
      <c r="W61" s="103"/>
      <c r="X61" s="1185"/>
      <c r="AJ61" s="717"/>
      <c r="AL61" s="105"/>
      <c r="AM61" s="105"/>
      <c r="AV61" s="717"/>
      <c r="AX61" s="105"/>
      <c r="AY61" s="105"/>
      <c r="BD61" s="105"/>
      <c r="BH61" s="717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6"/>
      <c r="BV61" s="105"/>
      <c r="BW61" s="105"/>
      <c r="CF61" s="717"/>
      <c r="CR61" s="717"/>
      <c r="DD61" s="717"/>
    </row>
    <row r="62" spans="1:125" s="349" customFormat="1" x14ac:dyDescent="0.25">
      <c r="A62" s="9"/>
      <c r="B62" s="916"/>
      <c r="C62" s="1021" t="s">
        <v>513</v>
      </c>
      <c r="D62" s="818">
        <f>N62+P62+R62+T62+V62+W62+X62+Z62</f>
        <v>594.64</v>
      </c>
      <c r="E62" s="818">
        <f>AB62+AD62+AF62+AH62+AJ62+AL62</f>
        <v>459.93000000000006</v>
      </c>
      <c r="F62" s="818">
        <f t="shared" ref="F62:F63" si="203">AN62+AP62+AR62+AT62+AV62+AX62</f>
        <v>498.58000000000004</v>
      </c>
      <c r="G62" s="818">
        <f t="shared" ref="G62:G63" si="204">AZ62+BB62+BD62+BF62+BH62+BJ62</f>
        <v>681.27</v>
      </c>
      <c r="H62" s="1289">
        <f>BL62+BN62+BP62+BR62+BT62+BV62</f>
        <v>738.22</v>
      </c>
      <c r="I62" s="834">
        <f>BX62+BZ62+CB62+CD62+CF62+CH62</f>
        <v>750.44646131517379</v>
      </c>
      <c r="J62" s="834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52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5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5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5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5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7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7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7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 x14ac:dyDescent="0.25">
      <c r="A63" s="9"/>
      <c r="B63" s="916"/>
      <c r="C63" s="1022" t="s">
        <v>492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8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53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6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6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6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6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6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6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6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13" customFormat="1" x14ac:dyDescent="0.25">
      <c r="A64" s="19"/>
      <c r="B64" s="917"/>
      <c r="C64" s="1023" t="s">
        <v>502</v>
      </c>
      <c r="D64" s="905">
        <f>AVERAGE(N64,P64,R64,T64,V64,W64,X64,Z64)</f>
        <v>0.31118020788003176</v>
      </c>
      <c r="E64" s="905">
        <f>AVERAGE(AB64,AD64,AF64,AH64,AJ64,AL64)</f>
        <v>0.22560256611102411</v>
      </c>
      <c r="F64" s="905">
        <f>AVERAGE(AN64,AP64,AR64,AT64,AV64,AX64)</f>
        <v>0.28371199872193631</v>
      </c>
      <c r="G64" s="905">
        <f>AVERAGE(AZ64,BB64,BD64,BF64,BH64,BJ64)</f>
        <v>0.33769890496321397</v>
      </c>
      <c r="H64" s="1290">
        <f>AVERAGE(BL64,BN64,BP64,BR64,BT64,BV64)</f>
        <v>0.45840288321127654</v>
      </c>
      <c r="I64" s="906">
        <f>AVERAGE(BX64,BZ64,CB64,CD64,CF64,CH64)</f>
        <v>0.54572921770374005</v>
      </c>
      <c r="J64" s="906"/>
      <c r="K64" s="19"/>
      <c r="L64" s="907"/>
      <c r="M64" s="904"/>
      <c r="N64" s="908">
        <f>N63/(N60-N59)</f>
        <v>0.23532299234243079</v>
      </c>
      <c r="O64" s="909"/>
      <c r="P64" s="909">
        <f t="shared" ref="P64:AF64" si="209">P63/(P60-P59)</f>
        <v>0.38396778916544649</v>
      </c>
      <c r="Q64" s="909"/>
      <c r="R64" s="909">
        <f t="shared" si="209"/>
        <v>0.38211215718379038</v>
      </c>
      <c r="S64" s="909"/>
      <c r="T64" s="909">
        <f t="shared" si="209"/>
        <v>0.3645564168819983</v>
      </c>
      <c r="U64" s="909"/>
      <c r="V64" s="909">
        <f t="shared" si="209"/>
        <v>0.41836228287841193</v>
      </c>
      <c r="W64" s="910">
        <f t="shared" si="209"/>
        <v>0.33222935210101434</v>
      </c>
      <c r="X64" s="1254">
        <f>X63/(X60-X59)</f>
        <v>0.14912808177991579</v>
      </c>
      <c r="Y64" s="909"/>
      <c r="Z64" s="909">
        <f t="shared" si="209"/>
        <v>0.2237625907072458</v>
      </c>
      <c r="AA64" s="909"/>
      <c r="AB64" s="909">
        <f t="shared" si="209"/>
        <v>0.21978270710728831</v>
      </c>
      <c r="AC64" s="909"/>
      <c r="AD64" s="909">
        <f t="shared" si="209"/>
        <v>0.23991858542170202</v>
      </c>
      <c r="AE64" s="909"/>
      <c r="AF64" s="909">
        <f t="shared" si="209"/>
        <v>0.23196570728720142</v>
      </c>
      <c r="AG64" s="909"/>
      <c r="AH64" s="911">
        <f>AH63/(AH60-AH59)</f>
        <v>0.21108919115356656</v>
      </c>
      <c r="AI64" s="912"/>
      <c r="AJ64" s="1227">
        <f>AJ63/(AJ60-AJ59)</f>
        <v>0.23756766964622938</v>
      </c>
      <c r="AK64" s="909"/>
      <c r="AL64" s="911">
        <f>AL63/(AL60-AL59)</f>
        <v>0.21329153605015677</v>
      </c>
      <c r="AM64" s="911"/>
      <c r="AN64" s="909">
        <f>AN63/(AN60-AN59)</f>
        <v>0.24623115577889443</v>
      </c>
      <c r="AO64" s="909"/>
      <c r="AP64" s="909">
        <f>AP63/(AP60-AP59)</f>
        <v>0.29318215284935939</v>
      </c>
      <c r="AQ64" s="909"/>
      <c r="AR64" s="909">
        <f>AR63/(AR60-AR59)</f>
        <v>0.30587644399799097</v>
      </c>
      <c r="AS64" s="909"/>
      <c r="AT64" s="911">
        <f>AT63/(AT60-AT59)</f>
        <v>0.2753222836095765</v>
      </c>
      <c r="AU64" s="912"/>
      <c r="AV64" s="1227">
        <f>AV63/(AV60-AV59)</f>
        <v>0.29479289940828401</v>
      </c>
      <c r="AW64" s="909"/>
      <c r="AX64" s="911">
        <f>AX63/(AX60-AX59)</f>
        <v>0.28686705668751256</v>
      </c>
      <c r="AY64" s="911"/>
      <c r="AZ64" s="909">
        <f>AZ63/(AZ60-AZ59)</f>
        <v>0.29860990443092966</v>
      </c>
      <c r="BA64" s="909"/>
      <c r="BB64" s="909">
        <f>BB63/(BB60-BB59)</f>
        <v>0.30721667697199895</v>
      </c>
      <c r="BC64" s="909"/>
      <c r="BD64" s="911">
        <f>BD63/(BD60-BD59)</f>
        <v>0.31111470635819444</v>
      </c>
      <c r="BE64" s="912"/>
      <c r="BF64" s="911">
        <f>BF63/(BF60-BF59)</f>
        <v>0.37020316027088035</v>
      </c>
      <c r="BG64" s="912"/>
      <c r="BH64" s="1227">
        <f>BH63/(BH60-BH59)</f>
        <v>0.36886252045826512</v>
      </c>
      <c r="BI64" s="909"/>
      <c r="BJ64" s="911">
        <f>BJ63/(BJ60-BJ59)</f>
        <v>0.370186461289015</v>
      </c>
      <c r="BK64" s="911"/>
      <c r="BL64" s="911">
        <f>BL63/(BL60-BL59)</f>
        <v>0.36330241528147672</v>
      </c>
      <c r="BM64" s="911"/>
      <c r="BN64" s="911">
        <f>BN63/(BN60-BN59)</f>
        <v>0.36279287722586689</v>
      </c>
      <c r="BO64" s="911"/>
      <c r="BP64" s="911">
        <f>BP63/(BP60-BP59)</f>
        <v>0.432734375</v>
      </c>
      <c r="BQ64" s="911"/>
      <c r="BR64" s="911">
        <f>BR63/(BR60-BR59)</f>
        <v>0.50264445325928864</v>
      </c>
      <c r="BS64" s="912"/>
      <c r="BT64" s="1227">
        <f>BT63/(BT60-BT59)</f>
        <v>0.54321396079728723</v>
      </c>
      <c r="BU64" s="909"/>
      <c r="BV64" s="911">
        <f>BV63/(BV60-BV59)</f>
        <v>0.54572921770373994</v>
      </c>
      <c r="BW64" s="911"/>
      <c r="BX64" s="912">
        <f>BX63/(BX60-BX59)</f>
        <v>0.54572921770373994</v>
      </c>
      <c r="BY64" s="912"/>
      <c r="BZ64" s="912">
        <f>BZ63/(BZ60-BZ59)</f>
        <v>0.54572921770373994</v>
      </c>
      <c r="CA64" s="912"/>
      <c r="CB64" s="912">
        <f>CB63/(CB60-CB59)</f>
        <v>0.54572921770374005</v>
      </c>
      <c r="CC64" s="912"/>
      <c r="CD64" s="912">
        <f>CD63/(CD60-CD59)</f>
        <v>0.54572921770374005</v>
      </c>
      <c r="CE64" s="912"/>
      <c r="CF64" s="1217">
        <f>CF63/(CF60-CF59)</f>
        <v>0.54572921770374005</v>
      </c>
      <c r="CG64" s="912"/>
      <c r="CH64" s="912">
        <f>CH63/(CH60-CH59)</f>
        <v>0.54572921770374005</v>
      </c>
      <c r="CI64" s="912"/>
      <c r="CJ64" s="912">
        <f>CJ63/(CJ60-CJ59)</f>
        <v>0.54572921770374005</v>
      </c>
      <c r="CK64" s="909"/>
      <c r="CL64" s="909"/>
      <c r="CM64" s="909"/>
      <c r="CN64" s="909"/>
      <c r="CO64" s="909"/>
      <c r="CP64" s="909"/>
      <c r="CQ64" s="912"/>
      <c r="CR64" s="1217"/>
      <c r="CS64" s="912"/>
      <c r="CT64" s="912"/>
      <c r="CU64" s="912"/>
      <c r="CV64" s="909"/>
      <c r="CW64" s="909"/>
      <c r="CX64" s="909"/>
      <c r="CY64" s="909"/>
      <c r="CZ64" s="909"/>
      <c r="DA64" s="909"/>
      <c r="DB64" s="909"/>
      <c r="DC64" s="912"/>
      <c r="DD64" s="1217"/>
      <c r="DE64" s="912"/>
      <c r="DF64" s="912"/>
      <c r="DG64" s="912"/>
      <c r="DH64" s="909"/>
      <c r="DI64" s="909"/>
      <c r="DJ64" s="909"/>
      <c r="DK64" s="909"/>
      <c r="DL64" s="909"/>
      <c r="DM64" s="909"/>
      <c r="DN64" s="909"/>
      <c r="DO64" s="909"/>
      <c r="DP64" s="909"/>
      <c r="DQ64" s="909"/>
      <c r="DR64" s="909"/>
      <c r="DS64" s="909"/>
      <c r="DT64" s="909"/>
      <c r="DU64" s="909"/>
    </row>
    <row r="65" spans="1:125" x14ac:dyDescent="0.25">
      <c r="H65" s="105"/>
      <c r="I65" s="117"/>
      <c r="J65" s="117"/>
      <c r="L65" s="103"/>
      <c r="N65" s="266"/>
      <c r="W65" s="103"/>
      <c r="X65" s="1185"/>
      <c r="Y65" s="1195"/>
      <c r="AJ65" s="717"/>
      <c r="AK65" s="105"/>
      <c r="AL65" s="105"/>
      <c r="AV65" s="717"/>
      <c r="AW65" s="105"/>
      <c r="AX65" s="105"/>
      <c r="BH65" s="717"/>
      <c r="BI65" s="105"/>
      <c r="BJ65" s="105"/>
      <c r="BS65" s="1174"/>
      <c r="BT65" s="1302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74"/>
      <c r="CF65" s="1164"/>
      <c r="CG65" s="117"/>
      <c r="CH65" s="117"/>
      <c r="CI65" s="117"/>
      <c r="CJ65" s="117"/>
      <c r="CQ65" s="1174"/>
      <c r="CR65" s="1164"/>
      <c r="CS65" s="117"/>
      <c r="CT65" s="117"/>
      <c r="CU65" s="117"/>
      <c r="DC65" s="1174"/>
      <c r="DD65" s="1164"/>
      <c r="DE65" s="117"/>
      <c r="DF65" s="117"/>
      <c r="DG65" s="117"/>
    </row>
    <row r="66" spans="1:125" hidden="1" x14ac:dyDescent="0.25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94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94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94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94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 x14ac:dyDescent="0.25">
      <c r="C67" s="1024" t="s">
        <v>514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70">
        <v>48</v>
      </c>
      <c r="N67" s="716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6">
        <v>34</v>
      </c>
      <c r="W67" s="1255">
        <v>20</v>
      </c>
      <c r="X67" s="1271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30">
        <v>31</v>
      </c>
      <c r="AI67" s="1228">
        <v>29</v>
      </c>
      <c r="AJ67" s="1228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30">
        <v>33</v>
      </c>
      <c r="AU67" s="1228">
        <v>29</v>
      </c>
      <c r="AV67" s="1228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30">
        <v>37</v>
      </c>
      <c r="BG67" s="1228">
        <v>32</v>
      </c>
      <c r="BH67" s="1229">
        <v>36</v>
      </c>
      <c r="BI67" s="1242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303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 x14ac:dyDescent="0.25">
      <c r="C68" s="1002" t="s">
        <v>515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6">
        <v>46</v>
      </c>
      <c r="W68" s="276"/>
      <c r="X68" s="1192"/>
      <c r="Y68" s="278"/>
      <c r="Z68" s="278"/>
      <c r="AA68" s="278"/>
      <c r="AB68" s="278"/>
      <c r="AC68" s="278"/>
      <c r="AD68" s="278"/>
      <c r="AE68" s="278"/>
      <c r="AF68" s="278"/>
      <c r="AG68" s="278"/>
      <c r="AH68" s="1231"/>
      <c r="AI68" s="651"/>
      <c r="AJ68" s="651"/>
      <c r="AK68" s="288"/>
      <c r="AL68" s="288"/>
      <c r="AM68" s="288"/>
      <c r="AN68" s="278"/>
      <c r="AO68" s="278"/>
      <c r="AP68" s="278"/>
      <c r="AQ68" s="278"/>
      <c r="AR68" s="278"/>
      <c r="AS68" s="288"/>
      <c r="AT68" s="1231"/>
      <c r="AU68" s="651"/>
      <c r="AV68" s="651"/>
      <c r="AW68" s="288"/>
      <c r="AX68" s="288"/>
      <c r="AY68" s="288"/>
      <c r="AZ68" s="288"/>
      <c r="BA68" s="288"/>
      <c r="BB68" s="288"/>
      <c r="BC68" s="288"/>
      <c r="BD68" s="288"/>
      <c r="BE68" s="288"/>
      <c r="BF68" s="1231"/>
      <c r="BG68" s="651"/>
      <c r="BH68" s="871"/>
      <c r="BI68" s="288"/>
      <c r="BJ68" s="288"/>
      <c r="BK68" s="288"/>
      <c r="BL68" s="288"/>
      <c r="BM68" s="288"/>
      <c r="BN68" s="288"/>
      <c r="BO68" s="288"/>
      <c r="BP68" s="288"/>
      <c r="BQ68" s="288"/>
      <c r="BR68" s="1304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 x14ac:dyDescent="0.25">
      <c r="C69" s="1001" t="s">
        <v>516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7">
        <v>58</v>
      </c>
      <c r="W69" s="103"/>
      <c r="X69" s="99"/>
      <c r="AH69" s="1232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32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32">
        <v>37</v>
      </c>
      <c r="BG69" s="128">
        <v>36</v>
      </c>
      <c r="BH69" s="665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6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 x14ac:dyDescent="0.25">
      <c r="C70" s="1024" t="s">
        <v>517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6">
        <f t="shared" si="215"/>
        <v>104</v>
      </c>
      <c r="W70" s="280">
        <v>64</v>
      </c>
      <c r="X70" s="1270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30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30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30">
        <v>57</v>
      </c>
      <c r="BG70" s="313">
        <v>51</v>
      </c>
      <c r="BH70" s="868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303">
        <v>59</v>
      </c>
      <c r="BS70" s="1326">
        <v>73</v>
      </c>
      <c r="BT70" s="132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7">
        <f t="shared" si="211"/>
        <v>73</v>
      </c>
      <c r="CF70" s="1203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7">
        <f t="shared" si="213"/>
        <v>73</v>
      </c>
      <c r="CR70" s="1203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7"/>
      <c r="DD70" s="1203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 x14ac:dyDescent="0.25">
      <c r="C71" s="1001" t="s">
        <v>518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6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70">
        <f t="shared" ref="M71:AG71" si="216">+M67+M70</f>
        <v>94</v>
      </c>
      <c r="N71" s="716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7">
        <f>+V67+V70</f>
        <v>138</v>
      </c>
      <c r="W71" s="1257">
        <f t="shared" si="216"/>
        <v>84</v>
      </c>
      <c r="X71" s="1268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32">
        <f t="shared" ref="AH71:AJ71" si="217">+AH67+AH70</f>
        <v>122</v>
      </c>
      <c r="AI71" s="1233">
        <f t="shared" si="217"/>
        <v>120</v>
      </c>
      <c r="AJ71" s="1266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32">
        <f t="shared" si="218"/>
        <v>133</v>
      </c>
      <c r="AU71" s="1233">
        <f t="shared" si="218"/>
        <v>125</v>
      </c>
      <c r="AV71" s="1266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32">
        <f t="shared" si="219"/>
        <v>131</v>
      </c>
      <c r="BG71" s="1233">
        <f t="shared" si="219"/>
        <v>119</v>
      </c>
      <c r="BH71" s="1234">
        <f t="shared" si="219"/>
        <v>160</v>
      </c>
      <c r="BI71" s="882">
        <f t="shared" si="219"/>
        <v>171</v>
      </c>
      <c r="BJ71" s="882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28">
        <f t="shared" ref="BS71:BT71" si="220">+BS67+BS70+BS69</f>
        <v>155</v>
      </c>
      <c r="BT71" s="132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8">
        <f t="shared" ref="CE71" si="222">+CE67+CE70+CE69</f>
        <v>143</v>
      </c>
      <c r="CF71" s="1199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8">
        <f t="shared" ref="CQ71" si="225">+CQ67+CQ70+CQ69</f>
        <v>143</v>
      </c>
      <c r="CR71" s="1199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8"/>
      <c r="DD71" s="1199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 x14ac:dyDescent="0.25">
      <c r="C72" s="19" t="s">
        <v>496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92"/>
      <c r="N72" s="893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8">
        <v>198</v>
      </c>
      <c r="X72" s="1259">
        <v>55</v>
      </c>
      <c r="Y72" s="1269"/>
      <c r="Z72" s="19">
        <v>308</v>
      </c>
      <c r="AB72" s="19">
        <v>142</v>
      </c>
      <c r="AD72" s="19">
        <f>239</f>
        <v>239</v>
      </c>
      <c r="AF72" s="19">
        <v>259</v>
      </c>
      <c r="AH72" s="894">
        <v>330</v>
      </c>
      <c r="AI72" s="1200"/>
      <c r="AJ72" s="1235">
        <f>AG71+AH71</f>
        <v>246</v>
      </c>
      <c r="AK72" s="1267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94">
        <f>AQ71+AR71</f>
        <v>301</v>
      </c>
      <c r="AU72" s="1200"/>
      <c r="AV72" s="1276">
        <f>AS71+AT71</f>
        <v>239</v>
      </c>
      <c r="AW72" s="291"/>
      <c r="AX72" s="291">
        <f>AU71+AV71</f>
        <v>258</v>
      </c>
      <c r="AZ72" s="894">
        <f>AW71+AX71</f>
        <v>263</v>
      </c>
      <c r="BB72" s="894">
        <f>AY71+AZ71</f>
        <v>256</v>
      </c>
      <c r="BD72" s="894">
        <f>BA71+BB71</f>
        <v>296</v>
      </c>
      <c r="BF72" s="894">
        <f>BC71+BD71</f>
        <v>432</v>
      </c>
      <c r="BG72" s="1200"/>
      <c r="BH72" s="1235">
        <f>BE71+BF71</f>
        <v>274</v>
      </c>
      <c r="BI72" s="895"/>
      <c r="BJ72" s="896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200"/>
      <c r="BT72" s="1305">
        <f>BQ71+BR71</f>
        <v>307</v>
      </c>
      <c r="BU72" s="1179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200"/>
      <c r="CF72" s="1201">
        <f>CC71+CD71</f>
        <v>340</v>
      </c>
      <c r="CG72" s="1179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200"/>
      <c r="CR72" s="1201">
        <f>CO71+CP71</f>
        <v>340</v>
      </c>
      <c r="CS72" s="1179"/>
      <c r="CT72" s="587"/>
      <c r="CU72" s="587"/>
      <c r="CV72" s="587"/>
      <c r="CW72" s="587"/>
      <c r="CX72" s="587"/>
      <c r="CY72" s="587"/>
      <c r="CZ72" s="587"/>
      <c r="DA72" s="587"/>
      <c r="DB72" s="587"/>
      <c r="DC72" s="1200"/>
      <c r="DD72" s="1201"/>
      <c r="DE72" s="1179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 x14ac:dyDescent="0.25">
      <c r="D73" s="49"/>
      <c r="E73" s="49"/>
      <c r="F73" s="49"/>
      <c r="G73" s="49"/>
      <c r="H73" s="1074" t="s">
        <v>499</v>
      </c>
      <c r="I73" s="49"/>
      <c r="J73" s="49"/>
      <c r="M73" s="99"/>
      <c r="V73" s="1256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6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6">
        <f>(AT71-AH71)/AH71</f>
        <v>9.0163934426229511E-2</v>
      </c>
      <c r="AU73" s="565">
        <f t="shared" ref="AU73:AV73" si="229">(AU71-AI71)/AI71</f>
        <v>4.1666666666666664E-2</v>
      </c>
      <c r="AV73" s="869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6">
        <f t="shared" ref="BF73" si="238">(BF71-AT71)/AT71</f>
        <v>-1.5037593984962405E-2</v>
      </c>
      <c r="BG73" s="565">
        <f>(BG71-AU71)/AU71</f>
        <v>-4.8000000000000001E-2</v>
      </c>
      <c r="BH73" s="869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202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202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202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202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 x14ac:dyDescent="0.25">
      <c r="C74" s="314" t="s">
        <v>500</v>
      </c>
      <c r="D74" s="819">
        <v>2021</v>
      </c>
      <c r="E74" s="819">
        <v>2022</v>
      </c>
      <c r="F74" s="819">
        <v>2023</v>
      </c>
      <c r="G74" s="819">
        <v>2024</v>
      </c>
      <c r="H74" s="1283">
        <v>2025</v>
      </c>
      <c r="I74" s="836">
        <v>2026</v>
      </c>
      <c r="J74" s="837"/>
      <c r="L74" s="280"/>
      <c r="M74" s="1436">
        <v>2021</v>
      </c>
      <c r="N74" s="1436"/>
      <c r="O74" s="1436"/>
      <c r="P74" s="1436"/>
      <c r="Q74" s="1436"/>
      <c r="R74" s="1436"/>
      <c r="S74" s="1436"/>
      <c r="T74" s="1436"/>
      <c r="U74" s="1436"/>
      <c r="V74" s="1436"/>
      <c r="W74" s="1436"/>
      <c r="X74" s="1437"/>
      <c r="Y74" s="1436">
        <v>2022</v>
      </c>
      <c r="Z74" s="1436"/>
      <c r="AA74" s="1436"/>
      <c r="AB74" s="1436"/>
      <c r="AC74" s="1436"/>
      <c r="AD74" s="1436"/>
      <c r="AE74" s="1436"/>
      <c r="AF74" s="1436"/>
      <c r="AG74" s="1436"/>
      <c r="AH74" s="1436"/>
      <c r="AI74" s="1436"/>
      <c r="AJ74" s="1437"/>
      <c r="AK74" s="1435">
        <v>2023</v>
      </c>
      <c r="AL74" s="1436"/>
      <c r="AM74" s="1436"/>
      <c r="AN74" s="1436"/>
      <c r="AO74" s="1436"/>
      <c r="AP74" s="1436"/>
      <c r="AQ74" s="1436"/>
      <c r="AR74" s="1436"/>
      <c r="AS74" s="1436"/>
      <c r="AT74" s="1436"/>
      <c r="AU74" s="1436"/>
      <c r="AV74" s="1437"/>
      <c r="AW74" s="1435">
        <v>2024</v>
      </c>
      <c r="AX74" s="1436"/>
      <c r="AY74" s="1436"/>
      <c r="AZ74" s="1436"/>
      <c r="BA74" s="1436"/>
      <c r="BB74" s="1436"/>
      <c r="BC74" s="1436"/>
      <c r="BD74" s="1436"/>
      <c r="BE74" s="1436"/>
      <c r="BF74" s="1436"/>
      <c r="BG74" s="1436"/>
      <c r="BH74" s="1437"/>
      <c r="BI74" s="1435">
        <v>2025</v>
      </c>
      <c r="BJ74" s="1436"/>
      <c r="BK74" s="1436"/>
      <c r="BL74" s="1436"/>
      <c r="BM74" s="1436"/>
      <c r="BN74" s="1436"/>
      <c r="BO74" s="1436"/>
      <c r="BP74" s="1436"/>
      <c r="BQ74" s="1436"/>
      <c r="BR74" s="1436"/>
      <c r="BS74" s="1436"/>
      <c r="BT74" s="1437"/>
      <c r="BU74" s="1435">
        <v>2026</v>
      </c>
      <c r="BV74" s="1436"/>
      <c r="BW74" s="1436"/>
      <c r="BX74" s="1436"/>
      <c r="BY74" s="1436"/>
      <c r="BZ74" s="1436"/>
      <c r="CA74" s="1436"/>
      <c r="CB74" s="1436"/>
      <c r="CC74" s="1436"/>
      <c r="CD74" s="1436"/>
      <c r="CE74" s="1436"/>
      <c r="CF74" s="1437"/>
      <c r="CR74" s="312"/>
    </row>
    <row r="75" spans="1:125" s="365" customFormat="1" x14ac:dyDescent="0.25">
      <c r="A75" s="9"/>
      <c r="B75" s="498" t="s">
        <v>501</v>
      </c>
      <c r="C75" s="1025">
        <f>TRIMMEAN(L75:BR75,2%)</f>
        <v>57.059322033898297</v>
      </c>
      <c r="D75" s="739">
        <f>AVERAGE(M75:X75)</f>
        <v>55.758333333333326</v>
      </c>
      <c r="E75" s="739">
        <f>AVERAGE(Y75:AJ75)</f>
        <v>45.077500000000008</v>
      </c>
      <c r="F75" s="739">
        <f>AVERAGE(AK75:AV75)</f>
        <v>49.631666666666668</v>
      </c>
      <c r="G75" s="739">
        <f>AVERAGE(AW75:BH75)</f>
        <v>62.772500000000008</v>
      </c>
      <c r="H75" s="1291">
        <f>AVERAGE(BI75:BT75)</f>
        <v>69.018333333333345</v>
      </c>
      <c r="I75" s="824">
        <f>AVERAGE(BU75:CF75)</f>
        <v>70.787205109597792</v>
      </c>
      <c r="J75" s="824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60">
        <f>X60</f>
        <v>83.15</v>
      </c>
      <c r="W75" s="399">
        <f>Z60/2</f>
        <v>50.664999999999999</v>
      </c>
      <c r="X75" s="1272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7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7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7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7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 x14ac:dyDescent="0.25">
      <c r="A76" s="9"/>
      <c r="B76" s="465" t="s">
        <v>502</v>
      </c>
      <c r="C76" s="1026">
        <f>TRIMMEAN(Y58:BT58,5%)</f>
        <v>0.53342087533822846</v>
      </c>
      <c r="E76" s="508"/>
      <c r="F76" s="508"/>
      <c r="G76" s="508"/>
      <c r="H76" s="1292"/>
      <c r="I76" s="825"/>
      <c r="J76" s="825"/>
      <c r="K76" s="9"/>
      <c r="L76" s="605"/>
      <c r="V76" s="1204"/>
      <c r="W76" s="605"/>
      <c r="X76" s="1273"/>
      <c r="AH76" s="1220"/>
      <c r="AI76" s="279"/>
      <c r="AJ76" s="279"/>
      <c r="AK76" s="279"/>
      <c r="AL76" s="279"/>
      <c r="AT76" s="1220"/>
      <c r="AU76" s="279"/>
      <c r="AV76" s="279"/>
      <c r="AW76" s="279"/>
      <c r="AX76" s="279"/>
      <c r="BA76" s="279"/>
      <c r="BB76" s="279"/>
      <c r="BC76" s="279"/>
      <c r="BD76" s="279"/>
      <c r="BF76" s="1220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20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 x14ac:dyDescent="0.25">
      <c r="A77" s="9"/>
      <c r="B77" s="466" t="s">
        <v>519</v>
      </c>
      <c r="C77" s="1008">
        <f>AVERAGEA(Z51,AB51,AD51,AF51,AH51,AJ51,AL51,AN51,AP51,AR51,AT51,AV51,AX51,AZ51,BB51,BD51,BF51,BH51,BJ51,BL51,BN51,BP51,BR51,BT51)</f>
        <v>65.651250000000005</v>
      </c>
      <c r="D77" s="821">
        <f>AVERAGE(M77:X77)</f>
        <v>27.627499999999998</v>
      </c>
      <c r="E77" s="821">
        <f>AVERAGE(Y77:AJ77)</f>
        <v>29.68416666666667</v>
      </c>
      <c r="F77" s="821">
        <f>AVERAGE(AK77:AV77)</f>
        <v>29.741666666666671</v>
      </c>
      <c r="G77" s="821">
        <f>AVERAGE(AW77:BH77)</f>
        <v>37.655833333333341</v>
      </c>
      <c r="H77" s="1293">
        <f>AVERAGE(BI77:BT77)</f>
        <v>32.884166666666673</v>
      </c>
      <c r="I77" s="826">
        <f>AVERAGE(BU77:CF77)</f>
        <v>28.408825087758672</v>
      </c>
      <c r="J77" s="826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61">
        <f>X51</f>
        <v>15.24</v>
      </c>
      <c r="W77" s="367">
        <f>Z51/2</f>
        <v>35.835000000000001</v>
      </c>
      <c r="X77" s="1274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6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6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6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6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62"/>
    </row>
    <row r="78" spans="1:125" s="64" customFormat="1" x14ac:dyDescent="0.25">
      <c r="A78" s="9"/>
      <c r="B78" s="465" t="s">
        <v>504</v>
      </c>
      <c r="C78" s="1027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94">
        <f>AVERAGE(BI78:BT78)</f>
        <v>64.613315335047133</v>
      </c>
      <c r="I78" s="827">
        <f>AVERAGE(BU78:CF78)</f>
        <v>63.873821025060913</v>
      </c>
      <c r="J78" s="827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204">
        <f t="shared" si="273"/>
        <v>51.025107389050113</v>
      </c>
      <c r="W78" s="606">
        <f t="shared" si="273"/>
        <v>31.058761019421805</v>
      </c>
      <c r="X78" s="1273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20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20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20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20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 x14ac:dyDescent="0.25">
      <c r="A79" s="9"/>
      <c r="B79" s="499" t="s">
        <v>520</v>
      </c>
      <c r="C79" s="1028">
        <f>AVERAGEA(M79:BR79)</f>
        <v>1.8936414710097089</v>
      </c>
      <c r="D79" s="822">
        <f>AVERAGE(M79:X79)</f>
        <v>-4.3872038788803183</v>
      </c>
      <c r="E79" s="822">
        <f>AVERAGE(Y79:AJ79)</f>
        <v>-4.1913084028327967</v>
      </c>
      <c r="F79" s="822">
        <f>AVERAGE(AK79:AV79)</f>
        <v>6.9874947907938711</v>
      </c>
      <c r="G79" s="822">
        <f>AVERAGE(AW79:BH79)</f>
        <v>7.3104267510324918</v>
      </c>
      <c r="H79" s="1295">
        <f>AVERAGE(BI79:BT79)</f>
        <v>4.4050179982861914</v>
      </c>
      <c r="I79" s="828">
        <f>AVERAGE(BU79:CF79)</f>
        <v>6.9133840845368981</v>
      </c>
      <c r="J79" s="828"/>
      <c r="K79" s="9"/>
      <c r="L79" s="401">
        <f t="shared" ref="L79:AQ79" si="275">L75-L78</f>
        <v>81.071539211403746</v>
      </c>
      <c r="M79" s="888">
        <f t="shared" si="275"/>
        <v>15.22376743064703</v>
      </c>
      <c r="N79" s="886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62">
        <f t="shared" si="275"/>
        <v>32.124892610949892</v>
      </c>
      <c r="W79" s="1263">
        <f t="shared" si="275"/>
        <v>19.606238980578194</v>
      </c>
      <c r="X79" s="1275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8">
        <f t="shared" si="275"/>
        <v>3.6058470908397595</v>
      </c>
      <c r="AI79" s="1239">
        <f t="shared" si="275"/>
        <v>-4.4946585991740022</v>
      </c>
      <c r="AJ79" s="1243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8">
        <f t="shared" si="276"/>
        <v>2.0736283859154696</v>
      </c>
      <c r="AU79" s="1239">
        <f t="shared" si="276"/>
        <v>6.8516056258604223</v>
      </c>
      <c r="AV79" s="1243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8">
        <f t="shared" si="276"/>
        <v>3.9431226959017138</v>
      </c>
      <c r="BG79" s="1239">
        <f t="shared" si="276"/>
        <v>9.8400885558191149</v>
      </c>
      <c r="BH79" s="1243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8">
        <f t="shared" si="276"/>
        <v>10.602168216011854</v>
      </c>
      <c r="BS79" s="1239">
        <f t="shared" si="276"/>
        <v>8.4191909760669148</v>
      </c>
      <c r="BT79" s="1243">
        <f t="shared" si="276"/>
        <v>3.2427308061632871</v>
      </c>
      <c r="BU79" s="637">
        <f t="shared" ref="BU79:CF79" si="277">BU75-BU78</f>
        <v>6.4260961348223375</v>
      </c>
      <c r="BV79" s="637">
        <f t="shared" si="277"/>
        <v>10.493314839746624</v>
      </c>
      <c r="BW79" s="637">
        <f t="shared" si="277"/>
        <v>7.1585963410840989</v>
      </c>
      <c r="BX79" s="637">
        <f t="shared" si="277"/>
        <v>9.7468264260359092</v>
      </c>
      <c r="BY79" s="637">
        <f t="shared" si="277"/>
        <v>21.590504896131499</v>
      </c>
      <c r="BZ79" s="637">
        <f t="shared" si="277"/>
        <v>-5.0312902633729095</v>
      </c>
      <c r="CA79" s="637">
        <f t="shared" si="277"/>
        <v>1.2823877864079662</v>
      </c>
      <c r="CB79" s="637">
        <f t="shared" si="277"/>
        <v>15.332779676146401</v>
      </c>
      <c r="CC79" s="637">
        <f t="shared" si="277"/>
        <v>3.9055011834198083</v>
      </c>
      <c r="CD79" s="637">
        <f t="shared" si="277"/>
        <v>3.9055011834198083</v>
      </c>
      <c r="CE79" s="637">
        <f t="shared" si="277"/>
        <v>7.2180462227421032</v>
      </c>
      <c r="CF79" s="638">
        <f t="shared" si="277"/>
        <v>0.93234458785912722</v>
      </c>
      <c r="CG79" s="637">
        <f t="shared" ref="CG79:CH79" si="278">CG75-CG78</f>
        <v>0</v>
      </c>
      <c r="CH79" s="637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7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 x14ac:dyDescent="0.25">
      <c r="A80" s="9"/>
      <c r="B80" s="506" t="s">
        <v>521</v>
      </c>
      <c r="C80" s="1029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6">
        <f>HARMEAN(BL80:BV80)</f>
        <v>0.18740817957672445</v>
      </c>
      <c r="I80" s="829">
        <f>HARMEAN(BW80:CG80)</f>
        <v>0.16637672086535091</v>
      </c>
      <c r="J80" s="829"/>
      <c r="L80" s="406"/>
      <c r="N80" s="404">
        <f>N51/(L71+L71)</f>
        <v>0.40388888888888885</v>
      </c>
      <c r="O80" s="889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64">
        <f>X51/X72</f>
        <v>0.27709090909090911</v>
      </c>
      <c r="Y80" s="1277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83"/>
      <c r="AJ80" s="1240">
        <f>AJ51/AJ72</f>
        <v>0.24617886178861789</v>
      </c>
      <c r="AK80" s="407"/>
      <c r="AL80" s="890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83"/>
      <c r="AV80" s="1240">
        <f>AV51/AV72</f>
        <v>0.2493305439330544</v>
      </c>
      <c r="AW80" s="407"/>
      <c r="AX80" s="890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83"/>
      <c r="BH80" s="1240">
        <f>BH51/BH72</f>
        <v>0.22518248175182481</v>
      </c>
      <c r="BI80" s="407"/>
      <c r="BJ80" s="890">
        <f>BJ51/BJ72</f>
        <v>0.22275985663082437</v>
      </c>
      <c r="BL80" s="883">
        <f>BL51/BL72</f>
        <v>0.21801886792452829</v>
      </c>
      <c r="BN80" s="883">
        <f>BN51/BN72</f>
        <v>0.21722044728434503</v>
      </c>
      <c r="BP80" s="883">
        <f>BP51/BP72</f>
        <v>0.17623786407766989</v>
      </c>
      <c r="BR80" s="883">
        <f>BR51/BR72</f>
        <v>0.17784869976359338</v>
      </c>
      <c r="BS80" s="860"/>
      <c r="BT80" s="1240">
        <f>BT51/BT72</f>
        <v>0.17530944625407166</v>
      </c>
      <c r="BU80" s="1208"/>
      <c r="BV80" s="890">
        <f>BV51/BV72</f>
        <v>0.17169753086419753</v>
      </c>
      <c r="BW80" s="860"/>
      <c r="BX80" s="823">
        <f>BX51/BX72</f>
        <v>0.16637672086535091</v>
      </c>
      <c r="BY80" s="823"/>
      <c r="BZ80" s="823">
        <f>BZ51/BZ72</f>
        <v>0.16637672086535091</v>
      </c>
      <c r="CA80" s="823"/>
      <c r="CB80" s="823">
        <f>CB51/CB72</f>
        <v>0.16637672086535091</v>
      </c>
      <c r="CC80" s="823"/>
      <c r="CD80" s="823">
        <f>CD51/CD72</f>
        <v>0.16637672086535091</v>
      </c>
      <c r="CE80" s="860"/>
      <c r="CF80" s="860">
        <f>CF51/CF72</f>
        <v>0.16637672086535091</v>
      </c>
      <c r="CG80" s="891"/>
      <c r="CH80" s="992">
        <f>CH51/CH72</f>
        <v>0.16637672086535088</v>
      </c>
      <c r="CR80" s="557"/>
    </row>
    <row r="81" spans="1:96" s="343" customFormat="1" x14ac:dyDescent="0.25">
      <c r="A81" s="9"/>
      <c r="B81" s="507" t="s">
        <v>522</v>
      </c>
      <c r="C81" s="1030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7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5">
        <f>W60/W72</f>
        <v>0.24398989898989898</v>
      </c>
      <c r="X81" s="1265">
        <f>X60/X72</f>
        <v>1.5118181818181819</v>
      </c>
      <c r="Z81" s="887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41">
        <f>AJ60/AJ72</f>
        <v>0.39605691056910564</v>
      </c>
      <c r="AL81" s="949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41">
        <f>AV60/AV72</f>
        <v>0.42887029288702927</v>
      </c>
      <c r="AX81" s="949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41">
        <f>BH60/BH72</f>
        <v>0.3823357664233577</v>
      </c>
      <c r="BJ81" s="949">
        <f>BJ60/BJ72</f>
        <v>0.38594982078853052</v>
      </c>
      <c r="BL81" s="950">
        <f>BL60/BL72</f>
        <v>0.39902515723270443</v>
      </c>
      <c r="BN81" s="950">
        <f>BN60/BN72</f>
        <v>0.39840255591054313</v>
      </c>
      <c r="BP81" s="950">
        <f>BP60/BP72</f>
        <v>0.35436893203883496</v>
      </c>
      <c r="BR81" s="950">
        <f>BR60/BR72</f>
        <v>0.40014184397163116</v>
      </c>
      <c r="BS81" s="345"/>
      <c r="BT81" s="1225">
        <f>BT60/BT72</f>
        <v>0.42315960912052125</v>
      </c>
      <c r="BU81" s="379"/>
      <c r="BV81" s="950">
        <f>BV60/BV72</f>
        <v>0.40574074074074079</v>
      </c>
      <c r="BW81" s="379"/>
      <c r="BX81" s="993">
        <f>BX60/BX72</f>
        <v>0.42450253031534635</v>
      </c>
      <c r="BY81" s="379"/>
      <c r="BZ81" s="993">
        <f>BZ60/BZ72</f>
        <v>0.42375809035132761</v>
      </c>
      <c r="CA81" s="379"/>
      <c r="CB81" s="993">
        <f>CB60/CB72</f>
        <v>0.4099394235192298</v>
      </c>
      <c r="CC81" s="379"/>
      <c r="CD81" s="993">
        <f>CD60/CD72</f>
        <v>0.41170464858542571</v>
      </c>
      <c r="CE81" s="1080"/>
      <c r="CF81" s="1080">
        <f>CF60/CF72</f>
        <v>0.39272069136617438</v>
      </c>
      <c r="CG81" s="1306"/>
      <c r="CH81" s="1307">
        <f>CH60/CH72</f>
        <v>0.43076623216313836</v>
      </c>
      <c r="CR81" s="558"/>
    </row>
    <row r="82" spans="1:96" x14ac:dyDescent="0.25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 x14ac:dyDescent="0.25">
      <c r="B83" s="511" t="s">
        <v>508</v>
      </c>
      <c r="C83" s="510">
        <v>0.1217</v>
      </c>
      <c r="E83" s="738"/>
      <c r="F83" s="738"/>
      <c r="G83" s="738"/>
      <c r="H83" s="738"/>
      <c r="I83" s="738"/>
      <c r="J83" s="738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 x14ac:dyDescent="0.25">
      <c r="B84" s="511" t="s">
        <v>509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 x14ac:dyDescent="0.25">
      <c r="B85" s="511" t="s">
        <v>510</v>
      </c>
      <c r="C85" s="510">
        <v>14</v>
      </c>
      <c r="D85" s="738"/>
      <c r="E85" s="738"/>
      <c r="F85" s="738"/>
      <c r="G85" s="738"/>
      <c r="H85" s="738"/>
      <c r="I85" s="738"/>
      <c r="J85" s="738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 x14ac:dyDescent="0.25">
      <c r="B86" s="46" t="s">
        <v>1169</v>
      </c>
      <c r="C86" s="1331">
        <v>0.69</v>
      </c>
      <c r="N86" s="119"/>
      <c r="P86" s="119"/>
      <c r="R86" s="119"/>
      <c r="T86" s="119"/>
      <c r="V86" s="119"/>
      <c r="X86" s="119"/>
      <c r="Z86" s="119"/>
    </row>
    <row r="87" spans="1:96" x14ac:dyDescent="0.25">
      <c r="O87" s="1443"/>
      <c r="P87" s="1443"/>
    </row>
    <row r="88" spans="1:96" s="469" customFormat="1" ht="37.5" customHeight="1" x14ac:dyDescent="0.25">
      <c r="D88" s="467" t="s">
        <v>523</v>
      </c>
      <c r="E88" s="467" t="s">
        <v>524</v>
      </c>
      <c r="F88" s="467" t="s">
        <v>525</v>
      </c>
      <c r="G88" s="467" t="s">
        <v>526</v>
      </c>
      <c r="H88" s="467" t="s">
        <v>527</v>
      </c>
      <c r="I88" s="467" t="s">
        <v>1100</v>
      </c>
      <c r="J88" s="467" t="s">
        <v>1099</v>
      </c>
      <c r="K88" s="584" t="s">
        <v>1102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1099</v>
      </c>
      <c r="S88" s="584" t="s">
        <v>1102</v>
      </c>
    </row>
    <row r="89" spans="1:96" x14ac:dyDescent="0.25">
      <c r="C89" s="49" t="s">
        <v>530</v>
      </c>
      <c r="D89" s="1067">
        <f t="shared" ref="D89:I89" si="279">D34</f>
        <v>67.649166666666659</v>
      </c>
      <c r="E89" s="1067">
        <f t="shared" si="279"/>
        <v>22.731666666666666</v>
      </c>
      <c r="F89" s="1067">
        <f t="shared" si="279"/>
        <v>39.980833333333329</v>
      </c>
      <c r="G89" s="1067">
        <f t="shared" si="279"/>
        <v>65.647499999999994</v>
      </c>
      <c r="H89" s="1067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72">
        <f t="shared" ref="L89:Q89" si="280">D17</f>
        <v>1132.32</v>
      </c>
      <c r="M89" s="1072">
        <f t="shared" si="280"/>
        <v>272.77999999999997</v>
      </c>
      <c r="N89" s="1072">
        <f t="shared" si="280"/>
        <v>479.77</v>
      </c>
      <c r="O89" s="1072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530</v>
      </c>
    </row>
    <row r="90" spans="1:96" x14ac:dyDescent="0.25">
      <c r="C90" s="49" t="s">
        <v>531</v>
      </c>
      <c r="D90" s="1068">
        <f t="shared" ref="D90:I90" si="281">D36</f>
        <v>28.188333333333333</v>
      </c>
      <c r="E90" s="1068">
        <f t="shared" si="281"/>
        <v>6.5100000000000007</v>
      </c>
      <c r="F90" s="1068">
        <f t="shared" si="281"/>
        <v>20.685833333333335</v>
      </c>
      <c r="G90" s="1068">
        <f t="shared" si="281"/>
        <v>25.650833333333328</v>
      </c>
      <c r="H90" s="1068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73"/>
      <c r="M90" s="1073"/>
      <c r="N90" s="1073"/>
      <c r="O90" s="1073"/>
      <c r="P90" s="578"/>
      <c r="Q90" s="578"/>
      <c r="R90" s="323"/>
      <c r="S90" s="583"/>
      <c r="T90" s="63" t="s">
        <v>531</v>
      </c>
    </row>
    <row r="91" spans="1:96" x14ac:dyDescent="0.25">
      <c r="C91" s="49" t="s">
        <v>532</v>
      </c>
      <c r="D91" s="1071">
        <f t="shared" ref="D91:I91" si="283">D29</f>
        <v>101</v>
      </c>
      <c r="E91" s="1071">
        <f t="shared" si="283"/>
        <v>20</v>
      </c>
      <c r="F91" s="1071">
        <f t="shared" si="283"/>
        <v>34</v>
      </c>
      <c r="G91" s="1071">
        <f t="shared" si="283"/>
        <v>43</v>
      </c>
      <c r="H91" s="1071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74">
        <f t="shared" ref="L91:Q91" si="284">D28</f>
        <v>1206</v>
      </c>
      <c r="M91" s="1074">
        <f t="shared" si="284"/>
        <v>239</v>
      </c>
      <c r="N91" s="1074">
        <f t="shared" si="284"/>
        <v>407</v>
      </c>
      <c r="O91" s="1074">
        <f t="shared" si="284"/>
        <v>521</v>
      </c>
      <c r="P91" s="644">
        <f t="shared" si="284"/>
        <v>545</v>
      </c>
      <c r="Q91" s="644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1103</v>
      </c>
    </row>
    <row r="92" spans="1:96" x14ac:dyDescent="0.25">
      <c r="C92" s="49" t="s">
        <v>533</v>
      </c>
      <c r="D92" s="1070">
        <f t="shared" ref="D92:I92" si="286">D40</f>
        <v>0.2445387984807168</v>
      </c>
      <c r="E92" s="1070">
        <f t="shared" si="286"/>
        <v>0.21997962528354686</v>
      </c>
      <c r="F92" s="1070">
        <f t="shared" si="286"/>
        <v>0.59936529572122799</v>
      </c>
      <c r="G92" s="1070">
        <f t="shared" si="286"/>
        <v>0.5955959896489792</v>
      </c>
      <c r="H92" s="1070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5">
        <f t="shared" ref="L92:O92" si="287">L89/L91</f>
        <v>0.9389054726368159</v>
      </c>
      <c r="M92" s="1075">
        <f t="shared" si="287"/>
        <v>1.141338912133891</v>
      </c>
      <c r="N92" s="1075">
        <f t="shared" si="287"/>
        <v>1.1787960687960688</v>
      </c>
      <c r="O92" s="1075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1104</v>
      </c>
    </row>
    <row r="93" spans="1:96" s="469" customFormat="1" ht="49.5" customHeight="1" x14ac:dyDescent="0.25">
      <c r="D93" s="467" t="s">
        <v>534</v>
      </c>
      <c r="E93" s="467" t="s">
        <v>535</v>
      </c>
      <c r="F93" s="467" t="s">
        <v>536</v>
      </c>
      <c r="G93" s="467" t="s">
        <v>537</v>
      </c>
      <c r="H93" s="467" t="s">
        <v>538</v>
      </c>
      <c r="I93" s="467" t="s">
        <v>1101</v>
      </c>
      <c r="J93" s="467" t="s">
        <v>528</v>
      </c>
      <c r="K93" s="584" t="s">
        <v>1102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528</v>
      </c>
      <c r="S93" s="584" t="s">
        <v>1102</v>
      </c>
    </row>
    <row r="94" spans="1:96" x14ac:dyDescent="0.25">
      <c r="C94" s="49" t="s">
        <v>530</v>
      </c>
      <c r="D94" s="1067">
        <f t="shared" ref="D94:I94" si="288">D75</f>
        <v>55.758333333333326</v>
      </c>
      <c r="E94" s="1067">
        <f t="shared" si="288"/>
        <v>45.077500000000008</v>
      </c>
      <c r="F94" s="1067">
        <f t="shared" si="288"/>
        <v>49.631666666666668</v>
      </c>
      <c r="G94" s="1067">
        <f t="shared" si="288"/>
        <v>62.772500000000008</v>
      </c>
      <c r="H94" s="1067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6">
        <f t="shared" ref="L94:Q94" si="289">D60</f>
        <v>779.95999999999992</v>
      </c>
      <c r="M94" s="1076">
        <f t="shared" si="289"/>
        <v>540.93000000000006</v>
      </c>
      <c r="N94" s="1076">
        <f t="shared" si="289"/>
        <v>595.58000000000004</v>
      </c>
      <c r="O94" s="1076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530</v>
      </c>
    </row>
    <row r="95" spans="1:96" x14ac:dyDescent="0.25">
      <c r="C95" s="49" t="s">
        <v>531</v>
      </c>
      <c r="D95" s="1068">
        <f t="shared" ref="D95:I95" si="290">D77</f>
        <v>27.627499999999998</v>
      </c>
      <c r="E95" s="1068">
        <f t="shared" si="290"/>
        <v>29.68416666666667</v>
      </c>
      <c r="F95" s="1068">
        <f t="shared" si="290"/>
        <v>29.741666666666671</v>
      </c>
      <c r="G95" s="1068">
        <f t="shared" si="290"/>
        <v>37.655833333333341</v>
      </c>
      <c r="H95" s="1068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531</v>
      </c>
    </row>
    <row r="96" spans="1:96" x14ac:dyDescent="0.25">
      <c r="C96" s="49" t="s">
        <v>539</v>
      </c>
      <c r="D96" s="1069">
        <f t="shared" ref="D96:I96" si="292">D71/12</f>
        <v>162.66666666666666</v>
      </c>
      <c r="E96" s="1069">
        <f t="shared" si="292"/>
        <v>133.25</v>
      </c>
      <c r="F96" s="1069">
        <f t="shared" si="292"/>
        <v>115.33333333333333</v>
      </c>
      <c r="G96" s="1069">
        <f t="shared" si="292"/>
        <v>150</v>
      </c>
      <c r="H96" s="1069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7">
        <f t="shared" ref="L96:Q96" si="293">D71</f>
        <v>1952</v>
      </c>
      <c r="M96" s="1077">
        <f t="shared" si="293"/>
        <v>1599</v>
      </c>
      <c r="N96" s="1077">
        <f t="shared" si="293"/>
        <v>1384</v>
      </c>
      <c r="O96" s="1077">
        <f t="shared" si="293"/>
        <v>1800</v>
      </c>
      <c r="P96" s="645">
        <f t="shared" si="293"/>
        <v>2097</v>
      </c>
      <c r="Q96" s="645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539</v>
      </c>
    </row>
    <row r="97" spans="3:20" x14ac:dyDescent="0.25">
      <c r="C97" s="49" t="s">
        <v>540</v>
      </c>
      <c r="D97" s="1070">
        <f t="shared" ref="D97:I97" si="295">D80</f>
        <v>0.17511968624598015</v>
      </c>
      <c r="E97" s="1070">
        <f t="shared" si="295"/>
        <v>0.24194456530002781</v>
      </c>
      <c r="F97" s="1070">
        <f t="shared" si="295"/>
        <v>0.25890570924788986</v>
      </c>
      <c r="G97" s="1070">
        <f t="shared" si="295"/>
        <v>0.24907724691488814</v>
      </c>
      <c r="H97" s="1070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5">
        <f t="shared" ref="L97:O97" si="296">L94/L96</f>
        <v>0.39956967213114752</v>
      </c>
      <c r="M97" s="1075">
        <f t="shared" si="296"/>
        <v>0.33829268292682929</v>
      </c>
      <c r="N97" s="1075">
        <f t="shared" si="296"/>
        <v>0.43033236994219654</v>
      </c>
      <c r="O97" s="1075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540</v>
      </c>
    </row>
    <row r="98" spans="3:20" x14ac:dyDescent="0.25">
      <c r="K98" s="49" t="s">
        <v>458</v>
      </c>
      <c r="L98" s="643">
        <f t="shared" ref="L98:Q98" si="297">L89+L94</f>
        <v>1912.2799999999997</v>
      </c>
      <c r="M98" s="643">
        <f t="shared" si="297"/>
        <v>813.71</v>
      </c>
      <c r="N98" s="643">
        <f t="shared" si="297"/>
        <v>1075.3499999999999</v>
      </c>
      <c r="O98" s="643">
        <f t="shared" si="297"/>
        <v>1541.04</v>
      </c>
      <c r="P98" s="643">
        <f t="shared" si="297"/>
        <v>1569.8400000000001</v>
      </c>
      <c r="Q98" s="643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 x14ac:dyDescent="0.25">
      <c r="D99" s="468" t="s">
        <v>541</v>
      </c>
      <c r="E99" s="468" t="s">
        <v>542</v>
      </c>
      <c r="F99" s="468" t="s">
        <v>543</v>
      </c>
      <c r="G99" s="468" t="s">
        <v>544</v>
      </c>
      <c r="H99" s="468" t="s">
        <v>545</v>
      </c>
      <c r="I99" s="468" t="s">
        <v>1105</v>
      </c>
      <c r="J99" s="468" t="s">
        <v>1099</v>
      </c>
      <c r="K99" s="582" t="s">
        <v>529</v>
      </c>
    </row>
    <row r="100" spans="3:20" x14ac:dyDescent="0.25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8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 x14ac:dyDescent="0.25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 x14ac:dyDescent="0.25">
      <c r="C104" s="500" t="s">
        <v>482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 x14ac:dyDescent="0.25">
      <c r="C105" s="503" t="s">
        <v>483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 x14ac:dyDescent="0.25">
      <c r="C106" s="497" t="s">
        <v>484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 x14ac:dyDescent="0.25">
      <c r="C107" s="63" t="s">
        <v>485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 x14ac:dyDescent="0.25">
      <c r="C108" s="63" t="s">
        <v>486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 x14ac:dyDescent="0.25">
      <c r="C109" s="63" t="s">
        <v>487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 x14ac:dyDescent="0.25">
      <c r="C110" s="63" t="s">
        <v>488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 x14ac:dyDescent="0.25">
      <c r="C111" s="63" t="s">
        <v>489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 x14ac:dyDescent="0.25">
      <c r="C112" s="500" t="s">
        <v>490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 x14ac:dyDescent="0.25">
      <c r="C113" s="504" t="s">
        <v>491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I49:CT49"/>
    <mergeCell ref="BW49:CH49"/>
    <mergeCell ref="AM49:AX49"/>
    <mergeCell ref="AY49:BJ49"/>
    <mergeCell ref="BK49:BV49"/>
    <mergeCell ref="AK74:AV74"/>
    <mergeCell ref="AW74:BH74"/>
    <mergeCell ref="BI74:BT74"/>
    <mergeCell ref="BU74:CF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BU4:CF4"/>
    <mergeCell ref="AK4:AV4"/>
    <mergeCell ref="AW4:BH4"/>
    <mergeCell ref="V3:Y3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L62:DM64 L50:DM60 BV28:DM30 M6:DM17 L40:DM41">
    <cfRule type="expression" dxfId="17" priority="18">
      <formula>INDIRECT("R2C"&amp;COLUMN(),FALSE)=TRUE</formula>
    </cfRule>
  </conditionalFormatting>
  <conditionalFormatting sqref="L31:DM31 L23:DM27 L34:DM39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activeCell="A2" sqref="A2"/>
      <selection pane="topRight" activeCell="B2" sqref="B2"/>
      <selection pane="bottomLeft" activeCell="A7" sqref="A7"/>
      <selection pane="bottomRight" activeCell="BK18" sqref="BK18"/>
    </sheetView>
  </sheetViews>
  <sheetFormatPr defaultColWidth="9.140625" defaultRowHeight="15" x14ac:dyDescent="0.2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 x14ac:dyDescent="0.25">
      <c r="A1" s="40">
        <f>BILANCIO!B2</f>
        <v>46113</v>
      </c>
    </row>
    <row r="2" spans="1:77" s="136" customFormat="1" x14ac:dyDescent="0.25">
      <c r="A2" s="133" t="str">
        <f>CONCATENATE(MONTH(A1)," ",VLOOKUP(MONTH(A1),A45:B56,2,FALSE)," ",YEAR(A1))</f>
        <v>4 APRILE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 x14ac:dyDescent="0.25">
      <c r="A3" s="1355" t="s">
        <v>61</v>
      </c>
      <c r="B3" s="1356" t="s">
        <v>449</v>
      </c>
      <c r="AK3" s="9"/>
    </row>
    <row r="4" spans="1:77" x14ac:dyDescent="0.25">
      <c r="A4" s="1355" t="s">
        <v>63</v>
      </c>
      <c r="B4" s="1356" t="s">
        <v>449</v>
      </c>
    </row>
    <row r="5" spans="1:77" s="136" customFormat="1" x14ac:dyDescent="0.25">
      <c r="B5" s="133" t="s">
        <v>546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 x14ac:dyDescent="0.25">
      <c r="A6" s="1355" t="s">
        <v>450</v>
      </c>
      <c r="B6" s="1371" t="s">
        <v>451</v>
      </c>
      <c r="C6" s="1372"/>
      <c r="D6" s="1372"/>
      <c r="E6" s="1372"/>
      <c r="F6" s="1372"/>
      <c r="G6" s="1372"/>
      <c r="H6" s="1372"/>
      <c r="I6" s="1372"/>
      <c r="J6" s="1372"/>
      <c r="K6" s="1372"/>
      <c r="L6" s="1372"/>
      <c r="M6" s="1372"/>
      <c r="N6" s="1372"/>
      <c r="O6" s="1372"/>
      <c r="P6" s="1372"/>
      <c r="Q6" s="1372"/>
      <c r="R6" s="1372"/>
      <c r="S6" s="1372"/>
      <c r="T6" s="1372"/>
      <c r="U6" s="1372"/>
      <c r="V6" s="1372"/>
      <c r="W6" s="1372"/>
      <c r="X6" s="1372"/>
      <c r="Y6" s="1372"/>
      <c r="Z6" s="1372"/>
      <c r="AA6" s="1372"/>
      <c r="AB6" s="1372"/>
      <c r="AC6" s="1372"/>
      <c r="AD6" s="1372"/>
      <c r="AE6" s="1372"/>
      <c r="AF6" s="1372"/>
      <c r="AG6" s="1372"/>
      <c r="AH6" s="1372"/>
      <c r="AI6" s="1372"/>
      <c r="AJ6" s="1372"/>
      <c r="AK6" s="1372"/>
      <c r="AL6" s="1372"/>
      <c r="AM6" s="1372"/>
      <c r="AN6" s="1372"/>
      <c r="AO6" s="1372"/>
      <c r="AP6" s="1372"/>
      <c r="AQ6" s="1372"/>
      <c r="AR6" s="1372"/>
      <c r="AS6" s="1372"/>
      <c r="AT6" s="1372"/>
      <c r="AU6" s="1372"/>
      <c r="AV6" s="1372"/>
      <c r="AW6" s="1372"/>
      <c r="AX6" s="1372"/>
      <c r="AY6" s="1372"/>
      <c r="AZ6" s="1372"/>
      <c r="BA6" s="1372"/>
      <c r="BB6" s="1372"/>
      <c r="BC6" s="1372"/>
      <c r="BD6" s="1372"/>
      <c r="BE6" s="1372"/>
      <c r="BF6" s="1372"/>
      <c r="BG6" s="1372"/>
      <c r="BH6" s="1372"/>
      <c r="BI6" s="1372"/>
      <c r="BJ6" s="1372"/>
      <c r="BK6" s="1372"/>
      <c r="BL6" s="1372"/>
      <c r="BM6" s="1372"/>
      <c r="BN6" s="1372"/>
      <c r="BO6" s="1372"/>
      <c r="BP6" s="1372"/>
      <c r="BQ6" s="1372"/>
      <c r="BR6"/>
      <c r="BS6"/>
      <c r="BT6"/>
      <c r="BU6"/>
      <c r="BV6"/>
      <c r="BW6"/>
      <c r="BX6"/>
      <c r="BY6"/>
    </row>
    <row r="7" spans="1:77" x14ac:dyDescent="0.25">
      <c r="A7" s="1355" t="s">
        <v>452</v>
      </c>
      <c r="B7" s="1372" t="s">
        <v>1163</v>
      </c>
      <c r="C7" s="1372" t="s">
        <v>929</v>
      </c>
      <c r="D7" s="1372" t="s">
        <v>930</v>
      </c>
      <c r="E7" s="1372" t="s">
        <v>931</v>
      </c>
      <c r="F7" s="1372" t="s">
        <v>932</v>
      </c>
      <c r="G7" s="1372" t="s">
        <v>933</v>
      </c>
      <c r="H7" s="1372" t="s">
        <v>934</v>
      </c>
      <c r="I7" s="1372" t="s">
        <v>935</v>
      </c>
      <c r="J7" s="1372" t="s">
        <v>936</v>
      </c>
      <c r="K7" s="1372" t="s">
        <v>937</v>
      </c>
      <c r="L7" s="1372" t="s">
        <v>938</v>
      </c>
      <c r="M7" s="1372" t="s">
        <v>939</v>
      </c>
      <c r="N7" s="1372" t="s">
        <v>940</v>
      </c>
      <c r="O7" s="1372" t="s">
        <v>941</v>
      </c>
      <c r="P7" s="1372" t="s">
        <v>942</v>
      </c>
      <c r="Q7" s="1372" t="s">
        <v>943</v>
      </c>
      <c r="R7" s="1372" t="s">
        <v>944</v>
      </c>
      <c r="S7" s="1372" t="s">
        <v>945</v>
      </c>
      <c r="T7" s="1372" t="s">
        <v>946</v>
      </c>
      <c r="U7" s="1372" t="s">
        <v>947</v>
      </c>
      <c r="V7" s="1372" t="s">
        <v>948</v>
      </c>
      <c r="W7" s="1372" t="s">
        <v>949</v>
      </c>
      <c r="X7" s="1372" t="s">
        <v>950</v>
      </c>
      <c r="Y7" s="1372" t="s">
        <v>951</v>
      </c>
      <c r="Z7" s="1372" t="s">
        <v>952</v>
      </c>
      <c r="AA7" s="1372" t="s">
        <v>953</v>
      </c>
      <c r="AB7" s="1372" t="s">
        <v>954</v>
      </c>
      <c r="AC7" s="1372" t="s">
        <v>955</v>
      </c>
      <c r="AD7" s="1372" t="s">
        <v>956</v>
      </c>
      <c r="AE7" s="1372" t="s">
        <v>957</v>
      </c>
      <c r="AF7" s="1372" t="s">
        <v>958</v>
      </c>
      <c r="AG7" s="1372" t="s">
        <v>959</v>
      </c>
      <c r="AH7" s="1372" t="s">
        <v>960</v>
      </c>
      <c r="AI7" s="1372" t="s">
        <v>961</v>
      </c>
      <c r="AJ7" s="1372" t="s">
        <v>962</v>
      </c>
      <c r="AK7" s="1372" t="s">
        <v>963</v>
      </c>
      <c r="AL7" s="1372" t="s">
        <v>964</v>
      </c>
      <c r="AM7" s="1372" t="s">
        <v>965</v>
      </c>
      <c r="AN7" s="1372" t="s">
        <v>966</v>
      </c>
      <c r="AO7" s="1372" t="s">
        <v>967</v>
      </c>
      <c r="AP7" s="1372" t="s">
        <v>968</v>
      </c>
      <c r="AQ7" s="1372" t="s">
        <v>969</v>
      </c>
      <c r="AR7" s="1372" t="s">
        <v>970</v>
      </c>
      <c r="AS7" s="1372" t="s">
        <v>971</v>
      </c>
      <c r="AT7" s="1372" t="s">
        <v>972</v>
      </c>
      <c r="AU7" s="1372" t="s">
        <v>973</v>
      </c>
      <c r="AV7" s="1372" t="s">
        <v>974</v>
      </c>
      <c r="AW7" s="1372" t="s">
        <v>975</v>
      </c>
      <c r="AX7" s="1372" t="s">
        <v>976</v>
      </c>
      <c r="AY7" s="1372" t="s">
        <v>977</v>
      </c>
      <c r="AZ7" s="1372" t="s">
        <v>978</v>
      </c>
      <c r="BA7" s="1372" t="s">
        <v>791</v>
      </c>
      <c r="BB7" s="1372" t="s">
        <v>819</v>
      </c>
      <c r="BC7" s="1372" t="s">
        <v>824</v>
      </c>
      <c r="BD7" s="1372" t="s">
        <v>832</v>
      </c>
      <c r="BE7" s="1372" t="s">
        <v>847</v>
      </c>
      <c r="BF7" s="1372" t="s">
        <v>848</v>
      </c>
      <c r="BG7" s="1372" t="s">
        <v>878</v>
      </c>
      <c r="BH7" s="1372" t="s">
        <v>912</v>
      </c>
      <c r="BI7" s="1372" t="s">
        <v>913</v>
      </c>
      <c r="BJ7" s="1372" t="s">
        <v>1061</v>
      </c>
      <c r="BK7" s="1372" t="s">
        <v>1114</v>
      </c>
      <c r="BL7" s="1372" t="s">
        <v>1125</v>
      </c>
      <c r="BM7" s="1356" t="s">
        <v>1131</v>
      </c>
      <c r="BN7" s="1356" t="s">
        <v>1164</v>
      </c>
      <c r="BO7" s="1356" t="s">
        <v>1193</v>
      </c>
      <c r="BP7" s="1356" t="s">
        <v>1194</v>
      </c>
      <c r="BQ7" s="1372" t="s">
        <v>453</v>
      </c>
      <c r="BR7"/>
      <c r="BS7"/>
      <c r="BT7"/>
      <c r="BU7"/>
      <c r="BV7"/>
      <c r="BW7"/>
      <c r="BX7"/>
      <c r="BY7"/>
    </row>
    <row r="8" spans="1:77" hidden="1" x14ac:dyDescent="0.25">
      <c r="A8" s="1357" t="s">
        <v>547</v>
      </c>
      <c r="B8" s="1373"/>
      <c r="C8" s="1373">
        <v>-13000</v>
      </c>
      <c r="D8" s="1373">
        <v>-700</v>
      </c>
      <c r="E8" s="1373">
        <v>-800</v>
      </c>
      <c r="F8" s="1373">
        <v>-500</v>
      </c>
      <c r="G8" s="1373">
        <v>-500</v>
      </c>
      <c r="H8" s="1373">
        <v>-500</v>
      </c>
      <c r="I8" s="1373">
        <v>-500</v>
      </c>
      <c r="J8" s="1373">
        <v>-450</v>
      </c>
      <c r="K8" s="1373">
        <v>-500</v>
      </c>
      <c r="L8" s="1373"/>
      <c r="M8" s="1373"/>
      <c r="N8" s="1373"/>
      <c r="O8" s="1373"/>
      <c r="P8" s="1373"/>
      <c r="Q8" s="1373"/>
      <c r="R8" s="1373"/>
      <c r="S8" s="1373"/>
      <c r="T8" s="1373"/>
      <c r="U8" s="1373"/>
      <c r="V8" s="1373"/>
      <c r="W8" s="1373"/>
      <c r="X8" s="1373"/>
      <c r="Y8" s="1373"/>
      <c r="Z8" s="1373"/>
      <c r="AA8" s="1373"/>
      <c r="AB8" s="1373"/>
      <c r="AC8" s="1373"/>
      <c r="AD8" s="1373"/>
      <c r="AE8" s="1373"/>
      <c r="AF8" s="1373"/>
      <c r="AG8" s="1373"/>
      <c r="AH8" s="1373"/>
      <c r="AI8" s="1373"/>
      <c r="AJ8" s="1373"/>
      <c r="AK8" s="1373"/>
      <c r="AL8" s="1373"/>
      <c r="AM8" s="1373"/>
      <c r="AN8" s="1373"/>
      <c r="AO8" s="1373"/>
      <c r="AP8" s="1373"/>
      <c r="AQ8" s="1373"/>
      <c r="AR8" s="1373"/>
      <c r="AS8" s="1373"/>
      <c r="AT8" s="1373"/>
      <c r="AU8" s="1373"/>
      <c r="AV8" s="1373"/>
      <c r="AW8" s="1373"/>
      <c r="AX8" s="1373"/>
      <c r="AY8" s="1373"/>
      <c r="AZ8" s="1373"/>
      <c r="BA8" s="1373"/>
      <c r="BB8" s="1373"/>
      <c r="BC8" s="1373"/>
      <c r="BD8" s="1373"/>
      <c r="BE8" s="1373"/>
      <c r="BF8" s="1373"/>
      <c r="BG8" s="1373"/>
      <c r="BH8" s="1373"/>
      <c r="BI8" s="1373"/>
      <c r="BJ8" s="1373"/>
      <c r="BK8" s="1373"/>
      <c r="BL8" s="1373"/>
      <c r="BM8" s="1373"/>
      <c r="BN8" s="1373"/>
      <c r="BO8" s="1373"/>
      <c r="BP8" s="1373"/>
      <c r="BQ8" s="1374">
        <v>-17450</v>
      </c>
      <c r="BR8"/>
      <c r="BS8"/>
      <c r="BT8"/>
      <c r="BU8"/>
      <c r="BV8"/>
      <c r="BW8"/>
      <c r="BX8"/>
      <c r="BY8"/>
    </row>
    <row r="9" spans="1:77" x14ac:dyDescent="0.25">
      <c r="A9" s="1357" t="s">
        <v>548</v>
      </c>
      <c r="B9" s="1373"/>
      <c r="C9" s="1373"/>
      <c r="D9" s="1373"/>
      <c r="E9" s="1373"/>
      <c r="F9" s="1373"/>
      <c r="G9" s="1373"/>
      <c r="H9" s="1373"/>
      <c r="I9" s="1373"/>
      <c r="J9" s="1373"/>
      <c r="K9" s="1373"/>
      <c r="L9" s="1373"/>
      <c r="M9" s="1373"/>
      <c r="N9" s="1373"/>
      <c r="O9" s="1373"/>
      <c r="P9" s="1373"/>
      <c r="Q9" s="1373"/>
      <c r="R9" s="1373"/>
      <c r="S9" s="1373"/>
      <c r="T9" s="1373"/>
      <c r="U9" s="1373"/>
      <c r="V9" s="1373"/>
      <c r="W9" s="1373"/>
      <c r="X9" s="1373"/>
      <c r="Y9" s="1373"/>
      <c r="Z9" s="1373"/>
      <c r="AA9" s="1373"/>
      <c r="AB9" s="1373"/>
      <c r="AC9" s="1373"/>
      <c r="AD9" s="1373"/>
      <c r="AE9" s="1373"/>
      <c r="AF9" s="1373"/>
      <c r="AG9" s="1373"/>
      <c r="AH9" s="1373"/>
      <c r="AI9" s="1373"/>
      <c r="AJ9" s="1373"/>
      <c r="AK9" s="1373"/>
      <c r="AL9" s="1373"/>
      <c r="AM9" s="1373"/>
      <c r="AN9" s="1373"/>
      <c r="AO9" s="1373"/>
      <c r="AP9" s="1373"/>
      <c r="AQ9" s="1373"/>
      <c r="AR9" s="1373"/>
      <c r="AS9" s="1373"/>
      <c r="AT9" s="1373"/>
      <c r="AU9" s="1373"/>
      <c r="AV9" s="1373"/>
      <c r="AW9" s="1373"/>
      <c r="AX9" s="1373"/>
      <c r="AY9" s="1373"/>
      <c r="AZ9" s="1373"/>
      <c r="BA9" s="1373"/>
      <c r="BB9" s="1373"/>
      <c r="BC9" s="1373"/>
      <c r="BD9" s="1373"/>
      <c r="BE9" s="1373"/>
      <c r="BF9" s="1373"/>
      <c r="BG9" s="1373"/>
      <c r="BH9" s="1373"/>
      <c r="BI9" s="1373"/>
      <c r="BJ9" s="1373"/>
      <c r="BK9" s="1373"/>
      <c r="BL9" s="1373"/>
      <c r="BM9" s="1373"/>
      <c r="BN9" s="1373"/>
      <c r="BO9" s="1373"/>
      <c r="BP9" s="1373"/>
      <c r="BQ9" s="1374"/>
      <c r="BR9"/>
      <c r="BS9"/>
      <c r="BT9"/>
      <c r="BU9"/>
      <c r="BV9"/>
      <c r="BW9"/>
      <c r="BX9"/>
      <c r="BY9"/>
    </row>
    <row r="10" spans="1:77" hidden="1" x14ac:dyDescent="0.25">
      <c r="A10" s="1375" t="s">
        <v>549</v>
      </c>
      <c r="B10" s="1373"/>
      <c r="C10" s="1373"/>
      <c r="D10" s="1373"/>
      <c r="E10" s="1373"/>
      <c r="F10" s="1373">
        <v>-15.5</v>
      </c>
      <c r="G10" s="1373"/>
      <c r="H10" s="1373"/>
      <c r="I10" s="1373"/>
      <c r="J10" s="1373"/>
      <c r="K10" s="1373"/>
      <c r="L10" s="1373"/>
      <c r="M10" s="1373"/>
      <c r="N10" s="1373"/>
      <c r="O10" s="1373"/>
      <c r="P10" s="1373"/>
      <c r="Q10" s="1373"/>
      <c r="R10" s="1373"/>
      <c r="S10" s="1373"/>
      <c r="T10" s="1373"/>
      <c r="U10" s="1373"/>
      <c r="V10" s="1373"/>
      <c r="W10" s="1373"/>
      <c r="X10" s="1373"/>
      <c r="Y10" s="1373"/>
      <c r="Z10" s="1373"/>
      <c r="AA10" s="1373"/>
      <c r="AB10" s="1373"/>
      <c r="AC10" s="1373"/>
      <c r="AD10" s="1373"/>
      <c r="AE10" s="1373"/>
      <c r="AF10" s="1373"/>
      <c r="AG10" s="1373"/>
      <c r="AH10" s="1373"/>
      <c r="AI10" s="1373"/>
      <c r="AJ10" s="1373"/>
      <c r="AK10" s="1373"/>
      <c r="AL10" s="1373"/>
      <c r="AM10" s="1373"/>
      <c r="AN10" s="1373"/>
      <c r="AO10" s="1373"/>
      <c r="AP10" s="1373">
        <v>10.5</v>
      </c>
      <c r="AQ10" s="1373"/>
      <c r="AR10" s="1373"/>
      <c r="AS10" s="1373"/>
      <c r="AT10" s="1373"/>
      <c r="AU10" s="1373"/>
      <c r="AV10" s="1373"/>
      <c r="AW10" s="1373"/>
      <c r="AX10" s="1373"/>
      <c r="AY10" s="1373"/>
      <c r="AZ10" s="1373"/>
      <c r="BA10" s="1373"/>
      <c r="BB10" s="1373"/>
      <c r="BC10" s="1373"/>
      <c r="BD10" s="1373"/>
      <c r="BE10" s="1373"/>
      <c r="BF10" s="1373"/>
      <c r="BG10" s="1373"/>
      <c r="BH10" s="1373"/>
      <c r="BI10" s="1373"/>
      <c r="BJ10" s="1373"/>
      <c r="BK10" s="1373"/>
      <c r="BL10" s="1373"/>
      <c r="BM10" s="1373"/>
      <c r="BN10" s="1373"/>
      <c r="BO10" s="1373"/>
      <c r="BP10" s="1373"/>
      <c r="BQ10" s="1374">
        <v>-5</v>
      </c>
      <c r="BR10"/>
      <c r="BS10"/>
      <c r="BT10"/>
      <c r="BU10"/>
      <c r="BV10"/>
      <c r="BW10"/>
      <c r="BX10"/>
      <c r="BY10"/>
    </row>
    <row r="11" spans="1:77" x14ac:dyDescent="0.25">
      <c r="A11" s="1375" t="s">
        <v>550</v>
      </c>
      <c r="B11" s="1373">
        <v>0.56000000000000005</v>
      </c>
      <c r="C11" s="1373">
        <v>14.75</v>
      </c>
      <c r="D11" s="1373">
        <v>3.45</v>
      </c>
      <c r="E11" s="1373">
        <v>3.5</v>
      </c>
      <c r="F11" s="1373">
        <v>3.5</v>
      </c>
      <c r="G11" s="1373">
        <v>3.5</v>
      </c>
      <c r="H11" s="1373">
        <v>3.5</v>
      </c>
      <c r="I11" s="1373">
        <v>3.5</v>
      </c>
      <c r="J11" s="1373">
        <v>3.5</v>
      </c>
      <c r="K11" s="1373">
        <v>3.5</v>
      </c>
      <c r="L11" s="1373">
        <v>3.5</v>
      </c>
      <c r="M11" s="1373">
        <v>3.5</v>
      </c>
      <c r="N11" s="1373">
        <v>13.39</v>
      </c>
      <c r="O11" s="1373">
        <v>3.5</v>
      </c>
      <c r="P11" s="1373">
        <v>3.5</v>
      </c>
      <c r="Q11" s="1373">
        <v>15.04</v>
      </c>
      <c r="R11" s="1373">
        <v>3.5</v>
      </c>
      <c r="S11" s="1373">
        <v>3.57</v>
      </c>
      <c r="T11" s="1373">
        <v>3.5</v>
      </c>
      <c r="U11" s="1373">
        <v>3.5</v>
      </c>
      <c r="V11" s="1373">
        <v>3.5</v>
      </c>
      <c r="W11" s="1373">
        <v>36.369999999999997</v>
      </c>
      <c r="X11" s="1373">
        <v>3.5</v>
      </c>
      <c r="Y11" s="1373">
        <v>3.5</v>
      </c>
      <c r="Z11" s="1373">
        <v>3.5</v>
      </c>
      <c r="AA11" s="1373">
        <v>3.5</v>
      </c>
      <c r="AB11" s="1373">
        <v>3.5</v>
      </c>
      <c r="AC11" s="1373">
        <v>3.48</v>
      </c>
      <c r="AD11" s="1373">
        <v>3.5</v>
      </c>
      <c r="AE11" s="1373">
        <v>5.08</v>
      </c>
      <c r="AF11" s="1373">
        <v>3.5</v>
      </c>
      <c r="AG11" s="1373">
        <v>3.5</v>
      </c>
      <c r="AH11" s="1373">
        <v>3.5</v>
      </c>
      <c r="AI11" s="1373">
        <v>3.5</v>
      </c>
      <c r="AJ11" s="1373">
        <v>3.5</v>
      </c>
      <c r="AK11" s="1373">
        <v>3.5</v>
      </c>
      <c r="AL11" s="1373">
        <v>3.5</v>
      </c>
      <c r="AM11" s="1373">
        <v>3.5</v>
      </c>
      <c r="AN11" s="1373">
        <v>3.5</v>
      </c>
      <c r="AO11" s="1373">
        <v>16.38</v>
      </c>
      <c r="AP11" s="1373">
        <v>3.5</v>
      </c>
      <c r="AQ11" s="1373">
        <v>3.5</v>
      </c>
      <c r="AR11" s="1373">
        <v>3.5</v>
      </c>
      <c r="AS11" s="1373">
        <v>3.5</v>
      </c>
      <c r="AT11" s="1373">
        <v>3.5</v>
      </c>
      <c r="AU11" s="1373">
        <v>3.5</v>
      </c>
      <c r="AV11" s="1373">
        <v>3.5</v>
      </c>
      <c r="AW11" s="1373">
        <v>3.5</v>
      </c>
      <c r="AX11" s="1373">
        <v>3.5</v>
      </c>
      <c r="AY11" s="1373">
        <v>3.5</v>
      </c>
      <c r="AZ11" s="1373">
        <v>3.5</v>
      </c>
      <c r="BA11" s="1373">
        <v>3.4899999999999998</v>
      </c>
      <c r="BB11" s="1373">
        <v>3.5</v>
      </c>
      <c r="BC11" s="1373">
        <v>3.63</v>
      </c>
      <c r="BD11" s="1373">
        <v>3.5</v>
      </c>
      <c r="BE11" s="1373">
        <v>3.5</v>
      </c>
      <c r="BF11" s="1373">
        <v>3.5</v>
      </c>
      <c r="BG11" s="1373">
        <v>3.5</v>
      </c>
      <c r="BH11" s="1373">
        <v>3.5</v>
      </c>
      <c r="BI11" s="1373">
        <v>3.5</v>
      </c>
      <c r="BJ11" s="1373">
        <v>3.5</v>
      </c>
      <c r="BK11" s="1373">
        <v>3.5</v>
      </c>
      <c r="BL11" s="1373">
        <v>3.5</v>
      </c>
      <c r="BM11" s="1373">
        <v>3.48</v>
      </c>
      <c r="BN11" s="1373">
        <v>3.5</v>
      </c>
      <c r="BO11" s="1373">
        <v>3.95</v>
      </c>
      <c r="BP11" s="1373">
        <v>3.5</v>
      </c>
      <c r="BQ11" s="1374">
        <v>312.12</v>
      </c>
      <c r="BR11"/>
      <c r="BS11"/>
      <c r="BT11"/>
      <c r="BU11"/>
      <c r="BV11"/>
      <c r="BW11"/>
      <c r="BX11"/>
      <c r="BY11"/>
    </row>
    <row r="12" spans="1:77" hidden="1" x14ac:dyDescent="0.25">
      <c r="A12" s="1375" t="s">
        <v>551</v>
      </c>
      <c r="B12" s="1373"/>
      <c r="C12" s="1373">
        <v>152311.75</v>
      </c>
      <c r="D12" s="1373"/>
      <c r="E12" s="1373"/>
      <c r="F12" s="1373"/>
      <c r="G12" s="1373"/>
      <c r="H12" s="1373"/>
      <c r="I12" s="1373"/>
      <c r="J12" s="1373"/>
      <c r="K12" s="1373"/>
      <c r="L12" s="1373"/>
      <c r="M12" s="1373"/>
      <c r="N12" s="1373"/>
      <c r="O12" s="1373"/>
      <c r="P12" s="1373"/>
      <c r="Q12" s="1373"/>
      <c r="R12" s="1373"/>
      <c r="S12" s="1373"/>
      <c r="T12" s="1373"/>
      <c r="U12" s="1373"/>
      <c r="V12" s="1373"/>
      <c r="W12" s="1373"/>
      <c r="X12" s="1373"/>
      <c r="Y12" s="1373"/>
      <c r="Z12" s="1373"/>
      <c r="AA12" s="1373"/>
      <c r="AB12" s="1373"/>
      <c r="AC12" s="1373"/>
      <c r="AD12" s="1373"/>
      <c r="AE12" s="1373"/>
      <c r="AF12" s="1373"/>
      <c r="AG12" s="1373"/>
      <c r="AH12" s="1373"/>
      <c r="AI12" s="1373"/>
      <c r="AJ12" s="1373"/>
      <c r="AK12" s="1373"/>
      <c r="AL12" s="1373"/>
      <c r="AM12" s="1373"/>
      <c r="AN12" s="1373"/>
      <c r="AO12" s="1373"/>
      <c r="AP12" s="1373"/>
      <c r="AQ12" s="1373"/>
      <c r="AR12" s="1373"/>
      <c r="AS12" s="1373"/>
      <c r="AT12" s="1373"/>
      <c r="AU12" s="1373"/>
      <c r="AV12" s="1373"/>
      <c r="AW12" s="1373"/>
      <c r="AX12" s="1373"/>
      <c r="AY12" s="1373"/>
      <c r="AZ12" s="1373"/>
      <c r="BA12" s="1373"/>
      <c r="BB12" s="1373"/>
      <c r="BC12" s="1373"/>
      <c r="BD12" s="1373"/>
      <c r="BE12" s="1373"/>
      <c r="BF12" s="1373"/>
      <c r="BG12" s="1373"/>
      <c r="BH12" s="1373"/>
      <c r="BI12" s="1373"/>
      <c r="BJ12" s="1373"/>
      <c r="BK12" s="1373"/>
      <c r="BL12" s="1373"/>
      <c r="BM12" s="1373"/>
      <c r="BN12" s="1373"/>
      <c r="BO12" s="1373"/>
      <c r="BP12" s="1373"/>
      <c r="BQ12" s="1374">
        <v>152311.75</v>
      </c>
      <c r="BR12"/>
      <c r="BS12"/>
      <c r="BT12"/>
      <c r="BU12"/>
      <c r="BV12"/>
      <c r="BW12"/>
      <c r="BX12"/>
      <c r="BY12"/>
    </row>
    <row r="13" spans="1:77" hidden="1" x14ac:dyDescent="0.25">
      <c r="A13" s="1375" t="s">
        <v>474</v>
      </c>
      <c r="B13" s="1373"/>
      <c r="C13" s="1373"/>
      <c r="D13" s="1373"/>
      <c r="E13" s="1373"/>
      <c r="F13" s="1373">
        <v>67.06</v>
      </c>
      <c r="G13" s="1373">
        <v>51.06</v>
      </c>
      <c r="H13" s="1373">
        <v>51.06</v>
      </c>
      <c r="I13" s="1373">
        <v>51.06</v>
      </c>
      <c r="J13" s="1373">
        <v>51.06</v>
      </c>
      <c r="K13" s="1373">
        <v>51.06</v>
      </c>
      <c r="L13" s="1373">
        <v>51.06</v>
      </c>
      <c r="M13" s="1373">
        <v>51.06</v>
      </c>
      <c r="N13" s="1373">
        <v>51.06</v>
      </c>
      <c r="O13" s="1373">
        <v>51.06</v>
      </c>
      <c r="P13" s="1373">
        <v>51.06</v>
      </c>
      <c r="Q13" s="1373">
        <v>54.26</v>
      </c>
      <c r="R13" s="1373"/>
      <c r="S13" s="1373">
        <v>102.12</v>
      </c>
      <c r="T13" s="1373">
        <v>51.06</v>
      </c>
      <c r="U13" s="1373">
        <v>51.06</v>
      </c>
      <c r="V13" s="1373">
        <v>51.06</v>
      </c>
      <c r="W13" s="1373">
        <v>51.06</v>
      </c>
      <c r="X13" s="1373">
        <v>51.06</v>
      </c>
      <c r="Y13" s="1373">
        <v>51.06</v>
      </c>
      <c r="Z13" s="1373">
        <v>51.06</v>
      </c>
      <c r="AA13" s="1373">
        <v>51.06</v>
      </c>
      <c r="AB13" s="1373">
        <v>51.06</v>
      </c>
      <c r="AC13" s="1373">
        <v>54.26</v>
      </c>
      <c r="AD13" s="1373"/>
      <c r="AE13" s="1373">
        <v>102.12</v>
      </c>
      <c r="AF13" s="1373"/>
      <c r="AG13" s="1373">
        <v>102.12</v>
      </c>
      <c r="AH13" s="1373">
        <v>51.06</v>
      </c>
      <c r="AI13" s="1373">
        <v>51.06</v>
      </c>
      <c r="AJ13" s="1373">
        <v>51.06</v>
      </c>
      <c r="AK13" s="1373">
        <v>51.06</v>
      </c>
      <c r="AL13" s="1373">
        <v>51.06</v>
      </c>
      <c r="AM13" s="1373">
        <v>51.06</v>
      </c>
      <c r="AN13" s="1373">
        <v>51.06</v>
      </c>
      <c r="AO13" s="1373">
        <v>52.26</v>
      </c>
      <c r="AP13" s="1373"/>
      <c r="AQ13" s="1373"/>
      <c r="AR13" s="1373"/>
      <c r="AS13" s="1373"/>
      <c r="AT13" s="1373"/>
      <c r="AU13" s="1373"/>
      <c r="AV13" s="1373"/>
      <c r="AW13" s="1373"/>
      <c r="AX13" s="1373"/>
      <c r="AY13" s="1373"/>
      <c r="AZ13" s="1373"/>
      <c r="BA13" s="1373"/>
      <c r="BB13" s="1373"/>
      <c r="BC13" s="1373"/>
      <c r="BD13" s="1373"/>
      <c r="BE13" s="1373"/>
      <c r="BF13" s="1373"/>
      <c r="BG13" s="1373"/>
      <c r="BH13" s="1373"/>
      <c r="BI13" s="1373"/>
      <c r="BJ13" s="1373"/>
      <c r="BK13" s="1373"/>
      <c r="BL13" s="1373"/>
      <c r="BM13" s="1373"/>
      <c r="BN13" s="1373"/>
      <c r="BO13" s="1373"/>
      <c r="BP13" s="1373"/>
      <c r="BQ13" s="1374">
        <v>1861.7599999999991</v>
      </c>
      <c r="BR13"/>
      <c r="BS13"/>
      <c r="BT13"/>
      <c r="BU13"/>
      <c r="BV13"/>
      <c r="BW13"/>
      <c r="BX13"/>
      <c r="BY13"/>
    </row>
    <row r="14" spans="1:77" hidden="1" x14ac:dyDescent="0.25">
      <c r="A14" s="1375" t="s">
        <v>442</v>
      </c>
      <c r="B14" s="1373"/>
      <c r="C14" s="1373"/>
      <c r="D14" s="1373"/>
      <c r="E14" s="1373"/>
      <c r="F14" s="1373"/>
      <c r="G14" s="1373">
        <v>150</v>
      </c>
      <c r="H14" s="1373">
        <v>135.5</v>
      </c>
      <c r="I14" s="1373">
        <v>135.5</v>
      </c>
      <c r="J14" s="1373">
        <v>135.5</v>
      </c>
      <c r="K14" s="1373">
        <v>135.5</v>
      </c>
      <c r="L14" s="1373">
        <v>135.5</v>
      </c>
      <c r="M14" s="1373">
        <v>135.5</v>
      </c>
      <c r="N14" s="1373">
        <v>135.5</v>
      </c>
      <c r="O14" s="1373">
        <v>135.5</v>
      </c>
      <c r="P14" s="1373">
        <v>135.5</v>
      </c>
      <c r="Q14" s="1373">
        <v>135.5</v>
      </c>
      <c r="R14" s="1373">
        <v>135.5</v>
      </c>
      <c r="S14" s="1373">
        <v>135.5</v>
      </c>
      <c r="T14" s="1373">
        <v>135.5</v>
      </c>
      <c r="U14" s="1373">
        <v>135.5</v>
      </c>
      <c r="V14" s="1373">
        <v>135.5</v>
      </c>
      <c r="W14" s="1373">
        <v>135.5</v>
      </c>
      <c r="X14" s="1373">
        <v>135.5</v>
      </c>
      <c r="Y14" s="1373">
        <v>135.5</v>
      </c>
      <c r="Z14" s="1373">
        <v>135.5</v>
      </c>
      <c r="AA14" s="1373">
        <v>135.5</v>
      </c>
      <c r="AB14" s="1373">
        <v>135.5</v>
      </c>
      <c r="AC14" s="1373">
        <v>135.5</v>
      </c>
      <c r="AD14" s="1373">
        <v>135.5</v>
      </c>
      <c r="AE14" s="1373">
        <v>135.5</v>
      </c>
      <c r="AF14" s="1373">
        <v>135.5</v>
      </c>
      <c r="AG14" s="1373">
        <v>135.5</v>
      </c>
      <c r="AH14" s="1373">
        <v>135.5</v>
      </c>
      <c r="AI14" s="1373">
        <v>135.5</v>
      </c>
      <c r="AJ14" s="1373">
        <v>135.5</v>
      </c>
      <c r="AK14" s="1373">
        <v>135.5</v>
      </c>
      <c r="AL14" s="1373">
        <v>135.5</v>
      </c>
      <c r="AM14" s="1373">
        <v>135.5</v>
      </c>
      <c r="AN14" s="1373">
        <v>135.5</v>
      </c>
      <c r="AO14" s="1373">
        <v>135.5</v>
      </c>
      <c r="AP14" s="1373">
        <v>135.5</v>
      </c>
      <c r="AQ14" s="1373">
        <v>135.5</v>
      </c>
      <c r="AR14" s="1373">
        <v>135.5</v>
      </c>
      <c r="AS14" s="1373">
        <v>135.5</v>
      </c>
      <c r="AT14" s="1373">
        <v>135.5</v>
      </c>
      <c r="AU14" s="1373">
        <v>135.5</v>
      </c>
      <c r="AV14" s="1373">
        <v>135.5</v>
      </c>
      <c r="AW14" s="1373">
        <v>135.5</v>
      </c>
      <c r="AX14" s="1373">
        <v>135.5</v>
      </c>
      <c r="AY14" s="1373">
        <v>135.5</v>
      </c>
      <c r="AZ14" s="1373">
        <v>135.5</v>
      </c>
      <c r="BA14" s="1373">
        <v>135.5</v>
      </c>
      <c r="BB14" s="1373">
        <v>135.5</v>
      </c>
      <c r="BC14" s="1373"/>
      <c r="BD14" s="1373"/>
      <c r="BE14" s="1373"/>
      <c r="BF14" s="1373"/>
      <c r="BG14" s="1373"/>
      <c r="BH14" s="1373"/>
      <c r="BI14" s="1373"/>
      <c r="BJ14" s="1373"/>
      <c r="BK14" s="1373"/>
      <c r="BL14" s="1373"/>
      <c r="BM14" s="1373"/>
      <c r="BN14" s="1373"/>
      <c r="BO14" s="1373"/>
      <c r="BP14" s="1373"/>
      <c r="BQ14" s="1374">
        <v>6518.5</v>
      </c>
      <c r="BR14"/>
      <c r="BS14"/>
      <c r="BT14"/>
      <c r="BU14"/>
      <c r="BV14"/>
      <c r="BW14"/>
      <c r="BX14"/>
      <c r="BY14"/>
    </row>
    <row r="15" spans="1:77" hidden="1" x14ac:dyDescent="0.25">
      <c r="A15" s="1375" t="s">
        <v>476</v>
      </c>
      <c r="B15" s="1373"/>
      <c r="C15" s="1373"/>
      <c r="D15" s="1373"/>
      <c r="E15" s="1373"/>
      <c r="F15" s="1373"/>
      <c r="G15" s="1373"/>
      <c r="H15" s="1373"/>
      <c r="I15" s="1373">
        <v>67.540000000000006</v>
      </c>
      <c r="J15" s="1373">
        <v>67.540000000000006</v>
      </c>
      <c r="K15" s="1373">
        <v>67.540000000000006</v>
      </c>
      <c r="L15" s="1373">
        <v>67.540000000000006</v>
      </c>
      <c r="M15" s="1373">
        <v>67.540000000000006</v>
      </c>
      <c r="N15" s="1373">
        <v>67.540000000000006</v>
      </c>
      <c r="O15" s="1373">
        <v>67.540000000000006</v>
      </c>
      <c r="P15" s="1373">
        <v>67.540000000000006</v>
      </c>
      <c r="Q15" s="1373">
        <v>67.540000000000006</v>
      </c>
      <c r="R15" s="1373">
        <v>-65.040000000000006</v>
      </c>
      <c r="S15" s="1373"/>
      <c r="T15" s="1373"/>
      <c r="U15" s="1373"/>
      <c r="V15" s="1373"/>
      <c r="W15" s="1373"/>
      <c r="X15" s="1373"/>
      <c r="Y15" s="1373"/>
      <c r="Z15" s="1373"/>
      <c r="AA15" s="1373"/>
      <c r="AB15" s="1373"/>
      <c r="AC15" s="1373"/>
      <c r="AD15" s="1373"/>
      <c r="AE15" s="1373"/>
      <c r="AF15" s="1373"/>
      <c r="AG15" s="1373"/>
      <c r="AH15" s="1373"/>
      <c r="AI15" s="1373"/>
      <c r="AJ15" s="1373"/>
      <c r="AK15" s="1373"/>
      <c r="AL15" s="1373"/>
      <c r="AM15" s="1373"/>
      <c r="AN15" s="1373"/>
      <c r="AO15" s="1373"/>
      <c r="AP15" s="1373"/>
      <c r="AQ15" s="1373"/>
      <c r="AR15" s="1373"/>
      <c r="AS15" s="1373"/>
      <c r="AT15" s="1373"/>
      <c r="AU15" s="1373"/>
      <c r="AV15" s="1373"/>
      <c r="AW15" s="1373"/>
      <c r="AX15" s="1373"/>
      <c r="AY15" s="1373"/>
      <c r="AZ15" s="1373"/>
      <c r="BA15" s="1373"/>
      <c r="BB15" s="1373"/>
      <c r="BC15" s="1373"/>
      <c r="BD15" s="1373"/>
      <c r="BE15" s="1373"/>
      <c r="BF15" s="1373"/>
      <c r="BG15" s="1373"/>
      <c r="BH15" s="1373"/>
      <c r="BI15" s="1373"/>
      <c r="BJ15" s="1373"/>
      <c r="BK15" s="1373"/>
      <c r="BL15" s="1373"/>
      <c r="BM15" s="1373"/>
      <c r="BN15" s="1373"/>
      <c r="BO15" s="1373"/>
      <c r="BP15" s="1373"/>
      <c r="BQ15" s="1374">
        <v>542.82000000000005</v>
      </c>
      <c r="BR15"/>
      <c r="BS15"/>
      <c r="BT15"/>
      <c r="BU15"/>
      <c r="BV15"/>
      <c r="BW15"/>
      <c r="BX15"/>
      <c r="BY15"/>
    </row>
    <row r="16" spans="1:77" hidden="1" x14ac:dyDescent="0.25">
      <c r="A16" s="1375" t="s">
        <v>552</v>
      </c>
      <c r="B16" s="1373"/>
      <c r="C16" s="1373">
        <v>-128700</v>
      </c>
      <c r="D16" s="1373"/>
      <c r="E16" s="1373"/>
      <c r="F16" s="1373"/>
      <c r="G16" s="1373"/>
      <c r="H16" s="1373"/>
      <c r="I16" s="1373"/>
      <c r="J16" s="1373"/>
      <c r="K16" s="1373"/>
      <c r="L16" s="1373"/>
      <c r="M16" s="1373"/>
      <c r="N16" s="1373"/>
      <c r="O16" s="1373"/>
      <c r="P16" s="1373"/>
      <c r="Q16" s="1373"/>
      <c r="R16" s="1373"/>
      <c r="S16" s="1373"/>
      <c r="T16" s="1373"/>
      <c r="U16" s="1373"/>
      <c r="V16" s="1373"/>
      <c r="W16" s="1373"/>
      <c r="X16" s="1373"/>
      <c r="Y16" s="1373"/>
      <c r="Z16" s="1373"/>
      <c r="AA16" s="1373"/>
      <c r="AB16" s="1373"/>
      <c r="AC16" s="1373"/>
      <c r="AD16" s="1373"/>
      <c r="AE16" s="1373"/>
      <c r="AF16" s="1373"/>
      <c r="AG16" s="1373"/>
      <c r="AH16" s="1373"/>
      <c r="AI16" s="1373"/>
      <c r="AJ16" s="1373"/>
      <c r="AK16" s="1373"/>
      <c r="AL16" s="1373"/>
      <c r="AM16" s="1373"/>
      <c r="AN16" s="1373"/>
      <c r="AO16" s="1373"/>
      <c r="AP16" s="1373"/>
      <c r="AQ16" s="1373"/>
      <c r="AR16" s="1373"/>
      <c r="AS16" s="1373"/>
      <c r="AT16" s="1373"/>
      <c r="AU16" s="1373"/>
      <c r="AV16" s="1373"/>
      <c r="AW16" s="1373"/>
      <c r="AX16" s="1373"/>
      <c r="AY16" s="1373"/>
      <c r="AZ16" s="1373"/>
      <c r="BA16" s="1373"/>
      <c r="BB16" s="1373"/>
      <c r="BC16" s="1373"/>
      <c r="BD16" s="1373"/>
      <c r="BE16" s="1373"/>
      <c r="BF16" s="1373"/>
      <c r="BG16" s="1373"/>
      <c r="BH16" s="1373"/>
      <c r="BI16" s="1373"/>
      <c r="BJ16" s="1373"/>
      <c r="BK16" s="1373"/>
      <c r="BL16" s="1373"/>
      <c r="BM16" s="1373"/>
      <c r="BN16" s="1373"/>
      <c r="BO16" s="1373"/>
      <c r="BP16" s="1373"/>
      <c r="BQ16" s="1374">
        <v>-128700</v>
      </c>
      <c r="BR16"/>
      <c r="BS16"/>
      <c r="BT16"/>
      <c r="BU16"/>
      <c r="BV16"/>
      <c r="BW16"/>
      <c r="BX16"/>
      <c r="BY16"/>
    </row>
    <row r="17" spans="1:77" x14ac:dyDescent="0.25">
      <c r="A17" s="1375" t="s">
        <v>553</v>
      </c>
      <c r="B17" s="1373"/>
      <c r="C17" s="1373">
        <v>31.13</v>
      </c>
      <c r="D17" s="1373">
        <v>44.5</v>
      </c>
      <c r="E17" s="1373">
        <v>44.5</v>
      </c>
      <c r="F17" s="1373">
        <v>44.5</v>
      </c>
      <c r="G17" s="1373">
        <v>44.5</v>
      </c>
      <c r="H17" s="1373">
        <v>44.5</v>
      </c>
      <c r="I17" s="1373">
        <v>44.5</v>
      </c>
      <c r="J17" s="1373">
        <v>44.5</v>
      </c>
      <c r="K17" s="1373">
        <v>44.5</v>
      </c>
      <c r="L17" s="1373">
        <v>44.5</v>
      </c>
      <c r="M17" s="1373">
        <v>44.5</v>
      </c>
      <c r="N17" s="1373">
        <v>44.57</v>
      </c>
      <c r="O17" s="1373">
        <v>44.5</v>
      </c>
      <c r="P17" s="1373">
        <v>44.5</v>
      </c>
      <c r="Q17" s="1373">
        <v>44.5</v>
      </c>
      <c r="R17" s="1373">
        <v>44.5</v>
      </c>
      <c r="S17" s="1373">
        <v>44.5</v>
      </c>
      <c r="T17" s="1373">
        <v>44.5</v>
      </c>
      <c r="U17" s="1373">
        <v>44.5</v>
      </c>
      <c r="V17" s="1373">
        <v>44.5</v>
      </c>
      <c r="W17" s="1373">
        <v>44.5</v>
      </c>
      <c r="X17" s="1373">
        <v>44.5</v>
      </c>
      <c r="Y17" s="1373">
        <v>44.5</v>
      </c>
      <c r="Z17" s="1373">
        <v>44.5</v>
      </c>
      <c r="AA17" s="1373">
        <v>44.5</v>
      </c>
      <c r="AB17" s="1373">
        <v>44.5</v>
      </c>
      <c r="AC17" s="1373">
        <v>44.5</v>
      </c>
      <c r="AD17" s="1373">
        <v>44.5</v>
      </c>
      <c r="AE17" s="1373">
        <v>44.5</v>
      </c>
      <c r="AF17" s="1373">
        <v>44.5</v>
      </c>
      <c r="AG17" s="1373">
        <v>44.5</v>
      </c>
      <c r="AH17" s="1373">
        <v>44.5</v>
      </c>
      <c r="AI17" s="1373">
        <v>44.5</v>
      </c>
      <c r="AJ17" s="1373">
        <v>44.5</v>
      </c>
      <c r="AK17" s="1373">
        <v>44.5</v>
      </c>
      <c r="AL17" s="1373">
        <v>44.5</v>
      </c>
      <c r="AM17" s="1373">
        <v>44.5</v>
      </c>
      <c r="AN17" s="1373">
        <v>44.5</v>
      </c>
      <c r="AO17" s="1373">
        <v>44.5</v>
      </c>
      <c r="AP17" s="1373">
        <v>44.5</v>
      </c>
      <c r="AQ17" s="1373">
        <v>44.5</v>
      </c>
      <c r="AR17" s="1373">
        <v>44.5</v>
      </c>
      <c r="AS17" s="1373">
        <v>44.5</v>
      </c>
      <c r="AT17" s="1373">
        <v>44.5</v>
      </c>
      <c r="AU17" s="1373">
        <v>44.5</v>
      </c>
      <c r="AV17" s="1373">
        <v>44.5</v>
      </c>
      <c r="AW17" s="1373">
        <v>44.5</v>
      </c>
      <c r="AX17" s="1373">
        <v>44.5</v>
      </c>
      <c r="AY17" s="1373">
        <v>44.5</v>
      </c>
      <c r="AZ17" s="1373">
        <v>44.5</v>
      </c>
      <c r="BA17" s="1373">
        <v>44.5</v>
      </c>
      <c r="BB17" s="1373">
        <v>44.5</v>
      </c>
      <c r="BC17" s="1373">
        <v>44.5</v>
      </c>
      <c r="BD17" s="1373">
        <v>44.5</v>
      </c>
      <c r="BE17" s="1373">
        <v>44.5</v>
      </c>
      <c r="BF17" s="1373">
        <v>44.5</v>
      </c>
      <c r="BG17" s="1373">
        <v>44.5</v>
      </c>
      <c r="BH17" s="1373">
        <v>44.5</v>
      </c>
      <c r="BI17" s="1373">
        <v>44.5</v>
      </c>
      <c r="BJ17" s="1373">
        <v>44.5</v>
      </c>
      <c r="BK17" s="1373">
        <v>44.5</v>
      </c>
      <c r="BL17" s="1373">
        <v>44.5</v>
      </c>
      <c r="BM17" s="1373">
        <v>44.5</v>
      </c>
      <c r="BN17" s="1373">
        <v>44.5</v>
      </c>
      <c r="BO17" s="1373">
        <v>44.5</v>
      </c>
      <c r="BP17" s="1373">
        <v>44.5</v>
      </c>
      <c r="BQ17" s="1374">
        <v>2923.7</v>
      </c>
      <c r="BR17"/>
      <c r="BS17"/>
      <c r="BT17"/>
      <c r="BU17"/>
      <c r="BV17"/>
      <c r="BW17"/>
      <c r="BX17"/>
      <c r="BY17"/>
    </row>
    <row r="18" spans="1:77" x14ac:dyDescent="0.25">
      <c r="A18" s="1375" t="s">
        <v>554</v>
      </c>
      <c r="B18" s="1373"/>
      <c r="C18" s="1373"/>
      <c r="D18" s="1373">
        <v>4807.6400000000003</v>
      </c>
      <c r="E18" s="1373"/>
      <c r="F18" s="1373"/>
      <c r="G18" s="1373"/>
      <c r="H18" s="1373"/>
      <c r="I18" s="1373"/>
      <c r="J18" s="1373"/>
      <c r="K18" s="1373"/>
      <c r="L18" s="1373"/>
      <c r="M18" s="1373"/>
      <c r="N18" s="1373"/>
      <c r="O18" s="1373"/>
      <c r="P18" s="1373">
        <v>253.16</v>
      </c>
      <c r="Q18" s="1373"/>
      <c r="R18" s="1373"/>
      <c r="S18" s="1373"/>
      <c r="T18" s="1373"/>
      <c r="U18" s="1373"/>
      <c r="V18" s="1373"/>
      <c r="W18" s="1373"/>
      <c r="X18" s="1373"/>
      <c r="Y18" s="1373"/>
      <c r="Z18" s="1373"/>
      <c r="AA18" s="1373"/>
      <c r="AB18" s="1373">
        <v>253.16</v>
      </c>
      <c r="AC18" s="1373"/>
      <c r="AD18" s="1373"/>
      <c r="AE18" s="1373"/>
      <c r="AF18" s="1373"/>
      <c r="AG18" s="1373"/>
      <c r="AH18" s="1373"/>
      <c r="AI18" s="1373"/>
      <c r="AJ18" s="1373"/>
      <c r="AK18" s="1373"/>
      <c r="AL18" s="1373"/>
      <c r="AM18" s="1373">
        <v>253.16</v>
      </c>
      <c r="AN18" s="1373"/>
      <c r="AO18" s="1373"/>
      <c r="AP18" s="1373"/>
      <c r="AQ18" s="1373"/>
      <c r="AR18" s="1373"/>
      <c r="AS18" s="1373"/>
      <c r="AT18" s="1373"/>
      <c r="AU18" s="1373"/>
      <c r="AV18" s="1373"/>
      <c r="AW18" s="1373"/>
      <c r="AX18" s="1373"/>
      <c r="AY18" s="1373"/>
      <c r="AZ18" s="1373">
        <v>253.16</v>
      </c>
      <c r="BA18" s="1373"/>
      <c r="BB18" s="1373"/>
      <c r="BC18" s="1373"/>
      <c r="BD18" s="1373"/>
      <c r="BE18" s="1373"/>
      <c r="BF18" s="1373"/>
      <c r="BG18" s="1373"/>
      <c r="BH18" s="1373"/>
      <c r="BI18" s="1373"/>
      <c r="BJ18" s="1373"/>
      <c r="BK18" s="1373"/>
      <c r="BL18" s="1373">
        <v>253.16</v>
      </c>
      <c r="BM18" s="1373"/>
      <c r="BN18" s="1373"/>
      <c r="BO18" s="1373"/>
      <c r="BP18" s="1373"/>
      <c r="BQ18" s="1374">
        <v>6073.44</v>
      </c>
      <c r="BR18"/>
      <c r="BS18"/>
      <c r="BT18"/>
      <c r="BU18"/>
      <c r="BV18"/>
      <c r="BW18"/>
      <c r="BX18"/>
      <c r="BY18"/>
    </row>
    <row r="19" spans="1:77" hidden="1" x14ac:dyDescent="0.25">
      <c r="A19" s="1375" t="s">
        <v>555</v>
      </c>
      <c r="B19" s="1373"/>
      <c r="C19" s="1373">
        <v>-4500</v>
      </c>
      <c r="D19" s="1373"/>
      <c r="E19" s="1373"/>
      <c r="F19" s="1373"/>
      <c r="G19" s="1373"/>
      <c r="H19" s="1373"/>
      <c r="I19" s="1373"/>
      <c r="J19" s="1373"/>
      <c r="K19" s="1373"/>
      <c r="L19" s="1373"/>
      <c r="M19" s="1373"/>
      <c r="N19" s="1373"/>
      <c r="O19" s="1373"/>
      <c r="P19" s="1373"/>
      <c r="Q19" s="1373"/>
      <c r="R19" s="1373"/>
      <c r="S19" s="1373"/>
      <c r="T19" s="1373"/>
      <c r="U19" s="1373"/>
      <c r="V19" s="1373"/>
      <c r="W19" s="1373"/>
      <c r="X19" s="1373"/>
      <c r="Y19" s="1373"/>
      <c r="Z19" s="1373"/>
      <c r="AA19" s="1373"/>
      <c r="AB19" s="1373"/>
      <c r="AC19" s="1373"/>
      <c r="AD19" s="1373"/>
      <c r="AE19" s="1373"/>
      <c r="AF19" s="1373"/>
      <c r="AG19" s="1373"/>
      <c r="AH19" s="1373"/>
      <c r="AI19" s="1373"/>
      <c r="AJ19" s="1373"/>
      <c r="AK19" s="1373"/>
      <c r="AL19" s="1373"/>
      <c r="AM19" s="1373"/>
      <c r="AN19" s="1373"/>
      <c r="AO19" s="1373"/>
      <c r="AP19" s="1373"/>
      <c r="AQ19" s="1373"/>
      <c r="AR19" s="1373"/>
      <c r="AS19" s="1373"/>
      <c r="AT19" s="1373"/>
      <c r="AU19" s="1373"/>
      <c r="AV19" s="1373"/>
      <c r="AW19" s="1373"/>
      <c r="AX19" s="1373"/>
      <c r="AY19" s="1373"/>
      <c r="AZ19" s="1373"/>
      <c r="BA19" s="1373"/>
      <c r="BB19" s="1373"/>
      <c r="BC19" s="1373"/>
      <c r="BD19" s="1373"/>
      <c r="BE19" s="1373"/>
      <c r="BF19" s="1373"/>
      <c r="BG19" s="1373"/>
      <c r="BH19" s="1373"/>
      <c r="BI19" s="1373"/>
      <c r="BJ19" s="1373"/>
      <c r="BK19" s="1373"/>
      <c r="BL19" s="1373"/>
      <c r="BM19" s="1373"/>
      <c r="BN19" s="1373"/>
      <c r="BO19" s="1373"/>
      <c r="BP19" s="1373"/>
      <c r="BQ19" s="1374">
        <v>-4500</v>
      </c>
      <c r="BR19"/>
      <c r="BS19"/>
      <c r="BT19"/>
      <c r="BU19"/>
      <c r="BV19"/>
      <c r="BW19"/>
      <c r="BX19"/>
      <c r="BY19"/>
    </row>
    <row r="20" spans="1:77" x14ac:dyDescent="0.25">
      <c r="A20" s="1375" t="s">
        <v>556</v>
      </c>
      <c r="B20" s="1373"/>
      <c r="C20" s="1373"/>
      <c r="D20" s="1373">
        <v>629.97</v>
      </c>
      <c r="E20" s="1373">
        <v>629.97</v>
      </c>
      <c r="F20" s="1373">
        <v>629.97</v>
      </c>
      <c r="G20" s="1373">
        <v>629.97</v>
      </c>
      <c r="H20" s="1373">
        <v>629.97</v>
      </c>
      <c r="I20" s="1373">
        <v>629.97</v>
      </c>
      <c r="J20" s="1373">
        <v>629.97</v>
      </c>
      <c r="K20" s="1373">
        <v>629.97</v>
      </c>
      <c r="L20" s="1373">
        <v>629.97</v>
      </c>
      <c r="M20" s="1373">
        <v>629.97</v>
      </c>
      <c r="N20" s="1373">
        <v>629.97</v>
      </c>
      <c r="O20" s="1373">
        <v>629.97</v>
      </c>
      <c r="P20" s="1373"/>
      <c r="Q20" s="1373">
        <v>629.97</v>
      </c>
      <c r="R20" s="1373">
        <v>630.4</v>
      </c>
      <c r="S20" s="1373">
        <v>630.9</v>
      </c>
      <c r="T20" s="1373">
        <v>630.65</v>
      </c>
      <c r="U20" s="1373">
        <v>629.97</v>
      </c>
      <c r="V20" s="1373">
        <v>630.84</v>
      </c>
      <c r="W20" s="1373">
        <v>629.97</v>
      </c>
      <c r="X20" s="1373">
        <v>630.59</v>
      </c>
      <c r="Y20" s="1373">
        <v>630.53</v>
      </c>
      <c r="Z20" s="1373">
        <v>630.65</v>
      </c>
      <c r="AA20" s="1373">
        <v>630.65</v>
      </c>
      <c r="AB20" s="1373">
        <v>630.71</v>
      </c>
      <c r="AC20" s="1373">
        <v>630.65</v>
      </c>
      <c r="AD20" s="1373">
        <v>630.59</v>
      </c>
      <c r="AE20" s="1373">
        <v>630.59</v>
      </c>
      <c r="AF20" s="1373">
        <v>630.65</v>
      </c>
      <c r="AG20" s="1373">
        <v>630.71</v>
      </c>
      <c r="AH20" s="1373">
        <v>630.53</v>
      </c>
      <c r="AI20" s="1373">
        <v>630.65</v>
      </c>
      <c r="AJ20" s="1373">
        <v>630.96</v>
      </c>
      <c r="AK20" s="1373">
        <v>630.65</v>
      </c>
      <c r="AL20" s="1373">
        <v>630.71</v>
      </c>
      <c r="AM20" s="1373">
        <v>630.59</v>
      </c>
      <c r="AN20" s="1373">
        <v>630.65</v>
      </c>
      <c r="AO20" s="1373">
        <v>630.65</v>
      </c>
      <c r="AP20" s="1373">
        <v>630.71</v>
      </c>
      <c r="AQ20" s="1373">
        <v>630.65</v>
      </c>
      <c r="AR20" s="1373">
        <v>630.65</v>
      </c>
      <c r="AS20" s="1373">
        <v>630.59</v>
      </c>
      <c r="AT20" s="1373">
        <v>630.77</v>
      </c>
      <c r="AU20" s="1373">
        <v>630.65</v>
      </c>
      <c r="AV20" s="1373">
        <v>630.71</v>
      </c>
      <c r="AW20" s="1373">
        <v>630.65</v>
      </c>
      <c r="AX20" s="1373">
        <v>630.65</v>
      </c>
      <c r="AY20" s="1373">
        <v>630.84</v>
      </c>
      <c r="AZ20" s="1373">
        <v>630.53</v>
      </c>
      <c r="BA20" s="1373">
        <v>629.97</v>
      </c>
      <c r="BB20" s="1373">
        <v>630.65</v>
      </c>
      <c r="BC20" s="1373">
        <v>630.65</v>
      </c>
      <c r="BD20" s="1373">
        <v>630.84</v>
      </c>
      <c r="BE20" s="1373">
        <v>630.71</v>
      </c>
      <c r="BF20" s="1373">
        <v>630.71</v>
      </c>
      <c r="BG20" s="1373">
        <v>630.65</v>
      </c>
      <c r="BH20" s="1373">
        <v>630.65</v>
      </c>
      <c r="BI20" s="1373">
        <v>630.65</v>
      </c>
      <c r="BJ20" s="1373">
        <v>630.59</v>
      </c>
      <c r="BK20" s="1373">
        <v>630.65</v>
      </c>
      <c r="BL20" s="1373">
        <v>630.22</v>
      </c>
      <c r="BM20" s="1373">
        <v>630.53</v>
      </c>
      <c r="BN20" s="1373">
        <v>630.65</v>
      </c>
      <c r="BO20" s="1373">
        <v>630.65</v>
      </c>
      <c r="BP20" s="1373">
        <v>630.71</v>
      </c>
      <c r="BQ20" s="1374">
        <v>40350.930000000015</v>
      </c>
      <c r="BR20"/>
      <c r="BS20"/>
      <c r="BT20"/>
      <c r="BU20"/>
      <c r="BV20"/>
      <c r="BW20"/>
      <c r="BX20"/>
      <c r="BY20"/>
    </row>
    <row r="21" spans="1:77" hidden="1" x14ac:dyDescent="0.25">
      <c r="A21" s="1375" t="s">
        <v>557</v>
      </c>
      <c r="B21" s="1373"/>
      <c r="C21" s="1373"/>
      <c r="D21" s="1373"/>
      <c r="E21" s="1373"/>
      <c r="F21" s="1373">
        <v>111.86</v>
      </c>
      <c r="G21" s="1373"/>
      <c r="H21" s="1373">
        <v>100.96</v>
      </c>
      <c r="I21" s="1373"/>
      <c r="J21" s="1373">
        <v>66.38</v>
      </c>
      <c r="K21" s="1373"/>
      <c r="L21" s="1373">
        <v>41.39</v>
      </c>
      <c r="M21" s="1373"/>
      <c r="N21" s="1373">
        <v>37.5</v>
      </c>
      <c r="O21" s="1373"/>
      <c r="P21" s="1373">
        <v>48.96</v>
      </c>
      <c r="Q21" s="1373"/>
      <c r="R21" s="1373"/>
      <c r="S21" s="1373"/>
      <c r="T21" s="1373"/>
      <c r="U21" s="1373"/>
      <c r="V21" s="1373"/>
      <c r="W21" s="1373"/>
      <c r="X21" s="1373"/>
      <c r="Y21" s="1373"/>
      <c r="Z21" s="1373"/>
      <c r="AA21" s="1373"/>
      <c r="AB21" s="1373"/>
      <c r="AC21" s="1373"/>
      <c r="AD21" s="1373"/>
      <c r="AE21" s="1373"/>
      <c r="AF21" s="1373"/>
      <c r="AG21" s="1373"/>
      <c r="AH21" s="1373"/>
      <c r="AI21" s="1373"/>
      <c r="AJ21" s="1373"/>
      <c r="AK21" s="1373"/>
      <c r="AL21" s="1373"/>
      <c r="AM21" s="1373"/>
      <c r="AN21" s="1373"/>
      <c r="AO21" s="1373"/>
      <c r="AP21" s="1373"/>
      <c r="AQ21" s="1373"/>
      <c r="AR21" s="1373"/>
      <c r="AS21" s="1373"/>
      <c r="AT21" s="1373"/>
      <c r="AU21" s="1373"/>
      <c r="AV21" s="1373"/>
      <c r="AW21" s="1373"/>
      <c r="AX21" s="1373"/>
      <c r="AY21" s="1373"/>
      <c r="AZ21" s="1373"/>
      <c r="BA21" s="1373"/>
      <c r="BB21" s="1373"/>
      <c r="BC21" s="1373"/>
      <c r="BD21" s="1373"/>
      <c r="BE21" s="1373"/>
      <c r="BF21" s="1373"/>
      <c r="BG21" s="1373"/>
      <c r="BH21" s="1373"/>
      <c r="BI21" s="1373"/>
      <c r="BJ21" s="1373"/>
      <c r="BK21" s="1373"/>
      <c r="BL21" s="1373"/>
      <c r="BM21" s="1373"/>
      <c r="BN21" s="1373"/>
      <c r="BO21" s="1373"/>
      <c r="BP21" s="1373"/>
      <c r="BQ21" s="1374">
        <v>407.04999999999995</v>
      </c>
      <c r="BR21"/>
      <c r="BS21"/>
      <c r="BT21"/>
      <c r="BU21"/>
      <c r="BV21"/>
      <c r="BW21"/>
      <c r="BX21"/>
      <c r="BY21"/>
    </row>
    <row r="22" spans="1:77" hidden="1" x14ac:dyDescent="0.25">
      <c r="A22" s="1375" t="s">
        <v>558</v>
      </c>
      <c r="B22" s="1373"/>
      <c r="C22" s="1373"/>
      <c r="D22" s="1373"/>
      <c r="E22" s="1373"/>
      <c r="F22" s="1373">
        <v>272.57</v>
      </c>
      <c r="G22" s="1373"/>
      <c r="H22" s="1373">
        <v>133.32</v>
      </c>
      <c r="I22" s="1373"/>
      <c r="J22" s="1373">
        <v>116.72</v>
      </c>
      <c r="K22" s="1373"/>
      <c r="L22" s="1373">
        <v>111.88</v>
      </c>
      <c r="M22" s="1373"/>
      <c r="N22" s="1373">
        <v>110.75</v>
      </c>
      <c r="O22" s="1373"/>
      <c r="P22" s="1373">
        <v>48.81</v>
      </c>
      <c r="Q22" s="1373"/>
      <c r="R22" s="1373"/>
      <c r="S22" s="1373"/>
      <c r="T22" s="1373"/>
      <c r="U22" s="1373"/>
      <c r="V22" s="1373"/>
      <c r="W22" s="1373"/>
      <c r="X22" s="1373"/>
      <c r="Y22" s="1373"/>
      <c r="Z22" s="1373"/>
      <c r="AA22" s="1373"/>
      <c r="AB22" s="1373"/>
      <c r="AC22" s="1373"/>
      <c r="AD22" s="1373"/>
      <c r="AE22" s="1373"/>
      <c r="AF22" s="1373"/>
      <c r="AG22" s="1373"/>
      <c r="AH22" s="1373"/>
      <c r="AI22" s="1373"/>
      <c r="AJ22" s="1373"/>
      <c r="AK22" s="1373"/>
      <c r="AL22" s="1373"/>
      <c r="AM22" s="1373"/>
      <c r="AN22" s="1373"/>
      <c r="AO22" s="1373"/>
      <c r="AP22" s="1373"/>
      <c r="AQ22" s="1373"/>
      <c r="AR22" s="1373"/>
      <c r="AS22" s="1373"/>
      <c r="AT22" s="1373"/>
      <c r="AU22" s="1373"/>
      <c r="AV22" s="1373"/>
      <c r="AW22" s="1373"/>
      <c r="AX22" s="1373"/>
      <c r="AY22" s="1373"/>
      <c r="AZ22" s="1373"/>
      <c r="BA22" s="1373"/>
      <c r="BB22" s="1373"/>
      <c r="BC22" s="1373"/>
      <c r="BD22" s="1373"/>
      <c r="BE22" s="1373"/>
      <c r="BF22" s="1373"/>
      <c r="BG22" s="1373"/>
      <c r="BH22" s="1373"/>
      <c r="BI22" s="1373"/>
      <c r="BJ22" s="1373"/>
      <c r="BK22" s="1373"/>
      <c r="BL22" s="1373"/>
      <c r="BM22" s="1373"/>
      <c r="BN22" s="1373"/>
      <c r="BO22" s="1373"/>
      <c r="BP22" s="1373"/>
      <c r="BQ22" s="1374">
        <v>794.05</v>
      </c>
      <c r="BR22"/>
      <c r="BS22"/>
      <c r="BT22"/>
      <c r="BU22"/>
      <c r="BV22"/>
      <c r="BW22"/>
      <c r="BX22"/>
      <c r="BY22"/>
    </row>
    <row r="23" spans="1:77" x14ac:dyDescent="0.25">
      <c r="A23" s="1375" t="s">
        <v>370</v>
      </c>
      <c r="B23" s="1373"/>
      <c r="C23" s="1373"/>
      <c r="D23" s="1373"/>
      <c r="E23" s="1373"/>
      <c r="F23" s="1373"/>
      <c r="G23" s="1373"/>
      <c r="H23" s="1373"/>
      <c r="I23" s="1373"/>
      <c r="J23" s="1373"/>
      <c r="K23" s="1373">
        <v>150.5</v>
      </c>
      <c r="L23" s="1373"/>
      <c r="M23" s="1373"/>
      <c r="N23" s="1373"/>
      <c r="O23" s="1373"/>
      <c r="P23" s="1373"/>
      <c r="Q23" s="1373"/>
      <c r="R23" s="1373">
        <v>150.5</v>
      </c>
      <c r="S23" s="1373"/>
      <c r="T23" s="1373"/>
      <c r="U23" s="1373"/>
      <c r="V23" s="1373"/>
      <c r="W23" s="1373"/>
      <c r="X23" s="1373"/>
      <c r="Y23" s="1373"/>
      <c r="Z23" s="1373"/>
      <c r="AA23" s="1373"/>
      <c r="AB23" s="1373"/>
      <c r="AC23" s="1373"/>
      <c r="AD23" s="1373"/>
      <c r="AE23" s="1373"/>
      <c r="AF23" s="1373"/>
      <c r="AG23" s="1373"/>
      <c r="AH23" s="1373"/>
      <c r="AI23" s="1373"/>
      <c r="AJ23" s="1373"/>
      <c r="AK23" s="1373"/>
      <c r="AL23" s="1373"/>
      <c r="AM23" s="1373"/>
      <c r="AN23" s="1373"/>
      <c r="AO23" s="1373"/>
      <c r="AP23" s="1373"/>
      <c r="AQ23" s="1373"/>
      <c r="AR23" s="1373"/>
      <c r="AS23" s="1373"/>
      <c r="AT23" s="1373"/>
      <c r="AU23" s="1373">
        <v>150.5</v>
      </c>
      <c r="AV23" s="1373"/>
      <c r="AW23" s="1373"/>
      <c r="AX23" s="1373"/>
      <c r="AY23" s="1373"/>
      <c r="AZ23" s="1373"/>
      <c r="BA23" s="1373"/>
      <c r="BB23" s="1373"/>
      <c r="BC23" s="1373"/>
      <c r="BD23" s="1373"/>
      <c r="BE23" s="1373"/>
      <c r="BF23" s="1373"/>
      <c r="BG23" s="1373"/>
      <c r="BH23" s="1373"/>
      <c r="BI23" s="1373"/>
      <c r="BJ23" s="1373"/>
      <c r="BK23" s="1373"/>
      <c r="BL23" s="1373"/>
      <c r="BM23" s="1373"/>
      <c r="BN23" s="1373"/>
      <c r="BO23" s="1373">
        <v>150.5</v>
      </c>
      <c r="BP23" s="1373"/>
      <c r="BQ23" s="1374">
        <v>602</v>
      </c>
      <c r="BR23"/>
      <c r="BS23"/>
      <c r="BT23"/>
      <c r="BU23"/>
      <c r="BV23"/>
      <c r="BW23"/>
      <c r="BX23"/>
      <c r="BY23"/>
    </row>
    <row r="24" spans="1:77" x14ac:dyDescent="0.25">
      <c r="A24" s="1357" t="s">
        <v>559</v>
      </c>
      <c r="B24" s="1373"/>
      <c r="C24" s="1373"/>
      <c r="D24" s="1373"/>
      <c r="E24" s="1373"/>
      <c r="F24" s="1373"/>
      <c r="G24" s="1373"/>
      <c r="H24" s="1373"/>
      <c r="I24" s="1373"/>
      <c r="J24" s="1373"/>
      <c r="K24" s="1373"/>
      <c r="L24" s="1373"/>
      <c r="M24" s="1373"/>
      <c r="N24" s="1373"/>
      <c r="O24" s="1373"/>
      <c r="P24" s="1373"/>
      <c r="Q24" s="1373"/>
      <c r="R24" s="1373"/>
      <c r="S24" s="1373"/>
      <c r="T24" s="1373"/>
      <c r="U24" s="1373"/>
      <c r="V24" s="1373"/>
      <c r="W24" s="1373"/>
      <c r="X24" s="1373"/>
      <c r="Y24" s="1373"/>
      <c r="Z24" s="1373"/>
      <c r="AA24" s="1373"/>
      <c r="AB24" s="1373"/>
      <c r="AC24" s="1373"/>
      <c r="AD24" s="1373"/>
      <c r="AE24" s="1373"/>
      <c r="AF24" s="1373"/>
      <c r="AG24" s="1373"/>
      <c r="AH24" s="1373"/>
      <c r="AI24" s="1373"/>
      <c r="AJ24" s="1373"/>
      <c r="AK24" s="1373"/>
      <c r="AL24" s="1373"/>
      <c r="AM24" s="1373"/>
      <c r="AN24" s="1373"/>
      <c r="AO24" s="1373"/>
      <c r="AP24" s="1373"/>
      <c r="AQ24" s="1373"/>
      <c r="AR24" s="1373"/>
      <c r="AS24" s="1373"/>
      <c r="AT24" s="1373"/>
      <c r="AU24" s="1373"/>
      <c r="AV24" s="1373"/>
      <c r="AW24" s="1373"/>
      <c r="AX24" s="1373"/>
      <c r="AY24" s="1373"/>
      <c r="AZ24" s="1373"/>
      <c r="BA24" s="1373"/>
      <c r="BB24" s="1373"/>
      <c r="BC24" s="1373"/>
      <c r="BD24" s="1373"/>
      <c r="BE24" s="1373"/>
      <c r="BF24" s="1373"/>
      <c r="BG24" s="1373"/>
      <c r="BH24" s="1373"/>
      <c r="BI24" s="1373"/>
      <c r="BJ24" s="1373"/>
      <c r="BK24" s="1373"/>
      <c r="BL24" s="1373"/>
      <c r="BM24" s="1373"/>
      <c r="BN24" s="1373"/>
      <c r="BO24" s="1373"/>
      <c r="BP24" s="1373"/>
      <c r="BQ24" s="1374"/>
      <c r="BR24"/>
      <c r="BS24"/>
      <c r="BT24"/>
      <c r="BU24"/>
      <c r="BV24"/>
      <c r="BW24"/>
      <c r="BX24"/>
      <c r="BY24"/>
    </row>
    <row r="25" spans="1:77" x14ac:dyDescent="0.25">
      <c r="A25" s="1375" t="s">
        <v>549</v>
      </c>
      <c r="B25" s="1373"/>
      <c r="C25" s="1373"/>
      <c r="D25" s="1373">
        <v>-350</v>
      </c>
      <c r="E25" s="1373"/>
      <c r="F25" s="1373">
        <v>-500</v>
      </c>
      <c r="G25" s="1373">
        <v>-350</v>
      </c>
      <c r="H25" s="1373">
        <v>-500</v>
      </c>
      <c r="I25" s="1373">
        <v>-500</v>
      </c>
      <c r="J25" s="1373">
        <v>-600</v>
      </c>
      <c r="K25" s="1373">
        <v>-550</v>
      </c>
      <c r="L25" s="1373">
        <v>-900</v>
      </c>
      <c r="M25" s="1373">
        <v>-950</v>
      </c>
      <c r="N25" s="1373">
        <v>-1000</v>
      </c>
      <c r="O25" s="1373">
        <v>-950</v>
      </c>
      <c r="P25" s="1373">
        <v>-1250</v>
      </c>
      <c r="Q25" s="1373">
        <v>-895</v>
      </c>
      <c r="R25" s="1373">
        <v>-870</v>
      </c>
      <c r="S25" s="1373">
        <v>-600</v>
      </c>
      <c r="T25" s="1373">
        <v>-700</v>
      </c>
      <c r="U25" s="1373">
        <v>-820</v>
      </c>
      <c r="V25" s="1373">
        <v>-700</v>
      </c>
      <c r="W25" s="1373">
        <v>-1070</v>
      </c>
      <c r="X25" s="1373">
        <v>-870</v>
      </c>
      <c r="Y25" s="1373">
        <v>-870</v>
      </c>
      <c r="Z25" s="1373">
        <v>-870</v>
      </c>
      <c r="AA25" s="1373">
        <v>-870</v>
      </c>
      <c r="AB25" s="1373">
        <v>-1150</v>
      </c>
      <c r="AC25" s="1373">
        <v>-820</v>
      </c>
      <c r="AD25" s="1373">
        <v>-870</v>
      </c>
      <c r="AE25" s="1373">
        <v>-870</v>
      </c>
      <c r="AF25" s="1373">
        <v>-850</v>
      </c>
      <c r="AG25" s="1373">
        <v>-870</v>
      </c>
      <c r="AH25" s="1373">
        <v>-870</v>
      </c>
      <c r="AI25" s="1373">
        <v>-870</v>
      </c>
      <c r="AJ25" s="1373">
        <v>-870</v>
      </c>
      <c r="AK25" s="1373">
        <v>-870</v>
      </c>
      <c r="AL25" s="1373">
        <v>-870</v>
      </c>
      <c r="AM25" s="1373">
        <v>-870</v>
      </c>
      <c r="AN25" s="1373">
        <v>-1100</v>
      </c>
      <c r="AO25" s="1373">
        <v>-869.5</v>
      </c>
      <c r="AP25" s="1373">
        <v>-819.5</v>
      </c>
      <c r="AQ25" s="1373">
        <v>-849.5</v>
      </c>
      <c r="AR25" s="1373">
        <v>-785</v>
      </c>
      <c r="AS25" s="1373">
        <v>-859.5</v>
      </c>
      <c r="AT25" s="1373">
        <v>-859.5</v>
      </c>
      <c r="AU25" s="1373">
        <v>-859.5</v>
      </c>
      <c r="AV25" s="1373">
        <v>-859.5</v>
      </c>
      <c r="AW25" s="1373">
        <v>-859.5</v>
      </c>
      <c r="AX25" s="1373">
        <v>-859.5</v>
      </c>
      <c r="AY25" s="1373">
        <v>-859.5</v>
      </c>
      <c r="AZ25" s="1373">
        <v>-884.5</v>
      </c>
      <c r="BA25" s="1373">
        <v>-849</v>
      </c>
      <c r="BB25" s="1373">
        <v>-799.5</v>
      </c>
      <c r="BC25" s="1373">
        <v>-739.5</v>
      </c>
      <c r="BD25" s="1373">
        <v>-679.5</v>
      </c>
      <c r="BE25" s="1373">
        <v>-739.5</v>
      </c>
      <c r="BF25" s="1373">
        <v>-679.5</v>
      </c>
      <c r="BG25" s="1373">
        <v>-639.5</v>
      </c>
      <c r="BH25" s="1373">
        <v>-739.5</v>
      </c>
      <c r="BI25" s="1373">
        <v>-639.5</v>
      </c>
      <c r="BJ25" s="1373">
        <v>-769.5</v>
      </c>
      <c r="BK25" s="1373">
        <v>-699.5</v>
      </c>
      <c r="BL25" s="1373">
        <v>-779.5</v>
      </c>
      <c r="BM25" s="1373">
        <v>-779.5</v>
      </c>
      <c r="BN25" s="1373">
        <v>-499.5</v>
      </c>
      <c r="BO25" s="1373">
        <v>-849.5</v>
      </c>
      <c r="BP25" s="1373">
        <v>-679.5</v>
      </c>
      <c r="BQ25" s="1374">
        <v>-51071</v>
      </c>
      <c r="BR25"/>
      <c r="BS25"/>
      <c r="BT25"/>
      <c r="BU25"/>
      <c r="BV25"/>
      <c r="BW25"/>
      <c r="BX25"/>
      <c r="BY25"/>
    </row>
    <row r="26" spans="1:77" hidden="1" x14ac:dyDescent="0.25">
      <c r="A26" s="1375" t="s">
        <v>592</v>
      </c>
      <c r="B26" s="1373"/>
      <c r="C26" s="1373">
        <v>-11000</v>
      </c>
      <c r="D26" s="1373"/>
      <c r="E26" s="1373"/>
      <c r="F26" s="1373"/>
      <c r="G26" s="1373"/>
      <c r="H26" s="1373"/>
      <c r="I26" s="1373"/>
      <c r="J26" s="1373"/>
      <c r="K26" s="1373"/>
      <c r="L26" s="1373"/>
      <c r="M26" s="1373"/>
      <c r="N26" s="1373"/>
      <c r="O26" s="1373"/>
      <c r="P26" s="1373"/>
      <c r="Q26" s="1373"/>
      <c r="R26" s="1373"/>
      <c r="S26" s="1373"/>
      <c r="T26" s="1373"/>
      <c r="U26" s="1373"/>
      <c r="V26" s="1373"/>
      <c r="W26" s="1373"/>
      <c r="X26" s="1373"/>
      <c r="Y26" s="1373"/>
      <c r="Z26" s="1373"/>
      <c r="AA26" s="1373"/>
      <c r="AB26" s="1373"/>
      <c r="AC26" s="1373"/>
      <c r="AD26" s="1373"/>
      <c r="AE26" s="1373"/>
      <c r="AF26" s="1373"/>
      <c r="AG26" s="1373"/>
      <c r="AH26" s="1373"/>
      <c r="AI26" s="1373"/>
      <c r="AJ26" s="1373"/>
      <c r="AK26" s="1373"/>
      <c r="AL26" s="1373"/>
      <c r="AM26" s="1373"/>
      <c r="AN26" s="1373"/>
      <c r="AO26" s="1373"/>
      <c r="AP26" s="1373"/>
      <c r="AQ26" s="1373"/>
      <c r="AR26" s="1373"/>
      <c r="AS26" s="1373"/>
      <c r="AT26" s="1373"/>
      <c r="AU26" s="1373"/>
      <c r="AV26" s="1373"/>
      <c r="AW26" s="1373"/>
      <c r="AX26" s="1373"/>
      <c r="AY26" s="1373"/>
      <c r="AZ26" s="1373"/>
      <c r="BA26" s="1373"/>
      <c r="BB26" s="1373"/>
      <c r="BC26" s="1373"/>
      <c r="BD26" s="1373"/>
      <c r="BE26" s="1373"/>
      <c r="BF26" s="1373"/>
      <c r="BG26" s="1373"/>
      <c r="BH26" s="1373"/>
      <c r="BI26" s="1373"/>
      <c r="BJ26" s="1373"/>
      <c r="BK26" s="1373"/>
      <c r="BL26" s="1373"/>
      <c r="BM26" s="1373"/>
      <c r="BN26" s="1373"/>
      <c r="BO26" s="1373"/>
      <c r="BP26" s="1373"/>
      <c r="BQ26" s="1374">
        <v>-11000</v>
      </c>
      <c r="BR26"/>
      <c r="BS26"/>
      <c r="BT26"/>
      <c r="BU26"/>
      <c r="BV26"/>
      <c r="BW26"/>
      <c r="BX26"/>
      <c r="BY26"/>
    </row>
    <row r="27" spans="1:77" x14ac:dyDescent="0.25">
      <c r="A27" s="1357" t="s">
        <v>453</v>
      </c>
      <c r="B27" s="1373">
        <v>0.56000000000000005</v>
      </c>
      <c r="C27" s="1373">
        <v>-4842.3700000000008</v>
      </c>
      <c r="D27" s="1373">
        <v>4435.5600000000004</v>
      </c>
      <c r="E27" s="1373">
        <v>-122.02999999999997</v>
      </c>
      <c r="F27" s="1373">
        <v>113.96000000000004</v>
      </c>
      <c r="G27" s="1373">
        <v>29.03000000000003</v>
      </c>
      <c r="H27" s="1373">
        <v>98.809999999999945</v>
      </c>
      <c r="I27" s="1373">
        <v>-67.92999999999995</v>
      </c>
      <c r="J27" s="1373">
        <v>65.170000000000073</v>
      </c>
      <c r="K27" s="1373">
        <v>32.57000000000005</v>
      </c>
      <c r="L27" s="1373">
        <v>185.34000000000015</v>
      </c>
      <c r="M27" s="1373">
        <v>-17.92999999999995</v>
      </c>
      <c r="N27" s="1373">
        <v>90.279999999999973</v>
      </c>
      <c r="O27" s="1373">
        <v>-17.92999999999995</v>
      </c>
      <c r="P27" s="1373">
        <v>-596.97</v>
      </c>
      <c r="Q27" s="1373">
        <v>51.810000000000059</v>
      </c>
      <c r="R27" s="1373">
        <v>29.360000000000014</v>
      </c>
      <c r="S27" s="1373">
        <v>316.58999999999992</v>
      </c>
      <c r="T27" s="1373">
        <v>165.21000000000004</v>
      </c>
      <c r="U27" s="1373">
        <v>44.529999999999973</v>
      </c>
      <c r="V27" s="1373">
        <v>165.40000000000009</v>
      </c>
      <c r="W27" s="1373">
        <v>-172.59999999999991</v>
      </c>
      <c r="X27" s="1373">
        <v>-4.8499999999999091</v>
      </c>
      <c r="Y27" s="1373">
        <v>-4.9100000000000819</v>
      </c>
      <c r="Z27" s="1373">
        <v>-4.7899999999999636</v>
      </c>
      <c r="AA27" s="1373">
        <v>-4.7899999999999636</v>
      </c>
      <c r="AB27" s="1373">
        <v>-31.569999999999936</v>
      </c>
      <c r="AC27" s="1373">
        <v>48.389999999999986</v>
      </c>
      <c r="AD27" s="1373">
        <v>-55.909999999999968</v>
      </c>
      <c r="AE27" s="1373">
        <v>47.789999999999964</v>
      </c>
      <c r="AF27" s="1373">
        <v>-35.850000000000023</v>
      </c>
      <c r="AG27" s="1373">
        <v>46.330000000000041</v>
      </c>
      <c r="AH27" s="1373">
        <v>-4.9100000000000819</v>
      </c>
      <c r="AI27" s="1373">
        <v>-4.7899999999999636</v>
      </c>
      <c r="AJ27" s="1373">
        <v>-4.4800000000000182</v>
      </c>
      <c r="AK27" s="1373">
        <v>-4.7899999999999636</v>
      </c>
      <c r="AL27" s="1373">
        <v>-4.7300000000000182</v>
      </c>
      <c r="AM27" s="1373">
        <v>248.30999999999995</v>
      </c>
      <c r="AN27" s="1373">
        <v>-234.78999999999996</v>
      </c>
      <c r="AO27" s="1373">
        <v>9.7899999999999636</v>
      </c>
      <c r="AP27" s="1373">
        <v>5.2100000000000364</v>
      </c>
      <c r="AQ27" s="1373">
        <v>-35.350000000000023</v>
      </c>
      <c r="AR27" s="1373">
        <v>29.149999999999977</v>
      </c>
      <c r="AS27" s="1373">
        <v>-45.409999999999968</v>
      </c>
      <c r="AT27" s="1373">
        <v>-45.230000000000018</v>
      </c>
      <c r="AU27" s="1373">
        <v>105.14999999999998</v>
      </c>
      <c r="AV27" s="1373">
        <v>-45.289999999999964</v>
      </c>
      <c r="AW27" s="1373">
        <v>-45.350000000000023</v>
      </c>
      <c r="AX27" s="1373">
        <v>-45.350000000000023</v>
      </c>
      <c r="AY27" s="1373">
        <v>-45.159999999999968</v>
      </c>
      <c r="AZ27" s="1373">
        <v>182.69000000000005</v>
      </c>
      <c r="BA27" s="1373">
        <v>-35.539999999999964</v>
      </c>
      <c r="BB27" s="1373">
        <v>14.649999999999977</v>
      </c>
      <c r="BC27" s="1373">
        <v>-60.720000000000027</v>
      </c>
      <c r="BD27" s="1373">
        <v>-0.65999999999996817</v>
      </c>
      <c r="BE27" s="1373">
        <v>-60.789999999999964</v>
      </c>
      <c r="BF27" s="1373">
        <v>-0.78999999999996362</v>
      </c>
      <c r="BG27" s="1373">
        <v>39.149999999999977</v>
      </c>
      <c r="BH27" s="1373">
        <v>-60.850000000000023</v>
      </c>
      <c r="BI27" s="1373">
        <v>39.149999999999977</v>
      </c>
      <c r="BJ27" s="1373">
        <v>-90.909999999999968</v>
      </c>
      <c r="BK27" s="1373">
        <v>-20.850000000000023</v>
      </c>
      <c r="BL27" s="1373">
        <v>151.88</v>
      </c>
      <c r="BM27" s="1373">
        <v>-100.99000000000001</v>
      </c>
      <c r="BN27" s="1373">
        <v>179.14999999999998</v>
      </c>
      <c r="BO27" s="1373">
        <v>-19.899999999999977</v>
      </c>
      <c r="BP27" s="1373">
        <v>-0.78999999999996362</v>
      </c>
      <c r="BQ27" s="1374">
        <v>-27.879999999968277</v>
      </c>
      <c r="BR27"/>
      <c r="BS27"/>
      <c r="BT27"/>
      <c r="BU27"/>
      <c r="BV27"/>
      <c r="BW27"/>
      <c r="BX27"/>
      <c r="BY27"/>
    </row>
    <row r="28" spans="1:77" x14ac:dyDescent="0.25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 x14ac:dyDescent="0.2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 x14ac:dyDescent="0.25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 x14ac:dyDescent="0.25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 x14ac:dyDescent="0.25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 x14ac:dyDescent="0.25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 x14ac:dyDescent="0.25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 x14ac:dyDescent="0.25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 x14ac:dyDescent="0.25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 x14ac:dyDescent="0.25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 x14ac:dyDescent="0.25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 x14ac:dyDescent="0.25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 x14ac:dyDescent="0.25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 x14ac:dyDescent="0.25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 x14ac:dyDescent="0.25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 x14ac:dyDescent="0.25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 x14ac:dyDescent="0.25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 x14ac:dyDescent="0.25">
      <c r="A45" s="134">
        <v>1</v>
      </c>
      <c r="B45" s="134" t="s">
        <v>183</v>
      </c>
      <c r="C45" s="133"/>
      <c r="D45" s="133"/>
      <c r="G45" s="133"/>
      <c r="H45" s="133"/>
      <c r="I45" s="133"/>
    </row>
    <row r="46" spans="1:9" x14ac:dyDescent="0.25">
      <c r="A46" s="134">
        <v>2</v>
      </c>
      <c r="B46" s="134" t="s">
        <v>176</v>
      </c>
      <c r="C46" s="133"/>
      <c r="D46" s="133"/>
      <c r="G46" s="133"/>
      <c r="H46" s="133"/>
      <c r="I46" s="133"/>
    </row>
    <row r="47" spans="1:9" x14ac:dyDescent="0.25">
      <c r="A47" s="134">
        <v>3</v>
      </c>
      <c r="B47" s="134" t="s">
        <v>168</v>
      </c>
      <c r="C47" s="133"/>
      <c r="D47" s="133"/>
      <c r="G47" s="133"/>
      <c r="H47" s="133"/>
      <c r="I47" s="133"/>
    </row>
    <row r="48" spans="1:9" x14ac:dyDescent="0.25">
      <c r="A48" s="134">
        <v>4</v>
      </c>
      <c r="B48" s="134" t="s">
        <v>159</v>
      </c>
      <c r="C48" s="133"/>
      <c r="D48" s="133"/>
      <c r="G48" s="133"/>
      <c r="H48" s="133"/>
      <c r="I48" s="133"/>
    </row>
    <row r="49" spans="1:8" x14ac:dyDescent="0.25">
      <c r="A49" s="134">
        <v>5</v>
      </c>
      <c r="B49" s="134" t="s">
        <v>143</v>
      </c>
      <c r="C49" s="133"/>
      <c r="D49" s="133"/>
      <c r="G49" s="133"/>
      <c r="H49" s="133"/>
    </row>
    <row r="50" spans="1:8" x14ac:dyDescent="0.25">
      <c r="A50" s="134">
        <v>6</v>
      </c>
      <c r="B50" s="134" t="s">
        <v>131</v>
      </c>
      <c r="C50" s="133"/>
      <c r="D50" s="133"/>
      <c r="G50" s="133"/>
      <c r="H50" s="133"/>
    </row>
    <row r="51" spans="1:8" x14ac:dyDescent="0.25">
      <c r="A51" s="134">
        <v>7</v>
      </c>
      <c r="B51" s="134" t="s">
        <v>119</v>
      </c>
      <c r="C51" s="133"/>
      <c r="D51" s="133"/>
      <c r="G51" s="133"/>
      <c r="H51" s="133"/>
    </row>
    <row r="52" spans="1:8" x14ac:dyDescent="0.25">
      <c r="A52" s="134">
        <v>8</v>
      </c>
      <c r="B52" s="134" t="s">
        <v>80</v>
      </c>
      <c r="C52" s="133"/>
      <c r="D52" s="133"/>
      <c r="G52" s="133"/>
      <c r="H52" s="133"/>
    </row>
    <row r="53" spans="1:8" x14ac:dyDescent="0.25">
      <c r="A53" s="134">
        <v>9</v>
      </c>
      <c r="B53" s="134" t="s">
        <v>68</v>
      </c>
      <c r="C53" s="133"/>
      <c r="D53" s="133"/>
      <c r="G53" s="133"/>
      <c r="H53" s="133"/>
    </row>
    <row r="54" spans="1:8" x14ac:dyDescent="0.25">
      <c r="A54" s="134">
        <v>10</v>
      </c>
      <c r="B54" s="134" t="s">
        <v>215</v>
      </c>
      <c r="C54" s="133"/>
      <c r="D54" s="133"/>
      <c r="G54" s="133"/>
      <c r="H54" s="133"/>
    </row>
    <row r="55" spans="1:8" x14ac:dyDescent="0.25">
      <c r="A55" s="134">
        <v>11</v>
      </c>
      <c r="B55" s="134" t="s">
        <v>207</v>
      </c>
      <c r="C55" s="133"/>
      <c r="D55" s="133"/>
      <c r="G55" s="133"/>
      <c r="H55" s="133"/>
    </row>
    <row r="56" spans="1:8" x14ac:dyDescent="0.25">
      <c r="A56" s="134">
        <v>12</v>
      </c>
      <c r="B56" s="134" t="s">
        <v>188</v>
      </c>
      <c r="C56" s="133"/>
      <c r="D56" s="133"/>
      <c r="G56" s="133"/>
      <c r="H56" s="133"/>
    </row>
    <row r="57" spans="1:8" x14ac:dyDescent="0.25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 x14ac:dyDescent="0.2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 x14ac:dyDescent="0.25">
      <c r="A1" s="53" t="s">
        <v>61</v>
      </c>
      <c r="B1" s="53" t="s">
        <v>560</v>
      </c>
      <c r="C1" s="53" t="s">
        <v>62</v>
      </c>
      <c r="D1" s="53" t="s">
        <v>63</v>
      </c>
      <c r="E1" s="53" t="s">
        <v>62</v>
      </c>
      <c r="F1" s="53" t="s">
        <v>64</v>
      </c>
      <c r="G1" s="53" t="s">
        <v>561</v>
      </c>
      <c r="H1" s="54" t="s">
        <v>65</v>
      </c>
      <c r="I1" s="56" t="s">
        <v>61</v>
      </c>
      <c r="J1" s="19" t="s">
        <v>66</v>
      </c>
    </row>
    <row r="2" spans="1:10" x14ac:dyDescent="0.25">
      <c r="A2" s="57" t="s">
        <v>562</v>
      </c>
      <c r="B2" s="57" t="s">
        <v>548</v>
      </c>
      <c r="C2" s="57" t="s">
        <v>188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554</v>
      </c>
      <c r="J2" s="28"/>
    </row>
    <row r="3" spans="1:10" x14ac:dyDescent="0.25">
      <c r="A3" s="57" t="s">
        <v>563</v>
      </c>
      <c r="B3" s="57" t="s">
        <v>548</v>
      </c>
      <c r="C3" s="57" t="s">
        <v>188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550</v>
      </c>
      <c r="J3" s="28"/>
    </row>
    <row r="4" spans="1:10" x14ac:dyDescent="0.25">
      <c r="A4" s="57" t="s">
        <v>564</v>
      </c>
      <c r="B4" s="57" t="s">
        <v>559</v>
      </c>
      <c r="C4" s="57" t="s">
        <v>188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549</v>
      </c>
      <c r="J4" s="28"/>
    </row>
    <row r="5" spans="1:10" x14ac:dyDescent="0.25">
      <c r="A5" s="57" t="s">
        <v>556</v>
      </c>
      <c r="B5" s="57" t="s">
        <v>548</v>
      </c>
      <c r="C5" s="57" t="s">
        <v>188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556</v>
      </c>
      <c r="J5" s="28"/>
    </row>
    <row r="6" spans="1:10" x14ac:dyDescent="0.25">
      <c r="A6" s="57" t="s">
        <v>565</v>
      </c>
      <c r="B6" s="57" t="s">
        <v>548</v>
      </c>
      <c r="C6" s="57" t="s">
        <v>188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553</v>
      </c>
      <c r="J6" s="28"/>
    </row>
    <row r="7" spans="1:10" x14ac:dyDescent="0.25">
      <c r="A7" s="57" t="s">
        <v>563</v>
      </c>
      <c r="B7" s="57" t="s">
        <v>548</v>
      </c>
      <c r="C7" s="57" t="s">
        <v>207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550</v>
      </c>
      <c r="J7" s="28"/>
    </row>
    <row r="8" spans="1:10" x14ac:dyDescent="0.25">
      <c r="A8" s="57" t="s">
        <v>564</v>
      </c>
      <c r="B8" s="57" t="s">
        <v>559</v>
      </c>
      <c r="C8" s="57" t="s">
        <v>207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549</v>
      </c>
      <c r="J8" s="28"/>
    </row>
    <row r="9" spans="1:10" x14ac:dyDescent="0.25">
      <c r="A9" s="57" t="s">
        <v>556</v>
      </c>
      <c r="B9" s="57" t="s">
        <v>548</v>
      </c>
      <c r="C9" s="57" t="s">
        <v>207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556</v>
      </c>
      <c r="J9" s="28"/>
    </row>
    <row r="10" spans="1:10" x14ac:dyDescent="0.25">
      <c r="A10" s="57" t="s">
        <v>565</v>
      </c>
      <c r="B10" s="57" t="s">
        <v>548</v>
      </c>
      <c r="C10" s="57" t="s">
        <v>207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553</v>
      </c>
      <c r="J10" s="28"/>
    </row>
    <row r="11" spans="1:10" x14ac:dyDescent="0.25">
      <c r="A11" s="57" t="s">
        <v>563</v>
      </c>
      <c r="B11" s="57" t="s">
        <v>548</v>
      </c>
      <c r="C11" s="57" t="s">
        <v>215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550</v>
      </c>
      <c r="J11" s="28"/>
    </row>
    <row r="12" spans="1:10" x14ac:dyDescent="0.25">
      <c r="A12" s="57" t="s">
        <v>564</v>
      </c>
      <c r="B12" s="57" t="s">
        <v>559</v>
      </c>
      <c r="C12" s="57" t="s">
        <v>215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549</v>
      </c>
      <c r="J12" s="28"/>
    </row>
    <row r="13" spans="1:10" x14ac:dyDescent="0.25">
      <c r="A13" s="57" t="s">
        <v>556</v>
      </c>
      <c r="B13" s="57" t="s">
        <v>548</v>
      </c>
      <c r="C13" s="57" t="s">
        <v>215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556</v>
      </c>
      <c r="J13" s="28"/>
    </row>
    <row r="14" spans="1:10" x14ac:dyDescent="0.25">
      <c r="A14" s="57" t="s">
        <v>565</v>
      </c>
      <c r="B14" s="57" t="s">
        <v>548</v>
      </c>
      <c r="C14" s="57" t="s">
        <v>215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553</v>
      </c>
      <c r="J14" s="28"/>
    </row>
    <row r="15" spans="1:10" x14ac:dyDescent="0.25">
      <c r="A15" s="57" t="s">
        <v>563</v>
      </c>
      <c r="B15" s="57" t="s">
        <v>548</v>
      </c>
      <c r="C15" s="57" t="s">
        <v>68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550</v>
      </c>
      <c r="J15" s="28"/>
    </row>
    <row r="16" spans="1:10" x14ac:dyDescent="0.25">
      <c r="A16" s="57" t="s">
        <v>564</v>
      </c>
      <c r="B16" s="57" t="s">
        <v>559</v>
      </c>
      <c r="C16" s="57" t="s">
        <v>68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549</v>
      </c>
      <c r="J16" s="28"/>
    </row>
    <row r="17" spans="1:10" x14ac:dyDescent="0.25">
      <c r="A17" s="57" t="s">
        <v>556</v>
      </c>
      <c r="B17" s="57" t="s">
        <v>548</v>
      </c>
      <c r="C17" s="57" t="s">
        <v>68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556</v>
      </c>
      <c r="J17" s="28"/>
    </row>
    <row r="18" spans="1:10" x14ac:dyDescent="0.25">
      <c r="A18" s="57" t="s">
        <v>565</v>
      </c>
      <c r="B18" s="57" t="s">
        <v>548</v>
      </c>
      <c r="C18" s="57" t="s">
        <v>68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553</v>
      </c>
      <c r="J18" s="28"/>
    </row>
    <row r="19" spans="1:10" x14ac:dyDescent="0.25">
      <c r="A19" s="57" t="s">
        <v>563</v>
      </c>
      <c r="B19" s="57" t="s">
        <v>548</v>
      </c>
      <c r="C19" s="57" t="s">
        <v>80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550</v>
      </c>
      <c r="J19" s="28"/>
    </row>
    <row r="20" spans="1:10" x14ac:dyDescent="0.25">
      <c r="A20" s="57" t="s">
        <v>564</v>
      </c>
      <c r="B20" s="57" t="s">
        <v>559</v>
      </c>
      <c r="C20" s="57" t="s">
        <v>80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549</v>
      </c>
      <c r="J20" s="28"/>
    </row>
    <row r="21" spans="1:10" x14ac:dyDescent="0.25">
      <c r="A21" s="57" t="s">
        <v>556</v>
      </c>
      <c r="B21" s="57" t="s">
        <v>548</v>
      </c>
      <c r="C21" s="57" t="s">
        <v>80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556</v>
      </c>
      <c r="J21" s="28"/>
    </row>
    <row r="22" spans="1:10" x14ac:dyDescent="0.25">
      <c r="A22" s="57" t="s">
        <v>565</v>
      </c>
      <c r="B22" s="57" t="s">
        <v>548</v>
      </c>
      <c r="C22" s="57" t="s">
        <v>80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553</v>
      </c>
      <c r="J22" s="28"/>
    </row>
    <row r="23" spans="1:10" x14ac:dyDescent="0.25">
      <c r="A23" s="57" t="s">
        <v>563</v>
      </c>
      <c r="B23" s="57" t="s">
        <v>548</v>
      </c>
      <c r="C23" s="57" t="s">
        <v>119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550</v>
      </c>
      <c r="J23" s="28"/>
    </row>
    <row r="24" spans="1:10" x14ac:dyDescent="0.25">
      <c r="A24" s="57" t="s">
        <v>564</v>
      </c>
      <c r="B24" s="57" t="s">
        <v>559</v>
      </c>
      <c r="C24" s="57" t="s">
        <v>119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549</v>
      </c>
      <c r="J24" s="28"/>
    </row>
    <row r="25" spans="1:10" x14ac:dyDescent="0.25">
      <c r="A25" s="57" t="s">
        <v>370</v>
      </c>
      <c r="B25" s="61" t="s">
        <v>548</v>
      </c>
      <c r="C25" s="57" t="s">
        <v>119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370</v>
      </c>
      <c r="J25" s="28"/>
    </row>
    <row r="26" spans="1:10" x14ac:dyDescent="0.25">
      <c r="A26" s="57" t="s">
        <v>556</v>
      </c>
      <c r="B26" s="57" t="s">
        <v>548</v>
      </c>
      <c r="C26" s="57" t="s">
        <v>119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556</v>
      </c>
      <c r="J26" s="28"/>
    </row>
    <row r="27" spans="1:10" x14ac:dyDescent="0.25">
      <c r="A27" s="57" t="s">
        <v>565</v>
      </c>
      <c r="B27" s="57" t="s">
        <v>548</v>
      </c>
      <c r="C27" s="57" t="s">
        <v>119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553</v>
      </c>
      <c r="J27" s="28"/>
    </row>
    <row r="28" spans="1:10" x14ac:dyDescent="0.25">
      <c r="A28" s="57" t="s">
        <v>563</v>
      </c>
      <c r="B28" s="57" t="s">
        <v>548</v>
      </c>
      <c r="C28" s="57" t="s">
        <v>131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550</v>
      </c>
      <c r="J28" s="28"/>
    </row>
    <row r="29" spans="1:10" x14ac:dyDescent="0.25">
      <c r="A29" s="57" t="s">
        <v>564</v>
      </c>
      <c r="B29" s="57" t="s">
        <v>559</v>
      </c>
      <c r="C29" s="57" t="s">
        <v>131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549</v>
      </c>
      <c r="J29" s="28"/>
    </row>
    <row r="30" spans="1:10" x14ac:dyDescent="0.25">
      <c r="A30" s="57" t="s">
        <v>556</v>
      </c>
      <c r="B30" s="57" t="s">
        <v>548</v>
      </c>
      <c r="C30" s="57" t="s">
        <v>131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556</v>
      </c>
      <c r="J30" s="28"/>
    </row>
    <row r="31" spans="1:10" x14ac:dyDescent="0.25">
      <c r="A31" s="57" t="s">
        <v>565</v>
      </c>
      <c r="B31" s="57" t="s">
        <v>548</v>
      </c>
      <c r="C31" s="57" t="s">
        <v>131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553</v>
      </c>
      <c r="J31" s="28"/>
    </row>
    <row r="32" spans="1:10" x14ac:dyDescent="0.25">
      <c r="A32" s="57" t="s">
        <v>563</v>
      </c>
      <c r="B32" s="57" t="s">
        <v>548</v>
      </c>
      <c r="C32" s="57" t="s">
        <v>143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550</v>
      </c>
      <c r="J32" s="28"/>
    </row>
    <row r="33" spans="1:10" x14ac:dyDescent="0.25">
      <c r="A33" s="57" t="s">
        <v>564</v>
      </c>
      <c r="B33" s="57" t="s">
        <v>559</v>
      </c>
      <c r="C33" s="57" t="s">
        <v>143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549</v>
      </c>
      <c r="J33" s="28"/>
    </row>
    <row r="34" spans="1:10" x14ac:dyDescent="0.25">
      <c r="A34" s="57" t="s">
        <v>556</v>
      </c>
      <c r="B34" s="57" t="s">
        <v>548</v>
      </c>
      <c r="C34" s="57" t="s">
        <v>143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556</v>
      </c>
      <c r="J34" s="28"/>
    </row>
    <row r="35" spans="1:10" x14ac:dyDescent="0.25">
      <c r="A35" s="57" t="s">
        <v>565</v>
      </c>
      <c r="B35" s="57" t="s">
        <v>548</v>
      </c>
      <c r="C35" s="57" t="s">
        <v>143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553</v>
      </c>
      <c r="J35" s="28"/>
    </row>
    <row r="36" spans="1:10" x14ac:dyDescent="0.25">
      <c r="A36" s="57" t="s">
        <v>563</v>
      </c>
      <c r="B36" s="57" t="s">
        <v>548</v>
      </c>
      <c r="C36" s="57" t="s">
        <v>159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550</v>
      </c>
      <c r="J36" s="28"/>
    </row>
    <row r="37" spans="1:10" x14ac:dyDescent="0.25">
      <c r="A37" s="57" t="s">
        <v>564</v>
      </c>
      <c r="B37" s="57" t="s">
        <v>559</v>
      </c>
      <c r="C37" s="57" t="s">
        <v>159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549</v>
      </c>
      <c r="J37" s="28"/>
    </row>
    <row r="38" spans="1:10" x14ac:dyDescent="0.25">
      <c r="A38" s="57" t="s">
        <v>556</v>
      </c>
      <c r="B38" s="57" t="s">
        <v>548</v>
      </c>
      <c r="C38" s="57" t="s">
        <v>159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556</v>
      </c>
      <c r="J38" s="28"/>
    </row>
    <row r="39" spans="1:10" x14ac:dyDescent="0.25">
      <c r="A39" s="57" t="s">
        <v>565</v>
      </c>
      <c r="B39" s="57" t="s">
        <v>548</v>
      </c>
      <c r="C39" s="57" t="s">
        <v>159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553</v>
      </c>
      <c r="J39" s="28"/>
    </row>
    <row r="40" spans="1:10" x14ac:dyDescent="0.25">
      <c r="A40" s="57" t="s">
        <v>563</v>
      </c>
      <c r="B40" s="57" t="s">
        <v>548</v>
      </c>
      <c r="C40" s="57" t="s">
        <v>168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550</v>
      </c>
      <c r="J40" s="28"/>
    </row>
    <row r="41" spans="1:10" x14ac:dyDescent="0.25">
      <c r="A41" s="57" t="s">
        <v>564</v>
      </c>
      <c r="B41" s="57" t="s">
        <v>559</v>
      </c>
      <c r="C41" s="57" t="s">
        <v>168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549</v>
      </c>
      <c r="J41" s="28"/>
    </row>
    <row r="42" spans="1:10" x14ac:dyDescent="0.25">
      <c r="A42" s="57" t="s">
        <v>370</v>
      </c>
      <c r="B42" s="61" t="s">
        <v>548</v>
      </c>
      <c r="C42" s="57" t="s">
        <v>168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370</v>
      </c>
      <c r="J42" s="28"/>
    </row>
    <row r="43" spans="1:10" x14ac:dyDescent="0.25">
      <c r="A43" s="57" t="s">
        <v>556</v>
      </c>
      <c r="B43" s="57" t="s">
        <v>548</v>
      </c>
      <c r="C43" s="57" t="s">
        <v>168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556</v>
      </c>
      <c r="J43" s="28"/>
    </row>
    <row r="44" spans="1:10" x14ac:dyDescent="0.25">
      <c r="A44" s="57" t="s">
        <v>565</v>
      </c>
      <c r="B44" s="57" t="s">
        <v>548</v>
      </c>
      <c r="C44" s="57" t="s">
        <v>168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553</v>
      </c>
      <c r="J44" s="28"/>
    </row>
    <row r="45" spans="1:10" x14ac:dyDescent="0.25">
      <c r="A45" s="57" t="s">
        <v>570</v>
      </c>
      <c r="B45" s="57" t="s">
        <v>548</v>
      </c>
      <c r="C45" s="57" t="s">
        <v>168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550</v>
      </c>
      <c r="J45" s="28"/>
    </row>
    <row r="46" spans="1:10" x14ac:dyDescent="0.25">
      <c r="A46" s="57" t="s">
        <v>563</v>
      </c>
      <c r="B46" s="57" t="s">
        <v>548</v>
      </c>
      <c r="C46" s="57" t="s">
        <v>176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550</v>
      </c>
      <c r="J46" s="28"/>
    </row>
    <row r="47" spans="1:10" x14ac:dyDescent="0.25">
      <c r="A47" s="57" t="s">
        <v>564</v>
      </c>
      <c r="B47" s="57" t="s">
        <v>559</v>
      </c>
      <c r="C47" s="57" t="s">
        <v>176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549</v>
      </c>
      <c r="J47" s="28"/>
    </row>
    <row r="48" spans="1:10" x14ac:dyDescent="0.25">
      <c r="A48" s="57" t="s">
        <v>556</v>
      </c>
      <c r="B48" s="57" t="s">
        <v>548</v>
      </c>
      <c r="C48" s="57" t="s">
        <v>176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556</v>
      </c>
      <c r="J48" s="28"/>
    </row>
    <row r="49" spans="1:10" x14ac:dyDescent="0.25">
      <c r="A49" s="57" t="s">
        <v>565</v>
      </c>
      <c r="B49" s="57" t="s">
        <v>548</v>
      </c>
      <c r="C49" s="57" t="s">
        <v>176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553</v>
      </c>
      <c r="J49" s="28"/>
    </row>
    <row r="50" spans="1:10" x14ac:dyDescent="0.25">
      <c r="A50" s="57" t="s">
        <v>563</v>
      </c>
      <c r="B50" s="57" t="s">
        <v>548</v>
      </c>
      <c r="C50" s="57" t="s">
        <v>183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550</v>
      </c>
      <c r="J50" s="28"/>
    </row>
    <row r="51" spans="1:10" x14ac:dyDescent="0.25">
      <c r="A51" s="57" t="s">
        <v>371</v>
      </c>
      <c r="B51" s="57" t="s">
        <v>548</v>
      </c>
      <c r="C51" s="57" t="s">
        <v>183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550</v>
      </c>
      <c r="J51" s="28"/>
    </row>
    <row r="52" spans="1:10" x14ac:dyDescent="0.25">
      <c r="A52" s="57" t="s">
        <v>566</v>
      </c>
      <c r="B52" s="57" t="s">
        <v>548</v>
      </c>
      <c r="C52" s="57" t="s">
        <v>183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550</v>
      </c>
      <c r="J52" s="28"/>
    </row>
    <row r="53" spans="1:10" x14ac:dyDescent="0.25">
      <c r="A53" s="57" t="s">
        <v>564</v>
      </c>
      <c r="B53" s="57" t="s">
        <v>559</v>
      </c>
      <c r="C53" s="57" t="s">
        <v>183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549</v>
      </c>
      <c r="J53" s="28"/>
    </row>
    <row r="54" spans="1:10" x14ac:dyDescent="0.25">
      <c r="A54" s="57" t="s">
        <v>556</v>
      </c>
      <c r="B54" s="57" t="s">
        <v>548</v>
      </c>
      <c r="C54" s="57" t="s">
        <v>183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556</v>
      </c>
      <c r="J54" s="28"/>
    </row>
    <row r="55" spans="1:10" x14ac:dyDescent="0.25">
      <c r="A55" s="57" t="s">
        <v>565</v>
      </c>
      <c r="B55" s="57" t="s">
        <v>548</v>
      </c>
      <c r="C55" s="57" t="s">
        <v>183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553</v>
      </c>
      <c r="J55" s="28"/>
    </row>
    <row r="56" spans="1:10" x14ac:dyDescent="0.25">
      <c r="A56" s="57" t="s">
        <v>562</v>
      </c>
      <c r="B56" s="57" t="s">
        <v>548</v>
      </c>
      <c r="C56" s="57" t="s">
        <v>188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554</v>
      </c>
      <c r="J56" s="28"/>
    </row>
    <row r="57" spans="1:10" x14ac:dyDescent="0.25">
      <c r="A57" s="57" t="s">
        <v>563</v>
      </c>
      <c r="B57" s="57" t="s">
        <v>548</v>
      </c>
      <c r="C57" s="57" t="s">
        <v>188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550</v>
      </c>
      <c r="J57" s="28"/>
    </row>
    <row r="58" spans="1:10" x14ac:dyDescent="0.25">
      <c r="A58" s="57" t="s">
        <v>564</v>
      </c>
      <c r="B58" s="57" t="s">
        <v>559</v>
      </c>
      <c r="C58" s="57" t="s">
        <v>188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549</v>
      </c>
      <c r="J58" s="28"/>
    </row>
    <row r="59" spans="1:10" x14ac:dyDescent="0.25">
      <c r="A59" s="57" t="s">
        <v>556</v>
      </c>
      <c r="B59" s="57" t="s">
        <v>548</v>
      </c>
      <c r="C59" s="57" t="s">
        <v>188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556</v>
      </c>
      <c r="J59" s="28"/>
    </row>
    <row r="60" spans="1:10" x14ac:dyDescent="0.25">
      <c r="A60" s="57" t="s">
        <v>565</v>
      </c>
      <c r="B60" s="57" t="s">
        <v>548</v>
      </c>
      <c r="C60" s="57" t="s">
        <v>188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553</v>
      </c>
      <c r="J60" s="28"/>
    </row>
    <row r="61" spans="1:10" x14ac:dyDescent="0.25">
      <c r="A61" s="57" t="s">
        <v>563</v>
      </c>
      <c r="B61" s="57" t="s">
        <v>548</v>
      </c>
      <c r="C61" s="57" t="s">
        <v>207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550</v>
      </c>
      <c r="J61" s="28"/>
    </row>
    <row r="62" spans="1:10" x14ac:dyDescent="0.25">
      <c r="A62" s="57" t="s">
        <v>564</v>
      </c>
      <c r="B62" s="57" t="s">
        <v>559</v>
      </c>
      <c r="C62" s="57" t="s">
        <v>207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549</v>
      </c>
      <c r="J62" s="28"/>
    </row>
    <row r="63" spans="1:10" x14ac:dyDescent="0.25">
      <c r="A63" s="57" t="s">
        <v>556</v>
      </c>
      <c r="B63" s="57" t="s">
        <v>548</v>
      </c>
      <c r="C63" s="57" t="s">
        <v>207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556</v>
      </c>
      <c r="J63" s="28"/>
    </row>
    <row r="64" spans="1:10" x14ac:dyDescent="0.25">
      <c r="A64" s="57" t="s">
        <v>565</v>
      </c>
      <c r="B64" s="57" t="s">
        <v>548</v>
      </c>
      <c r="C64" s="57" t="s">
        <v>207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553</v>
      </c>
      <c r="J64" s="28"/>
    </row>
    <row r="65" spans="1:10" x14ac:dyDescent="0.25">
      <c r="A65" s="57" t="s">
        <v>563</v>
      </c>
      <c r="B65" s="57" t="s">
        <v>548</v>
      </c>
      <c r="C65" s="57" t="s">
        <v>215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550</v>
      </c>
      <c r="J65" s="28"/>
    </row>
    <row r="66" spans="1:10" x14ac:dyDescent="0.25">
      <c r="A66" s="57" t="s">
        <v>564</v>
      </c>
      <c r="B66" s="57" t="s">
        <v>559</v>
      </c>
      <c r="C66" s="57" t="s">
        <v>215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549</v>
      </c>
      <c r="J66" s="28"/>
    </row>
    <row r="67" spans="1:10" x14ac:dyDescent="0.25">
      <c r="A67" s="57" t="s">
        <v>556</v>
      </c>
      <c r="B67" s="57" t="s">
        <v>548</v>
      </c>
      <c r="C67" s="57" t="s">
        <v>215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556</v>
      </c>
      <c r="J67" s="28"/>
    </row>
    <row r="68" spans="1:10" x14ac:dyDescent="0.25">
      <c r="A68" s="57" t="s">
        <v>565</v>
      </c>
      <c r="B68" s="57" t="s">
        <v>548</v>
      </c>
      <c r="C68" s="57" t="s">
        <v>215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553</v>
      </c>
      <c r="J68" s="28"/>
    </row>
    <row r="69" spans="1:10" x14ac:dyDescent="0.25">
      <c r="A69" s="57" t="s">
        <v>563</v>
      </c>
      <c r="B69" s="57" t="s">
        <v>548</v>
      </c>
      <c r="C69" s="57" t="s">
        <v>68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550</v>
      </c>
      <c r="J69" s="28"/>
    </row>
    <row r="70" spans="1:10" x14ac:dyDescent="0.25">
      <c r="A70" s="57" t="s">
        <v>564</v>
      </c>
      <c r="B70" s="57" t="s">
        <v>559</v>
      </c>
      <c r="C70" s="57" t="s">
        <v>68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549</v>
      </c>
      <c r="J70" s="28"/>
    </row>
    <row r="71" spans="1:10" x14ac:dyDescent="0.25">
      <c r="A71" s="57" t="s">
        <v>556</v>
      </c>
      <c r="B71" s="57" t="s">
        <v>548</v>
      </c>
      <c r="C71" s="57" t="s">
        <v>68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556</v>
      </c>
      <c r="J71" s="28"/>
    </row>
    <row r="72" spans="1:10" x14ac:dyDescent="0.25">
      <c r="A72" s="57" t="s">
        <v>565</v>
      </c>
      <c r="B72" s="57" t="s">
        <v>548</v>
      </c>
      <c r="C72" s="57" t="s">
        <v>68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553</v>
      </c>
      <c r="J72" s="28"/>
    </row>
    <row r="73" spans="1:10" x14ac:dyDescent="0.25">
      <c r="A73" s="57" t="s">
        <v>563</v>
      </c>
      <c r="B73" s="57" t="s">
        <v>548</v>
      </c>
      <c r="C73" s="57" t="s">
        <v>80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550</v>
      </c>
      <c r="J73" s="28"/>
    </row>
    <row r="74" spans="1:10" x14ac:dyDescent="0.25">
      <c r="A74" s="57" t="s">
        <v>564</v>
      </c>
      <c r="B74" s="57" t="s">
        <v>559</v>
      </c>
      <c r="C74" s="57" t="s">
        <v>80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549</v>
      </c>
      <c r="J74" s="28"/>
    </row>
    <row r="75" spans="1:10" x14ac:dyDescent="0.25">
      <c r="A75" s="57" t="s">
        <v>556</v>
      </c>
      <c r="B75" s="57" t="s">
        <v>548</v>
      </c>
      <c r="C75" s="57" t="s">
        <v>80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556</v>
      </c>
      <c r="J75" s="28"/>
    </row>
    <row r="76" spans="1:10" x14ac:dyDescent="0.25">
      <c r="A76" s="57" t="s">
        <v>565</v>
      </c>
      <c r="B76" s="57" t="s">
        <v>548</v>
      </c>
      <c r="C76" s="57" t="s">
        <v>80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553</v>
      </c>
      <c r="J76" s="28"/>
    </row>
    <row r="77" spans="1:10" x14ac:dyDescent="0.25">
      <c r="A77" s="57" t="s">
        <v>563</v>
      </c>
      <c r="B77" s="57" t="s">
        <v>548</v>
      </c>
      <c r="C77" s="57" t="s">
        <v>119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550</v>
      </c>
      <c r="J77" s="28"/>
    </row>
    <row r="78" spans="1:10" x14ac:dyDescent="0.25">
      <c r="A78" s="57" t="s">
        <v>564</v>
      </c>
      <c r="B78" s="57" t="s">
        <v>559</v>
      </c>
      <c r="C78" s="57" t="s">
        <v>119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549</v>
      </c>
      <c r="J78" s="28"/>
    </row>
    <row r="79" spans="1:10" x14ac:dyDescent="0.25">
      <c r="A79" s="57" t="s">
        <v>556</v>
      </c>
      <c r="B79" s="57" t="s">
        <v>548</v>
      </c>
      <c r="C79" s="57" t="s">
        <v>119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556</v>
      </c>
      <c r="J79" s="28"/>
    </row>
    <row r="80" spans="1:10" x14ac:dyDescent="0.25">
      <c r="A80" s="57" t="s">
        <v>565</v>
      </c>
      <c r="B80" s="57" t="s">
        <v>548</v>
      </c>
      <c r="C80" s="57" t="s">
        <v>119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553</v>
      </c>
      <c r="J80" s="28"/>
    </row>
    <row r="81" spans="1:10" x14ac:dyDescent="0.25">
      <c r="A81" s="57" t="s">
        <v>563</v>
      </c>
      <c r="B81" s="57" t="s">
        <v>548</v>
      </c>
      <c r="C81" s="57" t="s">
        <v>131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550</v>
      </c>
      <c r="J81" s="28"/>
    </row>
    <row r="82" spans="1:10" x14ac:dyDescent="0.25">
      <c r="A82" s="57" t="s">
        <v>564</v>
      </c>
      <c r="B82" s="57" t="s">
        <v>559</v>
      </c>
      <c r="C82" s="57" t="s">
        <v>131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549</v>
      </c>
      <c r="J82" s="28"/>
    </row>
    <row r="83" spans="1:10" x14ac:dyDescent="0.25">
      <c r="A83" s="57" t="s">
        <v>556</v>
      </c>
      <c r="B83" s="57" t="s">
        <v>548</v>
      </c>
      <c r="C83" s="57" t="s">
        <v>131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556</v>
      </c>
      <c r="J83" s="28"/>
    </row>
    <row r="84" spans="1:10" x14ac:dyDescent="0.25">
      <c r="A84" s="57" t="s">
        <v>565</v>
      </c>
      <c r="B84" s="57" t="s">
        <v>548</v>
      </c>
      <c r="C84" s="57" t="s">
        <v>131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553</v>
      </c>
      <c r="J84" s="28"/>
    </row>
    <row r="85" spans="1:10" x14ac:dyDescent="0.25">
      <c r="A85" s="57" t="s">
        <v>563</v>
      </c>
      <c r="B85" s="57" t="s">
        <v>548</v>
      </c>
      <c r="C85" s="57" t="s">
        <v>143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550</v>
      </c>
      <c r="J85" s="28"/>
    </row>
    <row r="86" spans="1:10" x14ac:dyDescent="0.25">
      <c r="A86" s="57" t="s">
        <v>564</v>
      </c>
      <c r="B86" s="57" t="s">
        <v>559</v>
      </c>
      <c r="C86" s="57" t="s">
        <v>143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549</v>
      </c>
      <c r="J86" s="28"/>
    </row>
    <row r="87" spans="1:10" x14ac:dyDescent="0.25">
      <c r="A87" s="57" t="s">
        <v>556</v>
      </c>
      <c r="B87" s="57" t="s">
        <v>548</v>
      </c>
      <c r="C87" s="57" t="s">
        <v>143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556</v>
      </c>
      <c r="J87" s="28"/>
    </row>
    <row r="88" spans="1:10" x14ac:dyDescent="0.25">
      <c r="A88" s="57" t="s">
        <v>565</v>
      </c>
      <c r="B88" s="57" t="s">
        <v>548</v>
      </c>
      <c r="C88" s="57" t="s">
        <v>143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553</v>
      </c>
      <c r="J88" s="28"/>
    </row>
    <row r="89" spans="1:10" x14ac:dyDescent="0.25">
      <c r="A89" s="57" t="s">
        <v>563</v>
      </c>
      <c r="B89" s="57" t="s">
        <v>548</v>
      </c>
      <c r="C89" s="57" t="s">
        <v>159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550</v>
      </c>
      <c r="J89" s="28"/>
    </row>
    <row r="90" spans="1:10" x14ac:dyDescent="0.25">
      <c r="A90" s="57" t="s">
        <v>564</v>
      </c>
      <c r="B90" s="57" t="s">
        <v>559</v>
      </c>
      <c r="C90" s="57" t="s">
        <v>159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549</v>
      </c>
      <c r="J90" s="28"/>
    </row>
    <row r="91" spans="1:10" x14ac:dyDescent="0.25">
      <c r="A91" s="57" t="s">
        <v>556</v>
      </c>
      <c r="B91" s="57" t="s">
        <v>548</v>
      </c>
      <c r="C91" s="57" t="s">
        <v>159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556</v>
      </c>
      <c r="J91" s="28"/>
    </row>
    <row r="92" spans="1:10" x14ac:dyDescent="0.25">
      <c r="A92" s="57" t="s">
        <v>565</v>
      </c>
      <c r="B92" s="57" t="s">
        <v>548</v>
      </c>
      <c r="C92" s="57" t="s">
        <v>159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553</v>
      </c>
      <c r="J92" s="28"/>
    </row>
    <row r="93" spans="1:10" x14ac:dyDescent="0.25">
      <c r="A93" s="57" t="s">
        <v>563</v>
      </c>
      <c r="B93" s="57" t="s">
        <v>548</v>
      </c>
      <c r="C93" s="57" t="s">
        <v>168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550</v>
      </c>
      <c r="J93" s="28"/>
    </row>
    <row r="94" spans="1:10" x14ac:dyDescent="0.25">
      <c r="A94" s="57" t="s">
        <v>564</v>
      </c>
      <c r="B94" s="57" t="s">
        <v>559</v>
      </c>
      <c r="C94" s="57" t="s">
        <v>168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549</v>
      </c>
      <c r="J94" s="28"/>
    </row>
    <row r="95" spans="1:10" x14ac:dyDescent="0.25">
      <c r="A95" s="57" t="s">
        <v>556</v>
      </c>
      <c r="B95" s="57" t="s">
        <v>548</v>
      </c>
      <c r="C95" s="57" t="s">
        <v>168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556</v>
      </c>
      <c r="J95" s="28"/>
    </row>
    <row r="96" spans="1:10" x14ac:dyDescent="0.25">
      <c r="A96" s="57" t="s">
        <v>565</v>
      </c>
      <c r="B96" s="57" t="s">
        <v>548</v>
      </c>
      <c r="C96" s="57" t="s">
        <v>168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553</v>
      </c>
      <c r="J96" s="28"/>
    </row>
    <row r="97" spans="1:10" x14ac:dyDescent="0.25">
      <c r="A97" s="57" t="s">
        <v>570</v>
      </c>
      <c r="B97" s="57" t="s">
        <v>548</v>
      </c>
      <c r="C97" s="57" t="s">
        <v>168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550</v>
      </c>
      <c r="J97" s="28"/>
    </row>
    <row r="98" spans="1:10" x14ac:dyDescent="0.25">
      <c r="A98" s="57" t="s">
        <v>563</v>
      </c>
      <c r="B98" s="57" t="s">
        <v>548</v>
      </c>
      <c r="C98" s="57" t="s">
        <v>176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550</v>
      </c>
      <c r="J98" s="28"/>
    </row>
    <row r="99" spans="1:10" x14ac:dyDescent="0.25">
      <c r="A99" s="57" t="s">
        <v>564</v>
      </c>
      <c r="B99" s="57" t="s">
        <v>559</v>
      </c>
      <c r="C99" s="57" t="s">
        <v>176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549</v>
      </c>
      <c r="J99" s="28"/>
    </row>
    <row r="100" spans="1:10" x14ac:dyDescent="0.25">
      <c r="A100" s="57" t="s">
        <v>568</v>
      </c>
      <c r="B100" s="57" t="s">
        <v>548</v>
      </c>
      <c r="C100" s="57" t="s">
        <v>176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442</v>
      </c>
      <c r="J100" s="28"/>
    </row>
    <row r="101" spans="1:10" x14ac:dyDescent="0.25">
      <c r="A101" s="57" t="s">
        <v>556</v>
      </c>
      <c r="B101" s="57" t="s">
        <v>548</v>
      </c>
      <c r="C101" s="57" t="s">
        <v>176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556</v>
      </c>
      <c r="J101" s="28"/>
    </row>
    <row r="102" spans="1:10" x14ac:dyDescent="0.25">
      <c r="A102" s="57" t="s">
        <v>565</v>
      </c>
      <c r="B102" s="57" t="s">
        <v>548</v>
      </c>
      <c r="C102" s="57" t="s">
        <v>176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553</v>
      </c>
      <c r="J102" s="28"/>
    </row>
    <row r="103" spans="1:10" x14ac:dyDescent="0.25">
      <c r="A103" s="57" t="s">
        <v>563</v>
      </c>
      <c r="B103" s="57" t="s">
        <v>548</v>
      </c>
      <c r="C103" s="57" t="s">
        <v>183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550</v>
      </c>
      <c r="J103" s="28"/>
    </row>
    <row r="104" spans="1:10" x14ac:dyDescent="0.25">
      <c r="A104" s="57" t="s">
        <v>371</v>
      </c>
      <c r="B104" s="57" t="s">
        <v>548</v>
      </c>
      <c r="C104" s="57" t="s">
        <v>183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550</v>
      </c>
      <c r="J104" s="28"/>
    </row>
    <row r="105" spans="1:10" x14ac:dyDescent="0.25">
      <c r="A105" s="57" t="s">
        <v>566</v>
      </c>
      <c r="B105" s="57" t="s">
        <v>548</v>
      </c>
      <c r="C105" s="57" t="s">
        <v>183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550</v>
      </c>
      <c r="J105" s="28"/>
    </row>
    <row r="106" spans="1:10" x14ac:dyDescent="0.25">
      <c r="A106" s="57" t="s">
        <v>564</v>
      </c>
      <c r="B106" s="57" t="s">
        <v>559</v>
      </c>
      <c r="C106" s="57" t="s">
        <v>183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549</v>
      </c>
      <c r="J106" s="28"/>
    </row>
    <row r="107" spans="1:10" x14ac:dyDescent="0.25">
      <c r="A107" s="57" t="s">
        <v>564</v>
      </c>
      <c r="B107" s="57" t="s">
        <v>559</v>
      </c>
      <c r="C107" s="57" t="s">
        <v>183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549</v>
      </c>
      <c r="J107" s="28"/>
    </row>
    <row r="108" spans="1:10" x14ac:dyDescent="0.25">
      <c r="A108" s="57" t="s">
        <v>568</v>
      </c>
      <c r="B108" s="57" t="s">
        <v>548</v>
      </c>
      <c r="C108" s="57" t="s">
        <v>183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442</v>
      </c>
      <c r="J108" s="28"/>
    </row>
    <row r="109" spans="1:10" x14ac:dyDescent="0.25">
      <c r="A109" s="57" t="s">
        <v>556</v>
      </c>
      <c r="B109" s="57" t="s">
        <v>548</v>
      </c>
      <c r="C109" s="57" t="s">
        <v>183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556</v>
      </c>
      <c r="J109" s="28"/>
    </row>
    <row r="110" spans="1:10" x14ac:dyDescent="0.25">
      <c r="A110" s="57" t="s">
        <v>565</v>
      </c>
      <c r="B110" s="57" t="s">
        <v>548</v>
      </c>
      <c r="C110" s="57" t="s">
        <v>183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553</v>
      </c>
      <c r="J110" s="28"/>
    </row>
    <row r="111" spans="1:10" x14ac:dyDescent="0.25">
      <c r="A111" s="57" t="s">
        <v>562</v>
      </c>
      <c r="B111" s="57" t="s">
        <v>548</v>
      </c>
      <c r="C111" s="57" t="s">
        <v>188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554</v>
      </c>
      <c r="J111" s="28"/>
    </row>
    <row r="112" spans="1:10" x14ac:dyDescent="0.25">
      <c r="A112" s="57" t="s">
        <v>563</v>
      </c>
      <c r="B112" s="57" t="s">
        <v>548</v>
      </c>
      <c r="C112" s="57" t="s">
        <v>188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550</v>
      </c>
      <c r="J112" s="28"/>
    </row>
    <row r="113" spans="1:10" x14ac:dyDescent="0.25">
      <c r="A113" s="57" t="s">
        <v>564</v>
      </c>
      <c r="B113" s="57" t="s">
        <v>559</v>
      </c>
      <c r="C113" s="57" t="s">
        <v>188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549</v>
      </c>
      <c r="J113" s="28"/>
    </row>
    <row r="114" spans="1:10" x14ac:dyDescent="0.25">
      <c r="A114" s="57" t="s">
        <v>564</v>
      </c>
      <c r="B114" s="57" t="s">
        <v>559</v>
      </c>
      <c r="C114" s="57" t="s">
        <v>188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549</v>
      </c>
      <c r="J114" s="28"/>
    </row>
    <row r="115" spans="1:10" x14ac:dyDescent="0.25">
      <c r="A115" s="57" t="s">
        <v>556</v>
      </c>
      <c r="B115" s="57" t="s">
        <v>548</v>
      </c>
      <c r="C115" s="57" t="s">
        <v>188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556</v>
      </c>
      <c r="J115" s="28"/>
    </row>
    <row r="116" spans="1:10" x14ac:dyDescent="0.25">
      <c r="A116" s="57" t="s">
        <v>568</v>
      </c>
      <c r="B116" s="57" t="s">
        <v>548</v>
      </c>
      <c r="C116" s="57" t="s">
        <v>188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442</v>
      </c>
      <c r="J116" s="28"/>
    </row>
    <row r="117" spans="1:10" x14ac:dyDescent="0.25">
      <c r="A117" s="57" t="s">
        <v>565</v>
      </c>
      <c r="B117" s="57" t="s">
        <v>548</v>
      </c>
      <c r="C117" s="57" t="s">
        <v>188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553</v>
      </c>
      <c r="J117" s="28"/>
    </row>
    <row r="118" spans="1:10" x14ac:dyDescent="0.25">
      <c r="A118" s="57" t="s">
        <v>563</v>
      </c>
      <c r="B118" s="57" t="s">
        <v>548</v>
      </c>
      <c r="C118" s="57" t="s">
        <v>207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550</v>
      </c>
      <c r="J118" s="28"/>
    </row>
    <row r="119" spans="1:10" x14ac:dyDescent="0.25">
      <c r="A119" s="57" t="s">
        <v>564</v>
      </c>
      <c r="B119" s="57" t="s">
        <v>559</v>
      </c>
      <c r="C119" s="57" t="s">
        <v>207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549</v>
      </c>
      <c r="J119" s="28"/>
    </row>
    <row r="120" spans="1:10" x14ac:dyDescent="0.25">
      <c r="A120" s="57" t="s">
        <v>556</v>
      </c>
      <c r="B120" s="57" t="s">
        <v>548</v>
      </c>
      <c r="C120" s="57" t="s">
        <v>207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556</v>
      </c>
      <c r="J120" s="28"/>
    </row>
    <row r="121" spans="1:10" x14ac:dyDescent="0.25">
      <c r="A121" s="57" t="s">
        <v>568</v>
      </c>
      <c r="B121" s="57" t="s">
        <v>548</v>
      </c>
      <c r="C121" s="57" t="s">
        <v>207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442</v>
      </c>
      <c r="J121" s="28"/>
    </row>
    <row r="122" spans="1:10" x14ac:dyDescent="0.25">
      <c r="A122" s="57" t="s">
        <v>565</v>
      </c>
      <c r="B122" s="57" t="s">
        <v>548</v>
      </c>
      <c r="C122" s="57" t="s">
        <v>207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553</v>
      </c>
      <c r="J122" s="28"/>
    </row>
    <row r="123" spans="1:10" x14ac:dyDescent="0.25">
      <c r="A123" s="57" t="s">
        <v>563</v>
      </c>
      <c r="B123" s="57" t="s">
        <v>548</v>
      </c>
      <c r="C123" s="57" t="s">
        <v>215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550</v>
      </c>
      <c r="J123" s="28"/>
    </row>
    <row r="124" spans="1:10" x14ac:dyDescent="0.25">
      <c r="A124" s="57" t="s">
        <v>564</v>
      </c>
      <c r="B124" s="57" t="s">
        <v>559</v>
      </c>
      <c r="C124" s="57" t="s">
        <v>215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549</v>
      </c>
      <c r="J124" s="28"/>
    </row>
    <row r="125" spans="1:10" x14ac:dyDescent="0.25">
      <c r="A125" s="57" t="s">
        <v>556</v>
      </c>
      <c r="B125" s="57" t="s">
        <v>548</v>
      </c>
      <c r="C125" s="57" t="s">
        <v>215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556</v>
      </c>
      <c r="J125" s="28"/>
    </row>
    <row r="126" spans="1:10" x14ac:dyDescent="0.25">
      <c r="A126" s="57" t="s">
        <v>568</v>
      </c>
      <c r="B126" s="57" t="s">
        <v>548</v>
      </c>
      <c r="C126" s="57" t="s">
        <v>215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442</v>
      </c>
      <c r="J126" s="28"/>
    </row>
    <row r="127" spans="1:10" x14ac:dyDescent="0.25">
      <c r="A127" s="57" t="s">
        <v>565</v>
      </c>
      <c r="B127" s="57" t="s">
        <v>548</v>
      </c>
      <c r="C127" s="57" t="s">
        <v>215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553</v>
      </c>
      <c r="J127" s="28"/>
    </row>
    <row r="128" spans="1:10" x14ac:dyDescent="0.25">
      <c r="A128" s="57" t="s">
        <v>563</v>
      </c>
      <c r="B128" s="57" t="s">
        <v>548</v>
      </c>
      <c r="C128" s="57" t="s">
        <v>68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550</v>
      </c>
      <c r="J128" s="28"/>
    </row>
    <row r="129" spans="1:10" x14ac:dyDescent="0.25">
      <c r="A129" s="57" t="s">
        <v>564</v>
      </c>
      <c r="B129" s="57" t="s">
        <v>559</v>
      </c>
      <c r="C129" s="57" t="s">
        <v>68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549</v>
      </c>
      <c r="J129" s="28"/>
    </row>
    <row r="130" spans="1:10" x14ac:dyDescent="0.25">
      <c r="A130" s="57" t="s">
        <v>556</v>
      </c>
      <c r="B130" s="57" t="s">
        <v>548</v>
      </c>
      <c r="C130" s="57" t="s">
        <v>68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556</v>
      </c>
      <c r="J130" s="28"/>
    </row>
    <row r="131" spans="1:10" x14ac:dyDescent="0.25">
      <c r="A131" s="57" t="s">
        <v>568</v>
      </c>
      <c r="B131" s="57" t="s">
        <v>548</v>
      </c>
      <c r="C131" s="57" t="s">
        <v>68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442</v>
      </c>
      <c r="J131" s="28"/>
    </row>
    <row r="132" spans="1:10" x14ac:dyDescent="0.25">
      <c r="A132" s="57" t="s">
        <v>565</v>
      </c>
      <c r="B132" s="57" t="s">
        <v>548</v>
      </c>
      <c r="C132" s="57" t="s">
        <v>68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553</v>
      </c>
      <c r="J132" s="28"/>
    </row>
    <row r="133" spans="1:10" x14ac:dyDescent="0.25">
      <c r="A133" s="57" t="s">
        <v>563</v>
      </c>
      <c r="B133" s="57" t="s">
        <v>548</v>
      </c>
      <c r="C133" s="57" t="s">
        <v>80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550</v>
      </c>
      <c r="J133" s="28"/>
    </row>
    <row r="134" spans="1:10" x14ac:dyDescent="0.25">
      <c r="A134" s="57" t="s">
        <v>564</v>
      </c>
      <c r="B134" s="57" t="s">
        <v>559</v>
      </c>
      <c r="C134" s="57" t="s">
        <v>80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549</v>
      </c>
      <c r="J134" s="28"/>
    </row>
    <row r="135" spans="1:10" x14ac:dyDescent="0.25">
      <c r="A135" s="57" t="s">
        <v>556</v>
      </c>
      <c r="B135" s="57" t="s">
        <v>548</v>
      </c>
      <c r="C135" s="57" t="s">
        <v>80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556</v>
      </c>
      <c r="J135" s="28"/>
    </row>
    <row r="136" spans="1:10" x14ac:dyDescent="0.25">
      <c r="A136" s="57" t="s">
        <v>568</v>
      </c>
      <c r="B136" s="57" t="s">
        <v>548</v>
      </c>
      <c r="C136" s="57" t="s">
        <v>80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442</v>
      </c>
      <c r="J136" s="28"/>
    </row>
    <row r="137" spans="1:10" x14ac:dyDescent="0.25">
      <c r="A137" s="57" t="s">
        <v>565</v>
      </c>
      <c r="B137" s="57" t="s">
        <v>548</v>
      </c>
      <c r="C137" s="57" t="s">
        <v>80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553</v>
      </c>
      <c r="J137" s="28"/>
    </row>
    <row r="138" spans="1:10" x14ac:dyDescent="0.25">
      <c r="A138" s="57" t="s">
        <v>563</v>
      </c>
      <c r="B138" s="57" t="s">
        <v>548</v>
      </c>
      <c r="C138" s="57" t="s">
        <v>119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550</v>
      </c>
      <c r="J138" s="28"/>
    </row>
    <row r="139" spans="1:10" x14ac:dyDescent="0.25">
      <c r="A139" s="57" t="s">
        <v>370</v>
      </c>
      <c r="B139" s="61" t="s">
        <v>548</v>
      </c>
      <c r="C139" s="57" t="s">
        <v>119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370</v>
      </c>
      <c r="J139" s="28"/>
    </row>
    <row r="140" spans="1:10" x14ac:dyDescent="0.25">
      <c r="A140" s="57" t="s">
        <v>564</v>
      </c>
      <c r="B140" s="57" t="s">
        <v>559</v>
      </c>
      <c r="C140" s="57" t="s">
        <v>119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549</v>
      </c>
      <c r="J140" s="28"/>
    </row>
    <row r="141" spans="1:10" x14ac:dyDescent="0.25">
      <c r="A141" s="57" t="s">
        <v>556</v>
      </c>
      <c r="B141" s="57" t="s">
        <v>548</v>
      </c>
      <c r="C141" s="57" t="s">
        <v>119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556</v>
      </c>
      <c r="J141" s="28"/>
    </row>
    <row r="142" spans="1:10" x14ac:dyDescent="0.25">
      <c r="A142" s="57" t="s">
        <v>568</v>
      </c>
      <c r="B142" s="57" t="s">
        <v>548</v>
      </c>
      <c r="C142" s="57" t="s">
        <v>119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442</v>
      </c>
      <c r="J142" s="28"/>
    </row>
    <row r="143" spans="1:10" x14ac:dyDescent="0.25">
      <c r="A143" s="57" t="s">
        <v>565</v>
      </c>
      <c r="B143" s="57" t="s">
        <v>548</v>
      </c>
      <c r="C143" s="57" t="s">
        <v>119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553</v>
      </c>
      <c r="J143" s="28"/>
    </row>
    <row r="144" spans="1:10" x14ac:dyDescent="0.25">
      <c r="A144" s="57" t="s">
        <v>563</v>
      </c>
      <c r="B144" s="57" t="s">
        <v>548</v>
      </c>
      <c r="C144" s="57" t="s">
        <v>131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550</v>
      </c>
      <c r="J144" s="28"/>
    </row>
    <row r="145" spans="1:10" x14ac:dyDescent="0.25">
      <c r="A145" s="57" t="s">
        <v>564</v>
      </c>
      <c r="B145" s="57" t="s">
        <v>559</v>
      </c>
      <c r="C145" s="57" t="s">
        <v>131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549</v>
      </c>
      <c r="J145" s="28"/>
    </row>
    <row r="146" spans="1:10" x14ac:dyDescent="0.25">
      <c r="A146" s="57" t="s">
        <v>556</v>
      </c>
      <c r="B146" s="57" t="s">
        <v>548</v>
      </c>
      <c r="C146" s="57" t="s">
        <v>131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556</v>
      </c>
      <c r="J146" s="28"/>
    </row>
    <row r="147" spans="1:10" x14ac:dyDescent="0.25">
      <c r="A147" s="57" t="s">
        <v>568</v>
      </c>
      <c r="B147" s="57" t="s">
        <v>548</v>
      </c>
      <c r="C147" s="57" t="s">
        <v>131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442</v>
      </c>
      <c r="J147" s="28"/>
    </row>
    <row r="148" spans="1:10" x14ac:dyDescent="0.25">
      <c r="A148" s="57" t="s">
        <v>565</v>
      </c>
      <c r="B148" s="57" t="s">
        <v>548</v>
      </c>
      <c r="C148" s="57" t="s">
        <v>131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553</v>
      </c>
      <c r="J148" s="28"/>
    </row>
    <row r="149" spans="1:10" x14ac:dyDescent="0.25">
      <c r="A149" s="57" t="s">
        <v>563</v>
      </c>
      <c r="B149" s="57" t="s">
        <v>548</v>
      </c>
      <c r="C149" s="57" t="s">
        <v>143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550</v>
      </c>
      <c r="J149" s="28"/>
    </row>
    <row r="150" spans="1:10" x14ac:dyDescent="0.25">
      <c r="A150" s="57" t="s">
        <v>564</v>
      </c>
      <c r="B150" s="57" t="s">
        <v>559</v>
      </c>
      <c r="C150" s="57" t="s">
        <v>143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549</v>
      </c>
      <c r="J150" s="28"/>
    </row>
    <row r="151" spans="1:10" x14ac:dyDescent="0.25">
      <c r="A151" s="57" t="s">
        <v>556</v>
      </c>
      <c r="B151" s="57" t="s">
        <v>548</v>
      </c>
      <c r="C151" s="57" t="s">
        <v>143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556</v>
      </c>
      <c r="J151" s="28"/>
    </row>
    <row r="152" spans="1:10" x14ac:dyDescent="0.25">
      <c r="A152" s="57" t="s">
        <v>568</v>
      </c>
      <c r="B152" s="57" t="s">
        <v>548</v>
      </c>
      <c r="C152" s="57" t="s">
        <v>143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442</v>
      </c>
      <c r="J152" s="28"/>
    </row>
    <row r="153" spans="1:10" x14ac:dyDescent="0.25">
      <c r="A153" s="57" t="s">
        <v>565</v>
      </c>
      <c r="B153" s="57" t="s">
        <v>548</v>
      </c>
      <c r="C153" s="57" t="s">
        <v>143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553</v>
      </c>
      <c r="J153" s="28"/>
    </row>
    <row r="154" spans="1:10" x14ac:dyDescent="0.25">
      <c r="A154" s="57" t="s">
        <v>563</v>
      </c>
      <c r="B154" s="57" t="s">
        <v>548</v>
      </c>
      <c r="C154" s="57" t="s">
        <v>159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550</v>
      </c>
      <c r="J154" s="28"/>
    </row>
    <row r="155" spans="1:10" x14ac:dyDescent="0.25">
      <c r="A155" s="57" t="s">
        <v>564</v>
      </c>
      <c r="B155" s="57" t="s">
        <v>559</v>
      </c>
      <c r="C155" s="57" t="s">
        <v>159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549</v>
      </c>
      <c r="J155" s="28"/>
    </row>
    <row r="156" spans="1:10" x14ac:dyDescent="0.25">
      <c r="A156" s="57" t="s">
        <v>556</v>
      </c>
      <c r="B156" s="57" t="s">
        <v>548</v>
      </c>
      <c r="C156" s="57" t="s">
        <v>159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556</v>
      </c>
      <c r="J156" s="28"/>
    </row>
    <row r="157" spans="1:10" x14ac:dyDescent="0.25">
      <c r="A157" s="57" t="s">
        <v>568</v>
      </c>
      <c r="B157" s="57" t="s">
        <v>548</v>
      </c>
      <c r="C157" s="57" t="s">
        <v>159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442</v>
      </c>
      <c r="J157" s="28"/>
    </row>
    <row r="158" spans="1:10" x14ac:dyDescent="0.25">
      <c r="A158" s="57" t="s">
        <v>565</v>
      </c>
      <c r="B158" s="57" t="s">
        <v>548</v>
      </c>
      <c r="C158" s="57" t="s">
        <v>159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553</v>
      </c>
      <c r="J158" s="28"/>
    </row>
    <row r="159" spans="1:10" x14ac:dyDescent="0.25">
      <c r="A159" s="57" t="s">
        <v>563</v>
      </c>
      <c r="B159" s="57" t="s">
        <v>548</v>
      </c>
      <c r="C159" s="57" t="s">
        <v>168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550</v>
      </c>
      <c r="J159" s="28"/>
    </row>
    <row r="160" spans="1:10" x14ac:dyDescent="0.25">
      <c r="A160" s="57" t="s">
        <v>564</v>
      </c>
      <c r="B160" s="57" t="s">
        <v>559</v>
      </c>
      <c r="C160" s="57" t="s">
        <v>168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549</v>
      </c>
      <c r="J160" s="28"/>
    </row>
    <row r="161" spans="1:10" x14ac:dyDescent="0.25">
      <c r="A161" s="57" t="s">
        <v>556</v>
      </c>
      <c r="B161" s="57" t="s">
        <v>548</v>
      </c>
      <c r="C161" s="57" t="s">
        <v>168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556</v>
      </c>
      <c r="J161" s="28"/>
    </row>
    <row r="162" spans="1:10" x14ac:dyDescent="0.25">
      <c r="A162" s="57" t="s">
        <v>568</v>
      </c>
      <c r="B162" s="57" t="s">
        <v>548</v>
      </c>
      <c r="C162" s="57" t="s">
        <v>168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442</v>
      </c>
      <c r="J162" s="28"/>
    </row>
    <row r="163" spans="1:10" x14ac:dyDescent="0.25">
      <c r="A163" s="57" t="s">
        <v>565</v>
      </c>
      <c r="B163" s="57" t="s">
        <v>548</v>
      </c>
      <c r="C163" s="57" t="s">
        <v>168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553</v>
      </c>
      <c r="J163" s="28"/>
    </row>
    <row r="164" spans="1:10" x14ac:dyDescent="0.25">
      <c r="A164" s="57" t="s">
        <v>563</v>
      </c>
      <c r="B164" s="57" t="s">
        <v>548</v>
      </c>
      <c r="C164" s="57" t="s">
        <v>176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550</v>
      </c>
      <c r="J164" s="28"/>
    </row>
    <row r="165" spans="1:10" x14ac:dyDescent="0.25">
      <c r="A165" s="57" t="s">
        <v>564</v>
      </c>
      <c r="B165" s="57" t="s">
        <v>559</v>
      </c>
      <c r="C165" s="57" t="s">
        <v>176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549</v>
      </c>
      <c r="J165" s="28"/>
    </row>
    <row r="166" spans="1:10" x14ac:dyDescent="0.25">
      <c r="A166" s="57" t="s">
        <v>556</v>
      </c>
      <c r="B166" s="57" t="s">
        <v>548</v>
      </c>
      <c r="C166" s="57" t="s">
        <v>176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556</v>
      </c>
      <c r="J166" s="28"/>
    </row>
    <row r="167" spans="1:10" x14ac:dyDescent="0.25">
      <c r="A167" s="57" t="s">
        <v>569</v>
      </c>
      <c r="B167" s="57" t="s">
        <v>548</v>
      </c>
      <c r="C167" s="57" t="s">
        <v>176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549</v>
      </c>
      <c r="J167" s="28"/>
    </row>
    <row r="168" spans="1:10" x14ac:dyDescent="0.25">
      <c r="A168" s="57" t="s">
        <v>568</v>
      </c>
      <c r="B168" s="57" t="s">
        <v>548</v>
      </c>
      <c r="C168" s="57" t="s">
        <v>176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442</v>
      </c>
      <c r="J168" s="28"/>
    </row>
    <row r="169" spans="1:10" x14ac:dyDescent="0.25">
      <c r="A169" s="57" t="s">
        <v>565</v>
      </c>
      <c r="B169" s="57" t="s">
        <v>548</v>
      </c>
      <c r="C169" s="57" t="s">
        <v>176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553</v>
      </c>
      <c r="J169" s="28"/>
    </row>
    <row r="170" spans="1:10" x14ac:dyDescent="0.25">
      <c r="A170" s="57" t="s">
        <v>563</v>
      </c>
      <c r="B170" s="57" t="s">
        <v>548</v>
      </c>
      <c r="C170" s="57" t="s">
        <v>183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550</v>
      </c>
      <c r="J170" s="28"/>
    </row>
    <row r="171" spans="1:10" x14ac:dyDescent="0.25">
      <c r="A171" s="57" t="s">
        <v>371</v>
      </c>
      <c r="B171" s="57" t="s">
        <v>548</v>
      </c>
      <c r="C171" s="57" t="s">
        <v>183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550</v>
      </c>
      <c r="J171" s="28"/>
    </row>
    <row r="172" spans="1:10" x14ac:dyDescent="0.25">
      <c r="A172" s="57" t="s">
        <v>566</v>
      </c>
      <c r="B172" s="57" t="s">
        <v>548</v>
      </c>
      <c r="C172" s="57" t="s">
        <v>183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550</v>
      </c>
      <c r="J172" s="28"/>
    </row>
    <row r="173" spans="1:10" x14ac:dyDescent="0.25">
      <c r="A173" s="57" t="s">
        <v>564</v>
      </c>
      <c r="B173" s="57" t="s">
        <v>559</v>
      </c>
      <c r="C173" s="57" t="s">
        <v>183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549</v>
      </c>
      <c r="J173" s="28"/>
    </row>
    <row r="174" spans="1:10" x14ac:dyDescent="0.25">
      <c r="A174" s="57" t="s">
        <v>566</v>
      </c>
      <c r="B174" s="57" t="s">
        <v>548</v>
      </c>
      <c r="C174" s="57" t="s">
        <v>183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550</v>
      </c>
      <c r="J174" s="28"/>
    </row>
    <row r="175" spans="1:10" x14ac:dyDescent="0.25">
      <c r="A175" s="57" t="s">
        <v>556</v>
      </c>
      <c r="B175" s="57" t="s">
        <v>548</v>
      </c>
      <c r="C175" s="57" t="s">
        <v>183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556</v>
      </c>
      <c r="J175" s="28"/>
    </row>
    <row r="176" spans="1:10" x14ac:dyDescent="0.25">
      <c r="A176" s="57" t="s">
        <v>567</v>
      </c>
      <c r="B176" s="57" t="s">
        <v>548</v>
      </c>
      <c r="C176" s="57" t="s">
        <v>183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474</v>
      </c>
      <c r="J176" s="28"/>
    </row>
    <row r="177" spans="1:10" x14ac:dyDescent="0.25">
      <c r="A177" s="57" t="s">
        <v>568</v>
      </c>
      <c r="B177" s="57" t="s">
        <v>548</v>
      </c>
      <c r="C177" s="57" t="s">
        <v>183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442</v>
      </c>
      <c r="J177" s="28"/>
    </row>
    <row r="178" spans="1:10" x14ac:dyDescent="0.25">
      <c r="A178" s="57" t="s">
        <v>565</v>
      </c>
      <c r="B178" s="57" t="s">
        <v>548</v>
      </c>
      <c r="C178" s="57" t="s">
        <v>183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553</v>
      </c>
      <c r="J178" s="28"/>
    </row>
    <row r="179" spans="1:10" x14ac:dyDescent="0.25">
      <c r="A179" s="57" t="s">
        <v>563</v>
      </c>
      <c r="B179" s="57" t="s">
        <v>548</v>
      </c>
      <c r="C179" s="57" t="s">
        <v>188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550</v>
      </c>
      <c r="J179" s="28"/>
    </row>
    <row r="180" spans="1:10" x14ac:dyDescent="0.25">
      <c r="A180" s="57" t="s">
        <v>564</v>
      </c>
      <c r="B180" s="57" t="s">
        <v>559</v>
      </c>
      <c r="C180" s="57" t="s">
        <v>188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549</v>
      </c>
      <c r="J180" s="28"/>
    </row>
    <row r="181" spans="1:10" x14ac:dyDescent="0.25">
      <c r="A181" s="57" t="s">
        <v>556</v>
      </c>
      <c r="B181" s="57" t="s">
        <v>548</v>
      </c>
      <c r="C181" s="57" t="s">
        <v>188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556</v>
      </c>
      <c r="J181" s="28"/>
    </row>
    <row r="182" spans="1:10" x14ac:dyDescent="0.25">
      <c r="A182" s="57" t="s">
        <v>567</v>
      </c>
      <c r="B182" s="57" t="s">
        <v>548</v>
      </c>
      <c r="C182" s="57" t="s">
        <v>188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474</v>
      </c>
      <c r="J182" s="28"/>
    </row>
    <row r="183" spans="1:10" x14ac:dyDescent="0.25">
      <c r="A183" s="57" t="s">
        <v>568</v>
      </c>
      <c r="B183" s="57" t="s">
        <v>548</v>
      </c>
      <c r="C183" s="57" t="s">
        <v>188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442</v>
      </c>
      <c r="J183" s="28"/>
    </row>
    <row r="184" spans="1:10" x14ac:dyDescent="0.25">
      <c r="A184" s="57" t="s">
        <v>565</v>
      </c>
      <c r="B184" s="57" t="s">
        <v>548</v>
      </c>
      <c r="C184" s="57" t="s">
        <v>188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553</v>
      </c>
      <c r="J184" s="28"/>
    </row>
    <row r="185" spans="1:10" x14ac:dyDescent="0.25">
      <c r="A185" s="57" t="s">
        <v>562</v>
      </c>
      <c r="B185" s="57" t="s">
        <v>548</v>
      </c>
      <c r="C185" s="57" t="s">
        <v>207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554</v>
      </c>
      <c r="J185" s="28"/>
    </row>
    <row r="186" spans="1:10" x14ac:dyDescent="0.25">
      <c r="A186" s="57" t="s">
        <v>563</v>
      </c>
      <c r="B186" s="57" t="s">
        <v>548</v>
      </c>
      <c r="C186" s="57" t="s">
        <v>207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550</v>
      </c>
      <c r="J186" s="28"/>
    </row>
    <row r="187" spans="1:10" x14ac:dyDescent="0.25">
      <c r="A187" s="57" t="s">
        <v>564</v>
      </c>
      <c r="B187" s="57" t="s">
        <v>559</v>
      </c>
      <c r="C187" s="57" t="s">
        <v>207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549</v>
      </c>
      <c r="J187" s="28"/>
    </row>
    <row r="188" spans="1:10" x14ac:dyDescent="0.25">
      <c r="A188" s="57" t="s">
        <v>556</v>
      </c>
      <c r="B188" s="57" t="s">
        <v>548</v>
      </c>
      <c r="C188" s="57" t="s">
        <v>207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556</v>
      </c>
      <c r="J188" s="28"/>
    </row>
    <row r="189" spans="1:10" x14ac:dyDescent="0.25">
      <c r="A189" s="57" t="s">
        <v>567</v>
      </c>
      <c r="B189" s="57" t="s">
        <v>548</v>
      </c>
      <c r="C189" s="57" t="s">
        <v>207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474</v>
      </c>
      <c r="J189" s="28"/>
    </row>
    <row r="190" spans="1:10" x14ac:dyDescent="0.25">
      <c r="A190" s="57" t="s">
        <v>568</v>
      </c>
      <c r="B190" s="57" t="s">
        <v>548</v>
      </c>
      <c r="C190" s="57" t="s">
        <v>207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442</v>
      </c>
      <c r="J190" s="28"/>
    </row>
    <row r="191" spans="1:10" x14ac:dyDescent="0.25">
      <c r="A191" s="57" t="s">
        <v>565</v>
      </c>
      <c r="B191" s="57" t="s">
        <v>548</v>
      </c>
      <c r="C191" s="57" t="s">
        <v>207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553</v>
      </c>
      <c r="J191" s="28"/>
    </row>
    <row r="192" spans="1:10" x14ac:dyDescent="0.25">
      <c r="A192" s="57" t="s">
        <v>563</v>
      </c>
      <c r="B192" s="57" t="s">
        <v>548</v>
      </c>
      <c r="C192" s="57" t="s">
        <v>215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550</v>
      </c>
      <c r="J192" s="28"/>
    </row>
    <row r="193" spans="1:10" x14ac:dyDescent="0.25">
      <c r="A193" s="57" t="s">
        <v>564</v>
      </c>
      <c r="B193" s="57" t="s">
        <v>559</v>
      </c>
      <c r="C193" s="57" t="s">
        <v>215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549</v>
      </c>
      <c r="J193" s="28"/>
    </row>
    <row r="194" spans="1:10" x14ac:dyDescent="0.25">
      <c r="A194" s="57" t="s">
        <v>556</v>
      </c>
      <c r="B194" s="57" t="s">
        <v>548</v>
      </c>
      <c r="C194" s="57" t="s">
        <v>215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556</v>
      </c>
      <c r="J194" s="28"/>
    </row>
    <row r="195" spans="1:10" x14ac:dyDescent="0.25">
      <c r="A195" s="57" t="s">
        <v>567</v>
      </c>
      <c r="B195" s="57" t="s">
        <v>548</v>
      </c>
      <c r="C195" s="57" t="s">
        <v>215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474</v>
      </c>
      <c r="J195" s="28"/>
    </row>
    <row r="196" spans="1:10" x14ac:dyDescent="0.25">
      <c r="A196" s="57" t="s">
        <v>568</v>
      </c>
      <c r="B196" s="57" t="s">
        <v>548</v>
      </c>
      <c r="C196" s="57" t="s">
        <v>215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442</v>
      </c>
      <c r="J196" s="28"/>
    </row>
    <row r="197" spans="1:10" x14ac:dyDescent="0.25">
      <c r="A197" s="57" t="s">
        <v>565</v>
      </c>
      <c r="B197" s="57" t="s">
        <v>548</v>
      </c>
      <c r="C197" s="57" t="s">
        <v>215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553</v>
      </c>
      <c r="J197" s="28"/>
    </row>
    <row r="198" spans="1:10" x14ac:dyDescent="0.25">
      <c r="A198" s="57" t="s">
        <v>563</v>
      </c>
      <c r="B198" s="57" t="s">
        <v>548</v>
      </c>
      <c r="C198" s="57" t="s">
        <v>68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550</v>
      </c>
      <c r="J198" s="28"/>
    </row>
    <row r="199" spans="1:10" x14ac:dyDescent="0.25">
      <c r="A199" s="57" t="s">
        <v>564</v>
      </c>
      <c r="B199" s="57" t="s">
        <v>559</v>
      </c>
      <c r="C199" s="57" t="s">
        <v>68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549</v>
      </c>
      <c r="J199" s="28"/>
    </row>
    <row r="200" spans="1:10" x14ac:dyDescent="0.25">
      <c r="A200" s="57" t="s">
        <v>556</v>
      </c>
      <c r="B200" s="57" t="s">
        <v>548</v>
      </c>
      <c r="C200" s="57" t="s">
        <v>68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556</v>
      </c>
      <c r="J200" s="28"/>
    </row>
    <row r="201" spans="1:10" x14ac:dyDescent="0.25">
      <c r="A201" s="57" t="s">
        <v>567</v>
      </c>
      <c r="B201" s="57" t="s">
        <v>548</v>
      </c>
      <c r="C201" s="57" t="s">
        <v>68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474</v>
      </c>
      <c r="J201" s="28"/>
    </row>
    <row r="202" spans="1:10" x14ac:dyDescent="0.25">
      <c r="A202" s="57" t="s">
        <v>568</v>
      </c>
      <c r="B202" s="57" t="s">
        <v>548</v>
      </c>
      <c r="C202" s="57" t="s">
        <v>68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442</v>
      </c>
      <c r="J202" s="28"/>
    </row>
    <row r="203" spans="1:10" x14ac:dyDescent="0.25">
      <c r="A203" s="57" t="s">
        <v>565</v>
      </c>
      <c r="B203" s="57" t="s">
        <v>548</v>
      </c>
      <c r="C203" s="57" t="s">
        <v>68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553</v>
      </c>
      <c r="J203" s="28"/>
    </row>
    <row r="204" spans="1:10" x14ac:dyDescent="0.25">
      <c r="A204" s="57" t="s">
        <v>563</v>
      </c>
      <c r="B204" s="57" t="s">
        <v>548</v>
      </c>
      <c r="C204" s="57" t="s">
        <v>80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550</v>
      </c>
      <c r="J204" s="28"/>
    </row>
    <row r="205" spans="1:10" x14ac:dyDescent="0.25">
      <c r="A205" s="57" t="s">
        <v>564</v>
      </c>
      <c r="B205" s="57" t="s">
        <v>559</v>
      </c>
      <c r="C205" s="57" t="s">
        <v>80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549</v>
      </c>
      <c r="J205" s="28"/>
    </row>
    <row r="206" spans="1:10" x14ac:dyDescent="0.25">
      <c r="A206" s="57" t="s">
        <v>556</v>
      </c>
      <c r="B206" s="57" t="s">
        <v>548</v>
      </c>
      <c r="C206" s="57" t="s">
        <v>80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556</v>
      </c>
      <c r="J206" s="28"/>
    </row>
    <row r="207" spans="1:10" x14ac:dyDescent="0.25">
      <c r="A207" s="57" t="s">
        <v>567</v>
      </c>
      <c r="B207" s="57" t="s">
        <v>548</v>
      </c>
      <c r="C207" s="57" t="s">
        <v>80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474</v>
      </c>
      <c r="J207" s="28"/>
    </row>
    <row r="208" spans="1:10" x14ac:dyDescent="0.25">
      <c r="A208" s="57" t="s">
        <v>568</v>
      </c>
      <c r="B208" s="57" t="s">
        <v>548</v>
      </c>
      <c r="C208" s="57" t="s">
        <v>80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442</v>
      </c>
      <c r="J208" s="28"/>
    </row>
    <row r="209" spans="1:10" x14ac:dyDescent="0.25">
      <c r="A209" s="57" t="s">
        <v>565</v>
      </c>
      <c r="B209" s="57" t="s">
        <v>548</v>
      </c>
      <c r="C209" s="57" t="s">
        <v>80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553</v>
      </c>
      <c r="J209" s="28"/>
    </row>
    <row r="210" spans="1:10" x14ac:dyDescent="0.25">
      <c r="A210" s="57" t="s">
        <v>563</v>
      </c>
      <c r="B210" s="57" t="s">
        <v>548</v>
      </c>
      <c r="C210" s="57" t="s">
        <v>119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550</v>
      </c>
      <c r="J210" s="28"/>
    </row>
    <row r="211" spans="1:10" x14ac:dyDescent="0.25">
      <c r="A211" s="57" t="s">
        <v>564</v>
      </c>
      <c r="B211" s="57" t="s">
        <v>559</v>
      </c>
      <c r="C211" s="57" t="s">
        <v>119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549</v>
      </c>
      <c r="J211" s="28"/>
    </row>
    <row r="212" spans="1:10" x14ac:dyDescent="0.25">
      <c r="A212" s="57" t="s">
        <v>556</v>
      </c>
      <c r="B212" s="57" t="s">
        <v>548</v>
      </c>
      <c r="C212" s="57" t="s">
        <v>119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556</v>
      </c>
      <c r="J212" s="28"/>
    </row>
    <row r="213" spans="1:10" x14ac:dyDescent="0.25">
      <c r="A213" s="57" t="s">
        <v>567</v>
      </c>
      <c r="B213" s="57" t="s">
        <v>548</v>
      </c>
      <c r="C213" s="57" t="s">
        <v>119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474</v>
      </c>
      <c r="J213" s="28"/>
    </row>
    <row r="214" spans="1:10" x14ac:dyDescent="0.25">
      <c r="A214" s="57" t="s">
        <v>568</v>
      </c>
      <c r="B214" s="57" t="s">
        <v>548</v>
      </c>
      <c r="C214" s="57" t="s">
        <v>119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442</v>
      </c>
      <c r="J214" s="28"/>
    </row>
    <row r="215" spans="1:10" x14ac:dyDescent="0.25">
      <c r="A215" s="57" t="s">
        <v>565</v>
      </c>
      <c r="B215" s="57" t="s">
        <v>548</v>
      </c>
      <c r="C215" s="57" t="s">
        <v>119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553</v>
      </c>
      <c r="J215" s="28"/>
    </row>
    <row r="216" spans="1:10" x14ac:dyDescent="0.25">
      <c r="A216" s="57" t="s">
        <v>563</v>
      </c>
      <c r="B216" s="57" t="s">
        <v>548</v>
      </c>
      <c r="C216" s="57" t="s">
        <v>131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550</v>
      </c>
      <c r="J216" s="28"/>
    </row>
    <row r="217" spans="1:10" x14ac:dyDescent="0.25">
      <c r="A217" s="57" t="s">
        <v>564</v>
      </c>
      <c r="B217" s="57" t="s">
        <v>559</v>
      </c>
      <c r="C217" s="57" t="s">
        <v>131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549</v>
      </c>
      <c r="J217" s="28"/>
    </row>
    <row r="218" spans="1:10" x14ac:dyDescent="0.25">
      <c r="A218" s="57" t="s">
        <v>556</v>
      </c>
      <c r="B218" s="57" t="s">
        <v>548</v>
      </c>
      <c r="C218" s="57" t="s">
        <v>131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556</v>
      </c>
      <c r="J218" s="28"/>
    </row>
    <row r="219" spans="1:10" x14ac:dyDescent="0.25">
      <c r="A219" s="57" t="s">
        <v>567</v>
      </c>
      <c r="B219" s="57" t="s">
        <v>548</v>
      </c>
      <c r="C219" s="57" t="s">
        <v>131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474</v>
      </c>
      <c r="J219" s="28"/>
    </row>
    <row r="220" spans="1:10" x14ac:dyDescent="0.25">
      <c r="A220" s="57" t="s">
        <v>568</v>
      </c>
      <c r="B220" s="57" t="s">
        <v>548</v>
      </c>
      <c r="C220" s="57" t="s">
        <v>131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442</v>
      </c>
      <c r="J220" s="28"/>
    </row>
    <row r="221" spans="1:10" x14ac:dyDescent="0.25">
      <c r="A221" s="57" t="s">
        <v>565</v>
      </c>
      <c r="B221" s="57" t="s">
        <v>548</v>
      </c>
      <c r="C221" s="57" t="s">
        <v>131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553</v>
      </c>
      <c r="J221" s="28"/>
    </row>
    <row r="222" spans="1:10" x14ac:dyDescent="0.25">
      <c r="A222" s="57" t="s">
        <v>563</v>
      </c>
      <c r="B222" s="57" t="s">
        <v>548</v>
      </c>
      <c r="C222" s="57" t="s">
        <v>143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550</v>
      </c>
      <c r="J222" s="28"/>
    </row>
    <row r="223" spans="1:10" x14ac:dyDescent="0.25">
      <c r="A223" s="57" t="s">
        <v>564</v>
      </c>
      <c r="B223" s="57" t="s">
        <v>559</v>
      </c>
      <c r="C223" s="57" t="s">
        <v>143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549</v>
      </c>
      <c r="J223" s="28"/>
    </row>
    <row r="224" spans="1:10" x14ac:dyDescent="0.25">
      <c r="A224" s="57" t="s">
        <v>556</v>
      </c>
      <c r="B224" s="57" t="s">
        <v>548</v>
      </c>
      <c r="C224" s="57" t="s">
        <v>143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556</v>
      </c>
      <c r="J224" s="28"/>
    </row>
    <row r="225" spans="1:10" x14ac:dyDescent="0.25">
      <c r="A225" s="57" t="s">
        <v>567</v>
      </c>
      <c r="B225" s="57" t="s">
        <v>548</v>
      </c>
      <c r="C225" s="57" t="s">
        <v>143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474</v>
      </c>
      <c r="J225" s="28"/>
    </row>
    <row r="226" spans="1:10" x14ac:dyDescent="0.25">
      <c r="A226" s="57" t="s">
        <v>568</v>
      </c>
      <c r="B226" s="57" t="s">
        <v>548</v>
      </c>
      <c r="C226" s="57" t="s">
        <v>143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442</v>
      </c>
      <c r="J226" s="28"/>
    </row>
    <row r="227" spans="1:10" x14ac:dyDescent="0.25">
      <c r="A227" s="57" t="s">
        <v>565</v>
      </c>
      <c r="B227" s="57" t="s">
        <v>548</v>
      </c>
      <c r="C227" s="57" t="s">
        <v>143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553</v>
      </c>
      <c r="J227" s="28"/>
    </row>
    <row r="228" spans="1:10" x14ac:dyDescent="0.25">
      <c r="A228" s="57" t="s">
        <v>563</v>
      </c>
      <c r="B228" s="57" t="s">
        <v>548</v>
      </c>
      <c r="C228" s="57" t="s">
        <v>159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550</v>
      </c>
      <c r="J228" s="28"/>
    </row>
    <row r="229" spans="1:10" x14ac:dyDescent="0.25">
      <c r="A229" s="57" t="s">
        <v>564</v>
      </c>
      <c r="B229" s="57" t="s">
        <v>559</v>
      </c>
      <c r="C229" s="57" t="s">
        <v>159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549</v>
      </c>
      <c r="J229" s="28"/>
    </row>
    <row r="230" spans="1:10" x14ac:dyDescent="0.25">
      <c r="A230" s="57" t="s">
        <v>556</v>
      </c>
      <c r="B230" s="57" t="s">
        <v>548</v>
      </c>
      <c r="C230" s="57" t="s">
        <v>159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556</v>
      </c>
      <c r="J230" s="28"/>
    </row>
    <row r="231" spans="1:10" x14ac:dyDescent="0.25">
      <c r="A231" s="57" t="s">
        <v>567</v>
      </c>
      <c r="B231" s="57" t="s">
        <v>548</v>
      </c>
      <c r="C231" s="57" t="s">
        <v>143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474</v>
      </c>
      <c r="J231" s="28"/>
    </row>
    <row r="232" spans="1:10" x14ac:dyDescent="0.25">
      <c r="A232" s="57" t="s">
        <v>568</v>
      </c>
      <c r="B232" s="57" t="s">
        <v>548</v>
      </c>
      <c r="C232" s="57" t="s">
        <v>159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442</v>
      </c>
      <c r="J232" s="28"/>
    </row>
    <row r="233" spans="1:10" x14ac:dyDescent="0.25">
      <c r="A233" s="57" t="s">
        <v>565</v>
      </c>
      <c r="B233" s="57" t="s">
        <v>548</v>
      </c>
      <c r="C233" s="57" t="s">
        <v>159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553</v>
      </c>
      <c r="J233" s="28"/>
    </row>
    <row r="234" spans="1:10" x14ac:dyDescent="0.25">
      <c r="A234" s="57" t="s">
        <v>570</v>
      </c>
      <c r="B234" s="57" t="s">
        <v>548</v>
      </c>
      <c r="C234" s="57" t="s">
        <v>168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550</v>
      </c>
      <c r="J234" s="28"/>
    </row>
    <row r="235" spans="1:10" x14ac:dyDescent="0.25">
      <c r="A235" s="57" t="s">
        <v>563</v>
      </c>
      <c r="B235" s="57" t="s">
        <v>548</v>
      </c>
      <c r="C235" s="57" t="s">
        <v>168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550</v>
      </c>
      <c r="J235" s="28"/>
    </row>
    <row r="236" spans="1:10" x14ac:dyDescent="0.25">
      <c r="A236" s="57" t="s">
        <v>564</v>
      </c>
      <c r="B236" s="57" t="s">
        <v>559</v>
      </c>
      <c r="C236" s="57" t="s">
        <v>168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549</v>
      </c>
      <c r="J236" s="28"/>
    </row>
    <row r="237" spans="1:10" x14ac:dyDescent="0.25">
      <c r="A237" s="57" t="s">
        <v>556</v>
      </c>
      <c r="B237" s="57" t="s">
        <v>548</v>
      </c>
      <c r="C237" s="57" t="s">
        <v>168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556</v>
      </c>
      <c r="J237" s="28"/>
    </row>
    <row r="238" spans="1:10" x14ac:dyDescent="0.25">
      <c r="A238" s="57" t="s">
        <v>567</v>
      </c>
      <c r="B238" s="57" t="s">
        <v>548</v>
      </c>
      <c r="C238" s="57" t="s">
        <v>168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474</v>
      </c>
      <c r="J238" s="28"/>
    </row>
    <row r="239" spans="1:10" x14ac:dyDescent="0.25">
      <c r="A239" s="57" t="s">
        <v>568</v>
      </c>
      <c r="B239" s="57" t="s">
        <v>548</v>
      </c>
      <c r="C239" s="57" t="s">
        <v>168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442</v>
      </c>
      <c r="J239" s="28"/>
    </row>
    <row r="240" spans="1:10" x14ac:dyDescent="0.25">
      <c r="A240" s="57" t="s">
        <v>565</v>
      </c>
      <c r="B240" s="57" t="s">
        <v>548</v>
      </c>
      <c r="C240" s="57" t="s">
        <v>168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553</v>
      </c>
      <c r="J240" s="28"/>
    </row>
    <row r="241" spans="1:10" x14ac:dyDescent="0.25">
      <c r="A241" s="57" t="s">
        <v>567</v>
      </c>
      <c r="B241" s="57" t="s">
        <v>548</v>
      </c>
      <c r="C241" s="57" t="s">
        <v>168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474</v>
      </c>
      <c r="J241" s="28"/>
    </row>
    <row r="242" spans="1:10" x14ac:dyDescent="0.25">
      <c r="A242" s="57" t="s">
        <v>563</v>
      </c>
      <c r="B242" s="57" t="s">
        <v>548</v>
      </c>
      <c r="C242" s="57" t="s">
        <v>176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550</v>
      </c>
      <c r="J242" s="28"/>
    </row>
    <row r="243" spans="1:10" x14ac:dyDescent="0.25">
      <c r="A243" s="57" t="s">
        <v>564</v>
      </c>
      <c r="B243" s="57" t="s">
        <v>559</v>
      </c>
      <c r="C243" s="57" t="s">
        <v>176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549</v>
      </c>
      <c r="J243" s="28"/>
    </row>
    <row r="244" spans="1:10" x14ac:dyDescent="0.25">
      <c r="A244" s="57" t="s">
        <v>556</v>
      </c>
      <c r="B244" s="57" t="s">
        <v>548</v>
      </c>
      <c r="C244" s="57" t="s">
        <v>176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556</v>
      </c>
      <c r="J244" s="28"/>
    </row>
    <row r="245" spans="1:10" x14ac:dyDescent="0.25">
      <c r="A245" s="57" t="s">
        <v>568</v>
      </c>
      <c r="B245" s="57" t="s">
        <v>548</v>
      </c>
      <c r="C245" s="57" t="s">
        <v>176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442</v>
      </c>
      <c r="J245" s="28"/>
    </row>
    <row r="246" spans="1:10" x14ac:dyDescent="0.25">
      <c r="A246" s="57" t="s">
        <v>565</v>
      </c>
      <c r="B246" s="57" t="s">
        <v>548</v>
      </c>
      <c r="C246" s="57" t="s">
        <v>176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553</v>
      </c>
      <c r="J246" s="28"/>
    </row>
    <row r="247" spans="1:10" x14ac:dyDescent="0.25">
      <c r="A247" s="57" t="s">
        <v>371</v>
      </c>
      <c r="B247" s="57" t="s">
        <v>548</v>
      </c>
      <c r="C247" s="57" t="s">
        <v>183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550</v>
      </c>
      <c r="J247" s="28"/>
    </row>
    <row r="248" spans="1:10" x14ac:dyDescent="0.25">
      <c r="A248" s="57" t="s">
        <v>566</v>
      </c>
      <c r="B248" s="57" t="s">
        <v>548</v>
      </c>
      <c r="C248" s="57" t="s">
        <v>183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550</v>
      </c>
      <c r="J248" s="28"/>
    </row>
    <row r="249" spans="1:10" x14ac:dyDescent="0.25">
      <c r="A249" s="57" t="s">
        <v>564</v>
      </c>
      <c r="B249" s="57" t="s">
        <v>559</v>
      </c>
      <c r="C249" s="57" t="s">
        <v>183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549</v>
      </c>
      <c r="J249" s="28"/>
    </row>
    <row r="250" spans="1:10" x14ac:dyDescent="0.25">
      <c r="A250" s="57" t="s">
        <v>563</v>
      </c>
      <c r="B250" s="57" t="s">
        <v>548</v>
      </c>
      <c r="C250" s="57" t="s">
        <v>183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550</v>
      </c>
      <c r="J250" s="28"/>
    </row>
    <row r="251" spans="1:10" x14ac:dyDescent="0.25">
      <c r="A251" s="57" t="s">
        <v>556</v>
      </c>
      <c r="B251" s="57" t="s">
        <v>548</v>
      </c>
      <c r="C251" s="57" t="s">
        <v>183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556</v>
      </c>
      <c r="J251" s="28"/>
    </row>
    <row r="252" spans="1:10" x14ac:dyDescent="0.25">
      <c r="A252" s="57" t="s">
        <v>567</v>
      </c>
      <c r="B252" s="57" t="s">
        <v>548</v>
      </c>
      <c r="C252" s="57" t="s">
        <v>183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474</v>
      </c>
      <c r="J252" s="28"/>
    </row>
    <row r="253" spans="1:10" x14ac:dyDescent="0.25">
      <c r="A253" s="57" t="s">
        <v>568</v>
      </c>
      <c r="B253" s="57" t="s">
        <v>548</v>
      </c>
      <c r="C253" s="57" t="s">
        <v>183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442</v>
      </c>
      <c r="J253" s="28"/>
    </row>
    <row r="254" spans="1:10" x14ac:dyDescent="0.25">
      <c r="A254" s="57" t="s">
        <v>565</v>
      </c>
      <c r="B254" s="57" t="s">
        <v>548</v>
      </c>
      <c r="C254" s="57" t="s">
        <v>183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553</v>
      </c>
      <c r="J254" s="28"/>
    </row>
    <row r="255" spans="1:10" x14ac:dyDescent="0.25">
      <c r="A255" s="57" t="s">
        <v>562</v>
      </c>
      <c r="B255" s="57" t="s">
        <v>548</v>
      </c>
      <c r="C255" s="57" t="s">
        <v>188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554</v>
      </c>
      <c r="J255" s="28"/>
    </row>
    <row r="256" spans="1:10" x14ac:dyDescent="0.25">
      <c r="A256" s="57" t="s">
        <v>563</v>
      </c>
      <c r="B256" s="57" t="s">
        <v>548</v>
      </c>
      <c r="C256" s="57" t="s">
        <v>188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550</v>
      </c>
      <c r="J256" s="28"/>
    </row>
    <row r="257" spans="1:10" x14ac:dyDescent="0.25">
      <c r="A257" s="57" t="s">
        <v>564</v>
      </c>
      <c r="B257" s="57" t="s">
        <v>559</v>
      </c>
      <c r="C257" s="57" t="s">
        <v>188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549</v>
      </c>
      <c r="J257" s="28"/>
    </row>
    <row r="258" spans="1:10" x14ac:dyDescent="0.25">
      <c r="A258" s="57" t="s">
        <v>556</v>
      </c>
      <c r="B258" s="57" t="s">
        <v>548</v>
      </c>
      <c r="C258" s="57" t="s">
        <v>188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556</v>
      </c>
      <c r="J258" s="28"/>
    </row>
    <row r="259" spans="1:10" x14ac:dyDescent="0.25">
      <c r="A259" s="57" t="s">
        <v>567</v>
      </c>
      <c r="B259" s="57" t="s">
        <v>548</v>
      </c>
      <c r="C259" s="57" t="s">
        <v>188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474</v>
      </c>
      <c r="J259" s="28"/>
    </row>
    <row r="260" spans="1:10" x14ac:dyDescent="0.25">
      <c r="A260" s="57" t="s">
        <v>568</v>
      </c>
      <c r="B260" s="57" t="s">
        <v>548</v>
      </c>
      <c r="C260" s="57" t="s">
        <v>188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442</v>
      </c>
      <c r="J260" s="28"/>
    </row>
    <row r="261" spans="1:10" x14ac:dyDescent="0.25">
      <c r="A261" s="57" t="s">
        <v>565</v>
      </c>
      <c r="B261" s="57" t="s">
        <v>548</v>
      </c>
      <c r="C261" s="57" t="s">
        <v>188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553</v>
      </c>
      <c r="J261" s="28"/>
    </row>
    <row r="262" spans="1:10" x14ac:dyDescent="0.25">
      <c r="A262" s="57" t="s">
        <v>563</v>
      </c>
      <c r="B262" s="57" t="s">
        <v>548</v>
      </c>
      <c r="C262" s="57" t="s">
        <v>207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550</v>
      </c>
      <c r="J262" s="28"/>
    </row>
    <row r="263" spans="1:10" x14ac:dyDescent="0.25">
      <c r="A263" s="57" t="s">
        <v>564</v>
      </c>
      <c r="B263" s="57" t="s">
        <v>559</v>
      </c>
      <c r="C263" s="57" t="s">
        <v>207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549</v>
      </c>
      <c r="J263" s="28"/>
    </row>
    <row r="264" spans="1:10" x14ac:dyDescent="0.25">
      <c r="A264" s="57" t="s">
        <v>556</v>
      </c>
      <c r="B264" s="57" t="s">
        <v>548</v>
      </c>
      <c r="C264" s="57" t="s">
        <v>207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556</v>
      </c>
      <c r="J264" s="28"/>
    </row>
    <row r="265" spans="1:10" x14ac:dyDescent="0.25">
      <c r="A265" s="57" t="s">
        <v>567</v>
      </c>
      <c r="B265" s="57" t="s">
        <v>548</v>
      </c>
      <c r="C265" s="57" t="s">
        <v>207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474</v>
      </c>
      <c r="J265" s="28"/>
    </row>
    <row r="266" spans="1:10" x14ac:dyDescent="0.25">
      <c r="A266" s="57" t="s">
        <v>568</v>
      </c>
      <c r="B266" s="57" t="s">
        <v>548</v>
      </c>
      <c r="C266" s="57" t="s">
        <v>207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442</v>
      </c>
      <c r="J266" s="28"/>
    </row>
    <row r="267" spans="1:10" x14ac:dyDescent="0.25">
      <c r="A267" s="57" t="s">
        <v>565</v>
      </c>
      <c r="B267" s="57" t="s">
        <v>548</v>
      </c>
      <c r="C267" s="57" t="s">
        <v>207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553</v>
      </c>
      <c r="J267" s="28"/>
    </row>
    <row r="268" spans="1:10" x14ac:dyDescent="0.25">
      <c r="A268" s="57" t="s">
        <v>563</v>
      </c>
      <c r="B268" s="57" t="s">
        <v>548</v>
      </c>
      <c r="C268" s="57" t="s">
        <v>215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550</v>
      </c>
      <c r="J268" s="28"/>
    </row>
    <row r="269" spans="1:10" x14ac:dyDescent="0.25">
      <c r="A269" s="57" t="s">
        <v>564</v>
      </c>
      <c r="B269" s="57" t="s">
        <v>559</v>
      </c>
      <c r="C269" s="57" t="s">
        <v>215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549</v>
      </c>
      <c r="J269" s="28"/>
    </row>
    <row r="270" spans="1:10" x14ac:dyDescent="0.25">
      <c r="A270" s="57" t="s">
        <v>556</v>
      </c>
      <c r="B270" s="57" t="s">
        <v>548</v>
      </c>
      <c r="C270" s="57" t="s">
        <v>215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556</v>
      </c>
      <c r="J270" s="28"/>
    </row>
    <row r="271" spans="1:10" x14ac:dyDescent="0.25">
      <c r="A271" s="57" t="s">
        <v>567</v>
      </c>
      <c r="B271" s="57" t="s">
        <v>548</v>
      </c>
      <c r="C271" s="57" t="s">
        <v>215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474</v>
      </c>
      <c r="J271" s="28"/>
    </row>
    <row r="272" spans="1:10" x14ac:dyDescent="0.25">
      <c r="A272" s="57" t="s">
        <v>568</v>
      </c>
      <c r="B272" s="57" t="s">
        <v>548</v>
      </c>
      <c r="C272" s="57" t="s">
        <v>215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442</v>
      </c>
      <c r="J272" s="28"/>
    </row>
    <row r="273" spans="1:10" x14ac:dyDescent="0.25">
      <c r="A273" s="57" t="s">
        <v>565</v>
      </c>
      <c r="B273" s="57" t="s">
        <v>548</v>
      </c>
      <c r="C273" s="57" t="s">
        <v>215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553</v>
      </c>
      <c r="J273" s="28"/>
    </row>
    <row r="274" spans="1:10" x14ac:dyDescent="0.25">
      <c r="A274" s="57" t="s">
        <v>563</v>
      </c>
      <c r="B274" s="57" t="s">
        <v>548</v>
      </c>
      <c r="C274" s="57" t="s">
        <v>68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550</v>
      </c>
      <c r="J274" s="28"/>
    </row>
    <row r="275" spans="1:10" x14ac:dyDescent="0.25">
      <c r="A275" s="57" t="s">
        <v>564</v>
      </c>
      <c r="B275" s="57" t="s">
        <v>559</v>
      </c>
      <c r="C275" s="57" t="s">
        <v>68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549</v>
      </c>
      <c r="J275" s="28"/>
    </row>
    <row r="276" spans="1:10" x14ac:dyDescent="0.25">
      <c r="A276" s="57" t="s">
        <v>556</v>
      </c>
      <c r="B276" s="57" t="s">
        <v>548</v>
      </c>
      <c r="C276" s="57" t="s">
        <v>68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556</v>
      </c>
      <c r="J276" s="28"/>
    </row>
    <row r="277" spans="1:10" x14ac:dyDescent="0.25">
      <c r="A277" s="57" t="s">
        <v>567</v>
      </c>
      <c r="B277" s="57" t="s">
        <v>548</v>
      </c>
      <c r="C277" s="57" t="s">
        <v>68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474</v>
      </c>
      <c r="J277" s="28"/>
    </row>
    <row r="278" spans="1:10" x14ac:dyDescent="0.25">
      <c r="A278" s="57" t="s">
        <v>568</v>
      </c>
      <c r="B278" s="57" t="s">
        <v>548</v>
      </c>
      <c r="C278" s="57" t="s">
        <v>68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442</v>
      </c>
      <c r="J278" s="28"/>
    </row>
    <row r="279" spans="1:10" x14ac:dyDescent="0.25">
      <c r="A279" s="57" t="s">
        <v>565</v>
      </c>
      <c r="B279" s="57" t="s">
        <v>548</v>
      </c>
      <c r="C279" s="57" t="s">
        <v>68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553</v>
      </c>
      <c r="J279" s="28"/>
    </row>
    <row r="280" spans="1:10" x14ac:dyDescent="0.25">
      <c r="A280" s="57" t="s">
        <v>563</v>
      </c>
      <c r="B280" s="57" t="s">
        <v>548</v>
      </c>
      <c r="C280" s="57" t="s">
        <v>80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550</v>
      </c>
      <c r="J280" s="28"/>
    </row>
    <row r="281" spans="1:10" x14ac:dyDescent="0.25">
      <c r="A281" s="57" t="s">
        <v>564</v>
      </c>
      <c r="B281" s="57" t="s">
        <v>559</v>
      </c>
      <c r="C281" s="57" t="s">
        <v>80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549</v>
      </c>
      <c r="J281" s="28"/>
    </row>
    <row r="282" spans="1:10" x14ac:dyDescent="0.25">
      <c r="A282" s="57" t="s">
        <v>556</v>
      </c>
      <c r="B282" s="57" t="s">
        <v>548</v>
      </c>
      <c r="C282" s="57" t="s">
        <v>80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556</v>
      </c>
      <c r="J282" s="28"/>
    </row>
    <row r="283" spans="1:10" x14ac:dyDescent="0.25">
      <c r="A283" s="57" t="s">
        <v>567</v>
      </c>
      <c r="B283" s="57" t="s">
        <v>548</v>
      </c>
      <c r="C283" s="57" t="s">
        <v>80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474</v>
      </c>
      <c r="J283" s="28"/>
    </row>
    <row r="284" spans="1:10" x14ac:dyDescent="0.25">
      <c r="A284" s="57" t="s">
        <v>568</v>
      </c>
      <c r="B284" s="57" t="s">
        <v>548</v>
      </c>
      <c r="C284" s="57" t="s">
        <v>80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442</v>
      </c>
      <c r="J284" s="28"/>
    </row>
    <row r="285" spans="1:10" x14ac:dyDescent="0.25">
      <c r="A285" s="57" t="s">
        <v>565</v>
      </c>
      <c r="B285" s="57" t="s">
        <v>548</v>
      </c>
      <c r="C285" s="57" t="s">
        <v>80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553</v>
      </c>
      <c r="J285" s="28"/>
    </row>
    <row r="286" spans="1:10" x14ac:dyDescent="0.25">
      <c r="A286" s="57" t="s">
        <v>564</v>
      </c>
      <c r="B286" s="57" t="s">
        <v>559</v>
      </c>
      <c r="C286" s="57" t="s">
        <v>119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549</v>
      </c>
      <c r="J286" s="28"/>
    </row>
    <row r="287" spans="1:10" x14ac:dyDescent="0.25">
      <c r="A287" s="57" t="s">
        <v>566</v>
      </c>
      <c r="B287" s="57" t="s">
        <v>548</v>
      </c>
      <c r="C287" s="57" t="s">
        <v>119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550</v>
      </c>
      <c r="J287" s="28"/>
    </row>
    <row r="288" spans="1:10" x14ac:dyDescent="0.25">
      <c r="A288" s="57" t="s">
        <v>563</v>
      </c>
      <c r="B288" s="57" t="s">
        <v>548</v>
      </c>
      <c r="C288" s="57" t="s">
        <v>119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550</v>
      </c>
      <c r="J288" s="28"/>
    </row>
    <row r="289" spans="1:10" x14ac:dyDescent="0.25">
      <c r="A289" s="57" t="s">
        <v>564</v>
      </c>
      <c r="B289" s="57" t="s">
        <v>559</v>
      </c>
      <c r="C289" s="57" t="s">
        <v>119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549</v>
      </c>
      <c r="J289" s="28"/>
    </row>
    <row r="290" spans="1:10" x14ac:dyDescent="0.25">
      <c r="A290" s="57" t="s">
        <v>556</v>
      </c>
      <c r="B290" s="57" t="s">
        <v>548</v>
      </c>
      <c r="C290" s="57" t="s">
        <v>119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556</v>
      </c>
      <c r="J290" s="28"/>
    </row>
    <row r="291" spans="1:10" x14ac:dyDescent="0.25">
      <c r="A291" s="57" t="s">
        <v>567</v>
      </c>
      <c r="B291" s="57" t="s">
        <v>548</v>
      </c>
      <c r="C291" s="57" t="s">
        <v>119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474</v>
      </c>
      <c r="J291" s="28"/>
    </row>
    <row r="292" spans="1:10" x14ac:dyDescent="0.25">
      <c r="A292" s="57" t="s">
        <v>568</v>
      </c>
      <c r="B292" s="57" t="s">
        <v>548</v>
      </c>
      <c r="C292" s="57" t="s">
        <v>119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442</v>
      </c>
      <c r="J292" s="28"/>
    </row>
    <row r="293" spans="1:10" x14ac:dyDescent="0.25">
      <c r="A293" s="57" t="s">
        <v>565</v>
      </c>
      <c r="B293" s="57" t="s">
        <v>548</v>
      </c>
      <c r="C293" s="57" t="s">
        <v>119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553</v>
      </c>
      <c r="J293" s="28"/>
    </row>
    <row r="294" spans="1:10" x14ac:dyDescent="0.25">
      <c r="A294" s="57" t="s">
        <v>563</v>
      </c>
      <c r="B294" s="57" t="s">
        <v>548</v>
      </c>
      <c r="C294" s="57" t="s">
        <v>131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550</v>
      </c>
      <c r="J294" s="28"/>
    </row>
    <row r="295" spans="1:10" x14ac:dyDescent="0.25">
      <c r="A295" s="57" t="s">
        <v>564</v>
      </c>
      <c r="B295" s="57" t="s">
        <v>559</v>
      </c>
      <c r="C295" s="57" t="s">
        <v>131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549</v>
      </c>
      <c r="J295" s="28"/>
    </row>
    <row r="296" spans="1:10" x14ac:dyDescent="0.25">
      <c r="A296" s="57" t="s">
        <v>556</v>
      </c>
      <c r="B296" s="57" t="s">
        <v>548</v>
      </c>
      <c r="C296" s="57" t="s">
        <v>131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556</v>
      </c>
      <c r="J296" s="28"/>
    </row>
    <row r="297" spans="1:10" x14ac:dyDescent="0.25">
      <c r="A297" s="57" t="s">
        <v>567</v>
      </c>
      <c r="B297" s="57" t="s">
        <v>548</v>
      </c>
      <c r="C297" s="57" t="s">
        <v>131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474</v>
      </c>
      <c r="J297" s="28"/>
    </row>
    <row r="298" spans="1:10" x14ac:dyDescent="0.25">
      <c r="A298" s="57" t="s">
        <v>568</v>
      </c>
      <c r="B298" s="57" t="s">
        <v>548</v>
      </c>
      <c r="C298" s="57" t="s">
        <v>131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442</v>
      </c>
      <c r="J298" s="28"/>
    </row>
    <row r="299" spans="1:10" x14ac:dyDescent="0.25">
      <c r="A299" s="57" t="s">
        <v>565</v>
      </c>
      <c r="B299" s="57" t="s">
        <v>548</v>
      </c>
      <c r="C299" s="57" t="s">
        <v>131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553</v>
      </c>
      <c r="J299" s="28"/>
    </row>
    <row r="300" spans="1:10" x14ac:dyDescent="0.25">
      <c r="A300" s="57" t="s">
        <v>563</v>
      </c>
      <c r="B300" s="57" t="s">
        <v>548</v>
      </c>
      <c r="C300" s="57" t="s">
        <v>143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550</v>
      </c>
      <c r="J300" s="28"/>
    </row>
    <row r="301" spans="1:10" x14ac:dyDescent="0.25">
      <c r="A301" s="57" t="s">
        <v>564</v>
      </c>
      <c r="B301" s="57" t="s">
        <v>559</v>
      </c>
      <c r="C301" s="57" t="s">
        <v>143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549</v>
      </c>
      <c r="J301" s="28"/>
    </row>
    <row r="302" spans="1:10" x14ac:dyDescent="0.25">
      <c r="A302" s="57" t="s">
        <v>556</v>
      </c>
      <c r="B302" s="57" t="s">
        <v>548</v>
      </c>
      <c r="C302" s="57" t="s">
        <v>143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556</v>
      </c>
      <c r="J302" s="28"/>
    </row>
    <row r="303" spans="1:10" x14ac:dyDescent="0.25">
      <c r="A303" s="57" t="s">
        <v>567</v>
      </c>
      <c r="B303" s="57" t="s">
        <v>548</v>
      </c>
      <c r="C303" s="57" t="s">
        <v>143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474</v>
      </c>
      <c r="J303" s="28"/>
    </row>
    <row r="304" spans="1:10" x14ac:dyDescent="0.25">
      <c r="A304" s="57" t="s">
        <v>568</v>
      </c>
      <c r="B304" s="57" t="s">
        <v>548</v>
      </c>
      <c r="C304" s="57" t="s">
        <v>143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442</v>
      </c>
      <c r="J304" s="28"/>
    </row>
    <row r="305" spans="1:10" x14ac:dyDescent="0.25">
      <c r="A305" s="57" t="s">
        <v>565</v>
      </c>
      <c r="B305" s="57" t="s">
        <v>548</v>
      </c>
      <c r="C305" s="57" t="s">
        <v>143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553</v>
      </c>
      <c r="J305" s="28"/>
    </row>
    <row r="306" spans="1:10" x14ac:dyDescent="0.25">
      <c r="A306" s="57" t="s">
        <v>563</v>
      </c>
      <c r="B306" s="57" t="s">
        <v>548</v>
      </c>
      <c r="C306" s="57" t="s">
        <v>159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550</v>
      </c>
      <c r="J306" s="28"/>
    </row>
    <row r="307" spans="1:10" x14ac:dyDescent="0.25">
      <c r="A307" s="57" t="s">
        <v>564</v>
      </c>
      <c r="B307" s="57" t="s">
        <v>559</v>
      </c>
      <c r="C307" s="57" t="s">
        <v>159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549</v>
      </c>
      <c r="J307" s="28"/>
    </row>
    <row r="308" spans="1:10" x14ac:dyDescent="0.25">
      <c r="A308" s="57" t="s">
        <v>556</v>
      </c>
      <c r="B308" s="57" t="s">
        <v>548</v>
      </c>
      <c r="C308" s="57" t="s">
        <v>159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556</v>
      </c>
      <c r="J308" s="28"/>
    </row>
    <row r="309" spans="1:10" x14ac:dyDescent="0.25">
      <c r="A309" s="57" t="s">
        <v>567</v>
      </c>
      <c r="B309" s="57" t="s">
        <v>548</v>
      </c>
      <c r="C309" s="57" t="s">
        <v>159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474</v>
      </c>
      <c r="J309" s="28"/>
    </row>
    <row r="310" spans="1:10" x14ac:dyDescent="0.25">
      <c r="A310" s="57" t="s">
        <v>568</v>
      </c>
      <c r="B310" s="57" t="s">
        <v>548</v>
      </c>
      <c r="C310" s="57" t="s">
        <v>159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442</v>
      </c>
      <c r="J310" s="28"/>
    </row>
    <row r="311" spans="1:10" x14ac:dyDescent="0.25">
      <c r="A311" s="57" t="s">
        <v>565</v>
      </c>
      <c r="B311" s="57" t="s">
        <v>548</v>
      </c>
      <c r="C311" s="57" t="s">
        <v>159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553</v>
      </c>
      <c r="J311" s="28"/>
    </row>
    <row r="312" spans="1:10" x14ac:dyDescent="0.25">
      <c r="A312" s="57" t="s">
        <v>371</v>
      </c>
      <c r="B312" s="57" t="s">
        <v>548</v>
      </c>
      <c r="C312" s="57" t="s">
        <v>168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550</v>
      </c>
      <c r="J312" s="28"/>
    </row>
    <row r="313" spans="1:10" x14ac:dyDescent="0.25">
      <c r="A313" s="57" t="s">
        <v>563</v>
      </c>
      <c r="B313" s="57" t="s">
        <v>548</v>
      </c>
      <c r="C313" s="57" t="s">
        <v>168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550</v>
      </c>
      <c r="J313" s="28"/>
    </row>
    <row r="314" spans="1:10" x14ac:dyDescent="0.25">
      <c r="A314" s="57" t="s">
        <v>564</v>
      </c>
      <c r="B314" s="57" t="s">
        <v>559</v>
      </c>
      <c r="C314" s="57" t="s">
        <v>168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549</v>
      </c>
      <c r="J314" s="28"/>
    </row>
    <row r="315" spans="1:10" x14ac:dyDescent="0.25">
      <c r="A315" s="57" t="s">
        <v>556</v>
      </c>
      <c r="B315" s="57" t="s">
        <v>548</v>
      </c>
      <c r="C315" s="57" t="s">
        <v>168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556</v>
      </c>
      <c r="J315" s="28"/>
    </row>
    <row r="316" spans="1:10" x14ac:dyDescent="0.25">
      <c r="A316" s="57" t="s">
        <v>567</v>
      </c>
      <c r="B316" s="57" t="s">
        <v>548</v>
      </c>
      <c r="C316" s="57" t="s">
        <v>168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474</v>
      </c>
      <c r="J316" s="28"/>
    </row>
    <row r="317" spans="1:10" x14ac:dyDescent="0.25">
      <c r="A317" s="57" t="s">
        <v>568</v>
      </c>
      <c r="B317" s="57" t="s">
        <v>548</v>
      </c>
      <c r="C317" s="57" t="s">
        <v>168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442</v>
      </c>
      <c r="J317" s="28"/>
    </row>
    <row r="318" spans="1:10" x14ac:dyDescent="0.25">
      <c r="A318" s="57" t="s">
        <v>565</v>
      </c>
      <c r="B318" s="57" t="s">
        <v>548</v>
      </c>
      <c r="C318" s="57" t="s">
        <v>168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553</v>
      </c>
      <c r="J318" s="28"/>
    </row>
    <row r="319" spans="1:10" x14ac:dyDescent="0.25">
      <c r="A319" s="57" t="s">
        <v>567</v>
      </c>
      <c r="B319" s="57" t="s">
        <v>548</v>
      </c>
      <c r="C319" s="57" t="s">
        <v>168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474</v>
      </c>
      <c r="J319" s="28"/>
    </row>
    <row r="320" spans="1:10" x14ac:dyDescent="0.25">
      <c r="A320" s="57" t="s">
        <v>563</v>
      </c>
      <c r="B320" s="57" t="s">
        <v>548</v>
      </c>
      <c r="C320" s="57" t="s">
        <v>176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550</v>
      </c>
      <c r="J320" s="28"/>
    </row>
    <row r="321" spans="1:10" x14ac:dyDescent="0.25">
      <c r="A321" s="57" t="s">
        <v>564</v>
      </c>
      <c r="B321" s="57" t="s">
        <v>559</v>
      </c>
      <c r="C321" s="57" t="s">
        <v>176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549</v>
      </c>
      <c r="J321" s="28"/>
    </row>
    <row r="322" spans="1:10" x14ac:dyDescent="0.25">
      <c r="A322" s="57" t="s">
        <v>571</v>
      </c>
      <c r="B322" s="57" t="s">
        <v>548</v>
      </c>
      <c r="C322" s="57" t="s">
        <v>176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370</v>
      </c>
      <c r="J322" s="28"/>
    </row>
    <row r="323" spans="1:10" x14ac:dyDescent="0.25">
      <c r="A323" s="57" t="s">
        <v>556</v>
      </c>
      <c r="B323" s="57" t="s">
        <v>548</v>
      </c>
      <c r="C323" s="57" t="s">
        <v>176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556</v>
      </c>
      <c r="J323" s="28"/>
    </row>
    <row r="324" spans="1:10" x14ac:dyDescent="0.25">
      <c r="A324" s="57" t="s">
        <v>572</v>
      </c>
      <c r="B324" s="57" t="s">
        <v>548</v>
      </c>
      <c r="C324" s="57" t="s">
        <v>176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476</v>
      </c>
      <c r="J324" s="28"/>
    </row>
    <row r="325" spans="1:10" x14ac:dyDescent="0.25">
      <c r="A325" s="57" t="s">
        <v>568</v>
      </c>
      <c r="B325" s="57" t="s">
        <v>548</v>
      </c>
      <c r="C325" s="57" t="s">
        <v>176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442</v>
      </c>
      <c r="J325" s="28"/>
    </row>
    <row r="326" spans="1:10" x14ac:dyDescent="0.25">
      <c r="A326" s="57" t="s">
        <v>565</v>
      </c>
      <c r="B326" s="57" t="s">
        <v>548</v>
      </c>
      <c r="C326" s="57" t="s">
        <v>176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553</v>
      </c>
      <c r="J326" s="28"/>
    </row>
    <row r="327" spans="1:10" x14ac:dyDescent="0.25">
      <c r="A327" s="57" t="s">
        <v>564</v>
      </c>
      <c r="B327" s="57" t="s">
        <v>559</v>
      </c>
      <c r="C327" s="57" t="s">
        <v>183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549</v>
      </c>
      <c r="J327" s="28"/>
    </row>
    <row r="328" spans="1:10" x14ac:dyDescent="0.25">
      <c r="A328" s="57" t="s">
        <v>572</v>
      </c>
      <c r="B328" s="57" t="s">
        <v>548</v>
      </c>
      <c r="C328" s="57" t="s">
        <v>183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476</v>
      </c>
      <c r="J328" s="28"/>
    </row>
    <row r="329" spans="1:10" x14ac:dyDescent="0.25">
      <c r="A329" s="57" t="s">
        <v>563</v>
      </c>
      <c r="B329" s="57" t="s">
        <v>548</v>
      </c>
      <c r="C329" s="57" t="s">
        <v>183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550</v>
      </c>
      <c r="J329" s="28"/>
    </row>
    <row r="330" spans="1:10" x14ac:dyDescent="0.25">
      <c r="A330" s="57" t="s">
        <v>556</v>
      </c>
      <c r="B330" s="57" t="s">
        <v>548</v>
      </c>
      <c r="C330" s="57" t="s">
        <v>183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556</v>
      </c>
      <c r="J330" s="28"/>
    </row>
    <row r="331" spans="1:10" x14ac:dyDescent="0.25">
      <c r="A331" s="57" t="s">
        <v>567</v>
      </c>
      <c r="B331" s="57" t="s">
        <v>548</v>
      </c>
      <c r="C331" s="57" t="s">
        <v>183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474</v>
      </c>
      <c r="J331" s="28"/>
    </row>
    <row r="332" spans="1:10" x14ac:dyDescent="0.25">
      <c r="A332" s="57" t="s">
        <v>568</v>
      </c>
      <c r="B332" s="57" t="s">
        <v>548</v>
      </c>
      <c r="C332" s="57" t="s">
        <v>183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442</v>
      </c>
      <c r="J332" s="28"/>
    </row>
    <row r="333" spans="1:10" x14ac:dyDescent="0.25">
      <c r="A333" s="57" t="s">
        <v>565</v>
      </c>
      <c r="B333" s="57" t="s">
        <v>548</v>
      </c>
      <c r="C333" s="57" t="s">
        <v>183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553</v>
      </c>
      <c r="J333" s="28"/>
    </row>
    <row r="334" spans="1:10" x14ac:dyDescent="0.25">
      <c r="A334" s="57" t="s">
        <v>564</v>
      </c>
      <c r="B334" s="57" t="s">
        <v>559</v>
      </c>
      <c r="C334" s="57" t="s">
        <v>183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549</v>
      </c>
      <c r="J334" s="28"/>
    </row>
    <row r="335" spans="1:10" x14ac:dyDescent="0.25">
      <c r="A335" s="57" t="s">
        <v>371</v>
      </c>
      <c r="B335" s="57" t="s">
        <v>548</v>
      </c>
      <c r="C335" s="57" t="s">
        <v>183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550</v>
      </c>
      <c r="J335" s="28"/>
    </row>
    <row r="336" spans="1:10" x14ac:dyDescent="0.25">
      <c r="A336" s="57" t="s">
        <v>566</v>
      </c>
      <c r="B336" s="57" t="s">
        <v>548</v>
      </c>
      <c r="C336" s="57" t="s">
        <v>183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550</v>
      </c>
      <c r="J336" s="28"/>
    </row>
    <row r="337" spans="1:10" x14ac:dyDescent="0.25">
      <c r="A337" s="57" t="s">
        <v>566</v>
      </c>
      <c r="B337" s="57" t="s">
        <v>548</v>
      </c>
      <c r="C337" s="57" t="s">
        <v>183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550</v>
      </c>
      <c r="J337" s="28"/>
    </row>
    <row r="338" spans="1:10" x14ac:dyDescent="0.25">
      <c r="A338" s="57" t="s">
        <v>564</v>
      </c>
      <c r="B338" s="57" t="s">
        <v>559</v>
      </c>
      <c r="C338" s="57" t="s">
        <v>188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549</v>
      </c>
      <c r="J338" s="28"/>
    </row>
    <row r="339" spans="1:10" x14ac:dyDescent="0.25">
      <c r="A339" s="57" t="s">
        <v>562</v>
      </c>
      <c r="B339" s="57" t="s">
        <v>548</v>
      </c>
      <c r="C339" s="57" t="s">
        <v>188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554</v>
      </c>
      <c r="J339" s="28"/>
    </row>
    <row r="340" spans="1:10" x14ac:dyDescent="0.25">
      <c r="A340" s="57" t="s">
        <v>563</v>
      </c>
      <c r="B340" s="57" t="s">
        <v>548</v>
      </c>
      <c r="C340" s="57" t="s">
        <v>188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550</v>
      </c>
      <c r="J340" s="28"/>
    </row>
    <row r="341" spans="1:10" x14ac:dyDescent="0.25">
      <c r="A341" s="57" t="s">
        <v>564</v>
      </c>
      <c r="B341" s="57" t="s">
        <v>559</v>
      </c>
      <c r="C341" s="57" t="s">
        <v>188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549</v>
      </c>
      <c r="J341" s="28"/>
    </row>
    <row r="342" spans="1:10" x14ac:dyDescent="0.25">
      <c r="A342" s="57" t="s">
        <v>573</v>
      </c>
      <c r="B342" s="57" t="s">
        <v>548</v>
      </c>
      <c r="C342" s="57" t="s">
        <v>188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558</v>
      </c>
      <c r="J342" s="28"/>
    </row>
    <row r="343" spans="1:10" x14ac:dyDescent="0.25">
      <c r="A343" s="57" t="s">
        <v>573</v>
      </c>
      <c r="B343" s="57" t="s">
        <v>548</v>
      </c>
      <c r="C343" s="57" t="s">
        <v>188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557</v>
      </c>
      <c r="J343" s="28"/>
    </row>
    <row r="344" spans="1:10" x14ac:dyDescent="0.25">
      <c r="A344" s="57" t="s">
        <v>567</v>
      </c>
      <c r="B344" s="57" t="s">
        <v>548</v>
      </c>
      <c r="C344" s="57" t="s">
        <v>188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474</v>
      </c>
      <c r="J344" s="28"/>
    </row>
    <row r="345" spans="1:10" x14ac:dyDescent="0.25">
      <c r="A345" s="57" t="s">
        <v>568</v>
      </c>
      <c r="B345" s="57" t="s">
        <v>548</v>
      </c>
      <c r="C345" s="57" t="s">
        <v>188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442</v>
      </c>
      <c r="J345" s="28"/>
    </row>
    <row r="346" spans="1:10" x14ac:dyDescent="0.25">
      <c r="A346" s="57" t="s">
        <v>572</v>
      </c>
      <c r="B346" s="57" t="s">
        <v>548</v>
      </c>
      <c r="C346" s="57" t="s">
        <v>188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476</v>
      </c>
      <c r="J346" s="28"/>
    </row>
    <row r="347" spans="1:10" x14ac:dyDescent="0.25">
      <c r="A347" s="57" t="s">
        <v>565</v>
      </c>
      <c r="B347" s="57" t="s">
        <v>548</v>
      </c>
      <c r="C347" s="57" t="s">
        <v>188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553</v>
      </c>
      <c r="J347" s="28"/>
    </row>
    <row r="348" spans="1:10" x14ac:dyDescent="0.25">
      <c r="A348" s="57" t="s">
        <v>563</v>
      </c>
      <c r="B348" s="57" t="s">
        <v>548</v>
      </c>
      <c r="C348" s="57" t="s">
        <v>207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550</v>
      </c>
      <c r="J348" s="28"/>
    </row>
    <row r="349" spans="1:10" x14ac:dyDescent="0.25">
      <c r="A349" s="57" t="s">
        <v>556</v>
      </c>
      <c r="B349" s="57" t="s">
        <v>548</v>
      </c>
      <c r="C349" s="57" t="s">
        <v>207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556</v>
      </c>
      <c r="J349" s="28"/>
    </row>
    <row r="350" spans="1:10" x14ac:dyDescent="0.25">
      <c r="A350" s="57" t="s">
        <v>567</v>
      </c>
      <c r="B350" s="57" t="s">
        <v>548</v>
      </c>
      <c r="C350" s="57" t="s">
        <v>207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474</v>
      </c>
      <c r="J350" s="28"/>
    </row>
    <row r="351" spans="1:10" x14ac:dyDescent="0.25">
      <c r="A351" s="57" t="s">
        <v>564</v>
      </c>
      <c r="B351" s="57" t="s">
        <v>559</v>
      </c>
      <c r="C351" s="57" t="s">
        <v>207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549</v>
      </c>
      <c r="J351" s="28"/>
    </row>
    <row r="352" spans="1:10" x14ac:dyDescent="0.25">
      <c r="A352" s="57" t="s">
        <v>568</v>
      </c>
      <c r="B352" s="57" t="s">
        <v>548</v>
      </c>
      <c r="C352" s="57" t="s">
        <v>207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442</v>
      </c>
      <c r="J352" s="28"/>
    </row>
    <row r="353" spans="1:10" x14ac:dyDescent="0.25">
      <c r="A353" s="57" t="s">
        <v>572</v>
      </c>
      <c r="B353" s="57" t="s">
        <v>548</v>
      </c>
      <c r="C353" s="57" t="s">
        <v>207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476</v>
      </c>
      <c r="J353" s="28"/>
    </row>
    <row r="354" spans="1:10" x14ac:dyDescent="0.25">
      <c r="A354" s="57" t="s">
        <v>565</v>
      </c>
      <c r="B354" s="57" t="s">
        <v>548</v>
      </c>
      <c r="C354" s="57" t="s">
        <v>207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553</v>
      </c>
      <c r="J354" s="28"/>
    </row>
    <row r="355" spans="1:10" x14ac:dyDescent="0.25">
      <c r="A355" s="57" t="s">
        <v>563</v>
      </c>
      <c r="B355" s="57" t="s">
        <v>548</v>
      </c>
      <c r="C355" s="57" t="s">
        <v>215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550</v>
      </c>
      <c r="J355" s="28"/>
    </row>
    <row r="356" spans="1:10" x14ac:dyDescent="0.25">
      <c r="A356" s="57" t="s">
        <v>564</v>
      </c>
      <c r="B356" s="57" t="s">
        <v>559</v>
      </c>
      <c r="C356" s="57" t="s">
        <v>215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549</v>
      </c>
      <c r="J356" s="28"/>
    </row>
    <row r="357" spans="1:10" x14ac:dyDescent="0.25">
      <c r="A357" s="57" t="s">
        <v>556</v>
      </c>
      <c r="B357" s="57" t="s">
        <v>548</v>
      </c>
      <c r="C357" s="57" t="s">
        <v>215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556</v>
      </c>
      <c r="J357" s="28"/>
    </row>
    <row r="358" spans="1:10" x14ac:dyDescent="0.25">
      <c r="A358" s="57" t="s">
        <v>567</v>
      </c>
      <c r="B358" s="57" t="s">
        <v>548</v>
      </c>
      <c r="C358" s="57" t="s">
        <v>215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474</v>
      </c>
      <c r="J358" s="28"/>
    </row>
    <row r="359" spans="1:10" x14ac:dyDescent="0.25">
      <c r="A359" s="57" t="s">
        <v>573</v>
      </c>
      <c r="B359" s="57" t="s">
        <v>548</v>
      </c>
      <c r="C359" s="57" t="s">
        <v>215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558</v>
      </c>
      <c r="J359" s="28"/>
    </row>
    <row r="360" spans="1:10" x14ac:dyDescent="0.25">
      <c r="A360" s="57" t="s">
        <v>573</v>
      </c>
      <c r="B360" s="57" t="s">
        <v>548</v>
      </c>
      <c r="C360" s="57" t="s">
        <v>215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558</v>
      </c>
      <c r="J360" s="28"/>
    </row>
    <row r="361" spans="1:10" x14ac:dyDescent="0.25">
      <c r="A361" s="57" t="s">
        <v>573</v>
      </c>
      <c r="B361" s="57" t="s">
        <v>548</v>
      </c>
      <c r="C361" s="57" t="s">
        <v>215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557</v>
      </c>
      <c r="J361" s="28"/>
    </row>
    <row r="362" spans="1:10" x14ac:dyDescent="0.25">
      <c r="A362" s="57" t="s">
        <v>568</v>
      </c>
      <c r="B362" s="57" t="s">
        <v>548</v>
      </c>
      <c r="C362" s="57" t="s">
        <v>215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442</v>
      </c>
      <c r="J362" s="28"/>
    </row>
    <row r="363" spans="1:10" x14ac:dyDescent="0.25">
      <c r="A363" s="57" t="s">
        <v>572</v>
      </c>
      <c r="B363" s="57" t="s">
        <v>548</v>
      </c>
      <c r="C363" s="57" t="s">
        <v>215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476</v>
      </c>
      <c r="J363" s="28"/>
    </row>
    <row r="364" spans="1:10" x14ac:dyDescent="0.25">
      <c r="A364" s="57" t="s">
        <v>565</v>
      </c>
      <c r="B364" s="57" t="s">
        <v>548</v>
      </c>
      <c r="C364" s="57" t="s">
        <v>215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553</v>
      </c>
      <c r="J364" s="28"/>
    </row>
    <row r="365" spans="1:10" x14ac:dyDescent="0.25">
      <c r="A365" s="57" t="s">
        <v>566</v>
      </c>
      <c r="B365" s="57" t="s">
        <v>548</v>
      </c>
      <c r="C365" s="57" t="s">
        <v>215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550</v>
      </c>
      <c r="J365" s="28"/>
    </row>
    <row r="366" spans="1:10" x14ac:dyDescent="0.25">
      <c r="A366" s="57" t="s">
        <v>563</v>
      </c>
      <c r="B366" s="57" t="s">
        <v>548</v>
      </c>
      <c r="C366" s="57" t="s">
        <v>68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550</v>
      </c>
      <c r="J366" s="28"/>
    </row>
    <row r="367" spans="1:10" x14ac:dyDescent="0.25">
      <c r="A367" s="57" t="s">
        <v>556</v>
      </c>
      <c r="B367" s="57" t="s">
        <v>548</v>
      </c>
      <c r="C367" s="57" t="s">
        <v>68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556</v>
      </c>
      <c r="J367" s="28"/>
    </row>
    <row r="368" spans="1:10" x14ac:dyDescent="0.25">
      <c r="A368" s="57" t="s">
        <v>567</v>
      </c>
      <c r="B368" s="57" t="s">
        <v>548</v>
      </c>
      <c r="C368" s="57" t="s">
        <v>68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474</v>
      </c>
      <c r="J368" s="28"/>
    </row>
    <row r="369" spans="1:10" x14ac:dyDescent="0.25">
      <c r="A369" s="57" t="s">
        <v>564</v>
      </c>
      <c r="B369" s="57" t="s">
        <v>559</v>
      </c>
      <c r="C369" s="57" t="s">
        <v>68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549</v>
      </c>
      <c r="J369" s="28"/>
    </row>
    <row r="370" spans="1:10" x14ac:dyDescent="0.25">
      <c r="A370" s="57" t="s">
        <v>568</v>
      </c>
      <c r="B370" s="57" t="s">
        <v>548</v>
      </c>
      <c r="C370" s="57" t="s">
        <v>68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442</v>
      </c>
      <c r="J370" s="28"/>
    </row>
    <row r="371" spans="1:10" x14ac:dyDescent="0.25">
      <c r="A371" s="57" t="s">
        <v>572</v>
      </c>
      <c r="B371" s="57" t="s">
        <v>548</v>
      </c>
      <c r="C371" s="57" t="s">
        <v>68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476</v>
      </c>
      <c r="J371" s="28"/>
    </row>
    <row r="372" spans="1:10" x14ac:dyDescent="0.25">
      <c r="A372" s="57" t="s">
        <v>565</v>
      </c>
      <c r="B372" s="57" t="s">
        <v>548</v>
      </c>
      <c r="C372" s="57" t="s">
        <v>68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553</v>
      </c>
      <c r="J372" s="28"/>
    </row>
    <row r="373" spans="1:10" x14ac:dyDescent="0.25">
      <c r="A373" s="57" t="s">
        <v>563</v>
      </c>
      <c r="B373" s="57" t="s">
        <v>548</v>
      </c>
      <c r="C373" s="57" t="s">
        <v>80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550</v>
      </c>
      <c r="J373" s="28"/>
    </row>
    <row r="374" spans="1:10" x14ac:dyDescent="0.25">
      <c r="A374" s="57" t="s">
        <v>564</v>
      </c>
      <c r="B374" s="57" t="s">
        <v>559</v>
      </c>
      <c r="C374" s="57" t="s">
        <v>80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549</v>
      </c>
      <c r="J374" s="28"/>
    </row>
    <row r="375" spans="1:10" x14ac:dyDescent="0.25">
      <c r="A375" s="57" t="s">
        <v>556</v>
      </c>
      <c r="B375" s="57" t="s">
        <v>548</v>
      </c>
      <c r="C375" s="57" t="s">
        <v>80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556</v>
      </c>
      <c r="J375" s="28"/>
    </row>
    <row r="376" spans="1:10" x14ac:dyDescent="0.25">
      <c r="A376" s="57" t="s">
        <v>567</v>
      </c>
      <c r="B376" s="57" t="s">
        <v>548</v>
      </c>
      <c r="C376" s="57" t="s">
        <v>80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474</v>
      </c>
      <c r="J376" s="28"/>
    </row>
    <row r="377" spans="1:10" x14ac:dyDescent="0.25">
      <c r="A377" s="57" t="s">
        <v>573</v>
      </c>
      <c r="B377" s="57" t="s">
        <v>548</v>
      </c>
      <c r="C377" s="57" t="s">
        <v>80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558</v>
      </c>
      <c r="J377" s="28"/>
    </row>
    <row r="378" spans="1:10" x14ac:dyDescent="0.25">
      <c r="A378" s="57" t="s">
        <v>573</v>
      </c>
      <c r="B378" s="57" t="s">
        <v>548</v>
      </c>
      <c r="C378" s="57" t="s">
        <v>80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557</v>
      </c>
      <c r="J378" s="28"/>
    </row>
    <row r="379" spans="1:10" x14ac:dyDescent="0.25">
      <c r="A379" s="57" t="s">
        <v>568</v>
      </c>
      <c r="B379" s="57" t="s">
        <v>548</v>
      </c>
      <c r="C379" s="57" t="s">
        <v>80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442</v>
      </c>
      <c r="J379" s="28"/>
    </row>
    <row r="380" spans="1:10" x14ac:dyDescent="0.25">
      <c r="A380" s="57" t="s">
        <v>572</v>
      </c>
      <c r="B380" s="57" t="s">
        <v>548</v>
      </c>
      <c r="C380" s="57" t="s">
        <v>80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476</v>
      </c>
      <c r="J380" s="28"/>
    </row>
    <row r="381" spans="1:10" x14ac:dyDescent="0.25">
      <c r="A381" s="57" t="s">
        <v>565</v>
      </c>
      <c r="B381" s="57" t="s">
        <v>548</v>
      </c>
      <c r="C381" s="57" t="s">
        <v>80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553</v>
      </c>
      <c r="J381" s="28"/>
    </row>
    <row r="382" spans="1:10" x14ac:dyDescent="0.25">
      <c r="A382" s="57" t="s">
        <v>563</v>
      </c>
      <c r="B382" s="57" t="s">
        <v>548</v>
      </c>
      <c r="C382" s="57" t="s">
        <v>119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550</v>
      </c>
      <c r="J382" s="28"/>
    </row>
    <row r="383" spans="1:10" x14ac:dyDescent="0.25">
      <c r="A383" s="57" t="s">
        <v>556</v>
      </c>
      <c r="B383" s="57" t="s">
        <v>548</v>
      </c>
      <c r="C383" s="57" t="s">
        <v>119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556</v>
      </c>
      <c r="J383" s="28"/>
    </row>
    <row r="384" spans="1:10" x14ac:dyDescent="0.25">
      <c r="A384" s="57" t="s">
        <v>564</v>
      </c>
      <c r="B384" s="57" t="s">
        <v>559</v>
      </c>
      <c r="C384" s="57" t="s">
        <v>119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549</v>
      </c>
      <c r="J384" s="28"/>
    </row>
    <row r="385" spans="1:10" x14ac:dyDescent="0.25">
      <c r="A385" s="57" t="s">
        <v>567</v>
      </c>
      <c r="B385" s="57" t="s">
        <v>548</v>
      </c>
      <c r="C385" s="57" t="s">
        <v>119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474</v>
      </c>
      <c r="J385" s="28"/>
    </row>
    <row r="386" spans="1:10" x14ac:dyDescent="0.25">
      <c r="A386" s="57" t="s">
        <v>574</v>
      </c>
      <c r="B386" s="57" t="s">
        <v>547</v>
      </c>
      <c r="C386" s="57" t="s">
        <v>119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549</v>
      </c>
      <c r="J386" s="28"/>
    </row>
    <row r="387" spans="1:10" x14ac:dyDescent="0.25">
      <c r="A387" s="57" t="s">
        <v>568</v>
      </c>
      <c r="B387" s="57" t="s">
        <v>548</v>
      </c>
      <c r="C387" s="57" t="s">
        <v>119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442</v>
      </c>
      <c r="J387" s="28"/>
    </row>
    <row r="388" spans="1:10" x14ac:dyDescent="0.25">
      <c r="A388" s="57" t="s">
        <v>572</v>
      </c>
      <c r="B388" s="57" t="s">
        <v>548</v>
      </c>
      <c r="C388" s="57" t="s">
        <v>119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476</v>
      </c>
      <c r="J388" s="28"/>
    </row>
    <row r="389" spans="1:10" x14ac:dyDescent="0.25">
      <c r="A389" s="57" t="s">
        <v>565</v>
      </c>
      <c r="B389" s="57" t="s">
        <v>548</v>
      </c>
      <c r="C389" s="57" t="s">
        <v>119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553</v>
      </c>
      <c r="J389" s="28"/>
    </row>
    <row r="390" spans="1:10" x14ac:dyDescent="0.25">
      <c r="A390" s="57" t="s">
        <v>575</v>
      </c>
      <c r="B390" s="57" t="s">
        <v>548</v>
      </c>
      <c r="C390" s="57" t="s">
        <v>119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370</v>
      </c>
      <c r="J390" s="28"/>
    </row>
    <row r="391" spans="1:10" x14ac:dyDescent="0.25">
      <c r="A391" s="57" t="s">
        <v>556</v>
      </c>
      <c r="B391" s="57" t="s">
        <v>548</v>
      </c>
      <c r="C391" s="57" t="s">
        <v>131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556</v>
      </c>
      <c r="J391" s="28"/>
    </row>
    <row r="392" spans="1:10" x14ac:dyDescent="0.25">
      <c r="A392" s="57" t="s">
        <v>563</v>
      </c>
      <c r="B392" s="57" t="s">
        <v>548</v>
      </c>
      <c r="C392" s="57" t="s">
        <v>131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550</v>
      </c>
      <c r="J392" s="28"/>
    </row>
    <row r="393" spans="1:10" x14ac:dyDescent="0.25">
      <c r="A393" s="57" t="s">
        <v>564</v>
      </c>
      <c r="B393" s="57" t="s">
        <v>559</v>
      </c>
      <c r="C393" s="57" t="s">
        <v>131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549</v>
      </c>
      <c r="J393" s="28"/>
    </row>
    <row r="394" spans="1:10" x14ac:dyDescent="0.25">
      <c r="A394" s="57" t="s">
        <v>567</v>
      </c>
      <c r="B394" s="57" t="s">
        <v>548</v>
      </c>
      <c r="C394" s="57" t="s">
        <v>131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474</v>
      </c>
      <c r="J394" s="28"/>
    </row>
    <row r="395" spans="1:10" x14ac:dyDescent="0.25">
      <c r="A395" s="57" t="s">
        <v>574</v>
      </c>
      <c r="B395" s="57" t="s">
        <v>547</v>
      </c>
      <c r="C395" s="57" t="s">
        <v>131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549</v>
      </c>
      <c r="J395" s="28"/>
    </row>
    <row r="396" spans="1:10" x14ac:dyDescent="0.25">
      <c r="A396" s="57" t="s">
        <v>568</v>
      </c>
      <c r="B396" s="57" t="s">
        <v>548</v>
      </c>
      <c r="C396" s="57" t="s">
        <v>131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442</v>
      </c>
      <c r="J396" s="28"/>
    </row>
    <row r="397" spans="1:10" x14ac:dyDescent="0.25">
      <c r="A397" s="57" t="s">
        <v>572</v>
      </c>
      <c r="B397" s="57" t="s">
        <v>548</v>
      </c>
      <c r="C397" s="57" t="s">
        <v>131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476</v>
      </c>
      <c r="J397" s="28"/>
    </row>
    <row r="398" spans="1:10" x14ac:dyDescent="0.25">
      <c r="A398" s="57" t="s">
        <v>573</v>
      </c>
      <c r="B398" s="57" t="s">
        <v>548</v>
      </c>
      <c r="C398" s="57" t="s">
        <v>131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558</v>
      </c>
      <c r="J398" s="28"/>
    </row>
    <row r="399" spans="1:10" x14ac:dyDescent="0.25">
      <c r="A399" s="57" t="s">
        <v>573</v>
      </c>
      <c r="B399" s="57" t="s">
        <v>548</v>
      </c>
      <c r="C399" s="57" t="s">
        <v>131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557</v>
      </c>
      <c r="J399" s="28"/>
    </row>
    <row r="400" spans="1:10" x14ac:dyDescent="0.25">
      <c r="A400" s="57" t="s">
        <v>565</v>
      </c>
      <c r="B400" s="57" t="s">
        <v>548</v>
      </c>
      <c r="C400" s="57" t="s">
        <v>131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553</v>
      </c>
      <c r="J400" s="28"/>
    </row>
    <row r="401" spans="1:10" x14ac:dyDescent="0.25">
      <c r="A401" s="57" t="s">
        <v>563</v>
      </c>
      <c r="B401" s="57" t="s">
        <v>548</v>
      </c>
      <c r="C401" s="57" t="s">
        <v>143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550</v>
      </c>
      <c r="J401" s="28"/>
    </row>
    <row r="402" spans="1:10" x14ac:dyDescent="0.25">
      <c r="A402" s="57" t="s">
        <v>556</v>
      </c>
      <c r="B402" s="57" t="s">
        <v>548</v>
      </c>
      <c r="C402" s="57" t="s">
        <v>143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556</v>
      </c>
      <c r="J402" s="28"/>
    </row>
    <row r="403" spans="1:10" x14ac:dyDescent="0.25">
      <c r="A403" s="57" t="s">
        <v>567</v>
      </c>
      <c r="B403" s="57" t="s">
        <v>548</v>
      </c>
      <c r="C403" s="57" t="s">
        <v>143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474</v>
      </c>
      <c r="J403" s="28"/>
    </row>
    <row r="404" spans="1:10" x14ac:dyDescent="0.25">
      <c r="A404" s="57" t="s">
        <v>572</v>
      </c>
      <c r="B404" s="57" t="s">
        <v>548</v>
      </c>
      <c r="C404" s="57" t="s">
        <v>143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476</v>
      </c>
      <c r="J404" s="28"/>
    </row>
    <row r="405" spans="1:10" x14ac:dyDescent="0.25">
      <c r="A405" s="57" t="s">
        <v>568</v>
      </c>
      <c r="B405" s="57" t="s">
        <v>548</v>
      </c>
      <c r="C405" s="57" t="s">
        <v>143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442</v>
      </c>
      <c r="J405" s="28"/>
    </row>
    <row r="406" spans="1:10" x14ac:dyDescent="0.25">
      <c r="A406" s="57" t="s">
        <v>565</v>
      </c>
      <c r="B406" s="57" t="s">
        <v>548</v>
      </c>
      <c r="C406" s="57" t="s">
        <v>143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553</v>
      </c>
      <c r="J406" s="28"/>
    </row>
    <row r="407" spans="1:10" x14ac:dyDescent="0.25">
      <c r="A407" s="57" t="s">
        <v>574</v>
      </c>
      <c r="B407" s="57" t="s">
        <v>547</v>
      </c>
      <c r="C407" s="57" t="s">
        <v>143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549</v>
      </c>
      <c r="J407" s="28"/>
    </row>
    <row r="408" spans="1:10" x14ac:dyDescent="0.25">
      <c r="A408" s="57" t="s">
        <v>564</v>
      </c>
      <c r="B408" s="57" t="s">
        <v>559</v>
      </c>
      <c r="C408" s="57" t="s">
        <v>143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549</v>
      </c>
      <c r="J408" s="28"/>
    </row>
    <row r="409" spans="1:10" x14ac:dyDescent="0.25">
      <c r="A409" s="57" t="s">
        <v>563</v>
      </c>
      <c r="B409" s="57" t="s">
        <v>548</v>
      </c>
      <c r="C409" s="57" t="s">
        <v>159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550</v>
      </c>
      <c r="J409" s="28"/>
    </row>
    <row r="410" spans="1:10" x14ac:dyDescent="0.25">
      <c r="A410" s="57" t="s">
        <v>556</v>
      </c>
      <c r="B410" s="57" t="s">
        <v>548</v>
      </c>
      <c r="C410" s="57" t="s">
        <v>159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556</v>
      </c>
      <c r="J410" s="28"/>
    </row>
    <row r="411" spans="1:10" x14ac:dyDescent="0.25">
      <c r="A411" s="57" t="s">
        <v>567</v>
      </c>
      <c r="B411" s="57" t="s">
        <v>548</v>
      </c>
      <c r="C411" s="57" t="s">
        <v>159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474</v>
      </c>
      <c r="J411" s="28"/>
    </row>
    <row r="412" spans="1:10" x14ac:dyDescent="0.25">
      <c r="A412" s="57" t="s">
        <v>568</v>
      </c>
      <c r="B412" s="57" t="s">
        <v>548</v>
      </c>
      <c r="C412" s="57" t="s">
        <v>159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442</v>
      </c>
      <c r="J412" s="28"/>
    </row>
    <row r="413" spans="1:10" x14ac:dyDescent="0.25">
      <c r="A413" s="57" t="s">
        <v>573</v>
      </c>
      <c r="B413" s="57" t="s">
        <v>548</v>
      </c>
      <c r="C413" s="57" t="s">
        <v>159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557</v>
      </c>
      <c r="J413" s="28"/>
    </row>
    <row r="414" spans="1:10" x14ac:dyDescent="0.25">
      <c r="A414" s="57" t="s">
        <v>574</v>
      </c>
      <c r="B414" s="57" t="s">
        <v>547</v>
      </c>
      <c r="C414" s="57" t="s">
        <v>159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549</v>
      </c>
      <c r="J414" s="28"/>
    </row>
    <row r="415" spans="1:10" x14ac:dyDescent="0.25">
      <c r="A415" s="57" t="s">
        <v>564</v>
      </c>
      <c r="B415" s="57" t="s">
        <v>559</v>
      </c>
      <c r="C415" s="57" t="s">
        <v>159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549</v>
      </c>
      <c r="J415" s="28"/>
    </row>
    <row r="416" spans="1:10" x14ac:dyDescent="0.25">
      <c r="A416" s="57" t="s">
        <v>573</v>
      </c>
      <c r="B416" s="57" t="s">
        <v>548</v>
      </c>
      <c r="C416" s="57" t="s">
        <v>159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558</v>
      </c>
      <c r="J416" s="28"/>
    </row>
    <row r="417" spans="1:30" x14ac:dyDescent="0.25">
      <c r="A417" s="57" t="s">
        <v>565</v>
      </c>
      <c r="B417" s="57" t="s">
        <v>548</v>
      </c>
      <c r="C417" s="57" t="s">
        <v>159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553</v>
      </c>
      <c r="J417" s="28"/>
    </row>
    <row r="418" spans="1:30" x14ac:dyDescent="0.25">
      <c r="A418" s="57" t="s">
        <v>563</v>
      </c>
      <c r="B418" s="57" t="s">
        <v>548</v>
      </c>
      <c r="C418" s="57" t="s">
        <v>168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550</v>
      </c>
      <c r="J418" s="28"/>
    </row>
    <row r="419" spans="1:30" x14ac:dyDescent="0.25">
      <c r="A419" s="57" t="s">
        <v>556</v>
      </c>
      <c r="B419" s="57" t="s">
        <v>548</v>
      </c>
      <c r="C419" s="57" t="s">
        <v>168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556</v>
      </c>
      <c r="J419" s="28"/>
    </row>
    <row r="420" spans="1:30" x14ac:dyDescent="0.25">
      <c r="A420" s="57" t="s">
        <v>567</v>
      </c>
      <c r="B420" s="57" t="s">
        <v>548</v>
      </c>
      <c r="C420" s="57" t="s">
        <v>168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474</v>
      </c>
      <c r="J420" s="28"/>
    </row>
    <row r="421" spans="1:30" x14ac:dyDescent="0.25">
      <c r="A421" s="57" t="s">
        <v>564</v>
      </c>
      <c r="B421" s="57" t="s">
        <v>559</v>
      </c>
      <c r="C421" s="57" t="s">
        <v>168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549</v>
      </c>
      <c r="J421" s="28"/>
      <c r="S421"/>
      <c r="T421"/>
      <c r="U421"/>
      <c r="V421"/>
      <c r="W421"/>
      <c r="X421"/>
      <c r="Y421"/>
      <c r="Z421"/>
      <c r="AC421" s="9" t="s">
        <v>183</v>
      </c>
      <c r="AD421" s="9">
        <v>1</v>
      </c>
    </row>
    <row r="422" spans="1:30" x14ac:dyDescent="0.25">
      <c r="A422" s="57" t="s">
        <v>568</v>
      </c>
      <c r="B422" s="57" t="s">
        <v>548</v>
      </c>
      <c r="C422" s="57" t="s">
        <v>168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442</v>
      </c>
      <c r="J422" s="28"/>
      <c r="S422"/>
      <c r="T422"/>
      <c r="U422"/>
      <c r="V422"/>
      <c r="W422"/>
      <c r="X422"/>
      <c r="Y422"/>
      <c r="Z422"/>
      <c r="AC422" s="9" t="s">
        <v>176</v>
      </c>
      <c r="AD422" s="9">
        <v>2</v>
      </c>
    </row>
    <row r="423" spans="1:30" x14ac:dyDescent="0.25">
      <c r="A423" s="57" t="s">
        <v>565</v>
      </c>
      <c r="B423" s="57" t="s">
        <v>548</v>
      </c>
      <c r="C423" s="57" t="s">
        <v>168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553</v>
      </c>
      <c r="J423" s="28"/>
      <c r="S423"/>
      <c r="T423"/>
      <c r="U423"/>
      <c r="V423"/>
      <c r="W423"/>
      <c r="X423"/>
      <c r="Y423"/>
      <c r="Z423"/>
      <c r="AC423" s="9" t="s">
        <v>168</v>
      </c>
      <c r="AD423" s="9">
        <v>3</v>
      </c>
    </row>
    <row r="424" spans="1:30" x14ac:dyDescent="0.25">
      <c r="A424" s="57" t="s">
        <v>574</v>
      </c>
      <c r="B424" s="57" t="s">
        <v>547</v>
      </c>
      <c r="C424" s="57" t="s">
        <v>168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549</v>
      </c>
      <c r="J424" s="28"/>
      <c r="S424"/>
      <c r="T424"/>
      <c r="U424"/>
      <c r="V424"/>
      <c r="W424"/>
      <c r="X424"/>
      <c r="Y424"/>
      <c r="Z424"/>
      <c r="AC424" s="9" t="s">
        <v>159</v>
      </c>
      <c r="AD424" s="9">
        <v>4</v>
      </c>
    </row>
    <row r="425" spans="1:30" x14ac:dyDescent="0.25">
      <c r="A425" s="57" t="s">
        <v>567</v>
      </c>
      <c r="B425" s="57" t="s">
        <v>548</v>
      </c>
      <c r="C425" s="57" t="s">
        <v>176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474</v>
      </c>
      <c r="J425" s="28"/>
      <c r="S425"/>
      <c r="T425"/>
      <c r="U425"/>
      <c r="V425"/>
      <c r="W425"/>
      <c r="X425"/>
      <c r="Y425"/>
      <c r="Z425"/>
      <c r="AC425" s="9" t="s">
        <v>143</v>
      </c>
      <c r="AD425" s="9">
        <v>5</v>
      </c>
    </row>
    <row r="426" spans="1:30" x14ac:dyDescent="0.25">
      <c r="A426" s="57" t="s">
        <v>563</v>
      </c>
      <c r="B426" s="57" t="s">
        <v>548</v>
      </c>
      <c r="C426" s="57" t="s">
        <v>176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550</v>
      </c>
      <c r="J426" s="28"/>
      <c r="S426"/>
      <c r="T426"/>
      <c r="U426"/>
      <c r="V426"/>
      <c r="W426"/>
      <c r="X426"/>
      <c r="Y426"/>
      <c r="Z426"/>
      <c r="AC426" s="9" t="s">
        <v>131</v>
      </c>
      <c r="AD426" s="9">
        <v>6</v>
      </c>
    </row>
    <row r="427" spans="1:30" x14ac:dyDescent="0.25">
      <c r="A427" s="57" t="s">
        <v>556</v>
      </c>
      <c r="B427" s="57" t="s">
        <v>548</v>
      </c>
      <c r="C427" s="57" t="s">
        <v>176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556</v>
      </c>
      <c r="J427" s="28"/>
      <c r="S427"/>
      <c r="T427"/>
      <c r="U427"/>
      <c r="V427"/>
      <c r="W427"/>
      <c r="X427"/>
      <c r="Y427"/>
      <c r="Z427"/>
      <c r="AC427" s="9" t="s">
        <v>119</v>
      </c>
      <c r="AD427" s="9">
        <v>7</v>
      </c>
    </row>
    <row r="428" spans="1:30" x14ac:dyDescent="0.25">
      <c r="A428" s="57" t="s">
        <v>574</v>
      </c>
      <c r="B428" s="57" t="s">
        <v>547</v>
      </c>
      <c r="C428" s="57" t="s">
        <v>176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549</v>
      </c>
      <c r="J428" s="28"/>
      <c r="S428"/>
      <c r="T428"/>
      <c r="U428"/>
      <c r="V428"/>
      <c r="W428"/>
      <c r="X428"/>
      <c r="Y428"/>
      <c r="Z428"/>
      <c r="AC428" s="9" t="s">
        <v>80</v>
      </c>
      <c r="AD428" s="9">
        <v>8</v>
      </c>
    </row>
    <row r="429" spans="1:30" x14ac:dyDescent="0.25">
      <c r="A429" s="57" t="s">
        <v>573</v>
      </c>
      <c r="B429" s="57" t="s">
        <v>548</v>
      </c>
      <c r="C429" s="57" t="s">
        <v>176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558</v>
      </c>
      <c r="J429" s="28"/>
      <c r="S429"/>
      <c r="T429"/>
      <c r="U429"/>
      <c r="V429"/>
      <c r="W429"/>
      <c r="X429"/>
      <c r="Y429"/>
      <c r="Z429"/>
      <c r="AC429" s="9" t="s">
        <v>68</v>
      </c>
      <c r="AD429" s="9">
        <v>9</v>
      </c>
    </row>
    <row r="430" spans="1:30" x14ac:dyDescent="0.25">
      <c r="A430" s="57" t="s">
        <v>573</v>
      </c>
      <c r="B430" s="57" t="s">
        <v>548</v>
      </c>
      <c r="C430" s="57" t="s">
        <v>176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557</v>
      </c>
      <c r="J430" s="28"/>
      <c r="S430"/>
      <c r="T430"/>
      <c r="U430"/>
      <c r="V430"/>
      <c r="W430"/>
      <c r="X430"/>
      <c r="Y430"/>
      <c r="Z430"/>
      <c r="AC430" s="9" t="s">
        <v>215</v>
      </c>
      <c r="AD430" s="9">
        <v>10</v>
      </c>
    </row>
    <row r="431" spans="1:30" x14ac:dyDescent="0.25">
      <c r="A431" s="57" t="s">
        <v>565</v>
      </c>
      <c r="B431" s="57" t="s">
        <v>548</v>
      </c>
      <c r="C431" s="57" t="s">
        <v>176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553</v>
      </c>
      <c r="J431" s="28"/>
      <c r="S431"/>
      <c r="T431"/>
      <c r="U431"/>
      <c r="V431"/>
      <c r="W431"/>
      <c r="X431"/>
      <c r="Y431"/>
      <c r="Z431"/>
      <c r="AC431" s="9" t="s">
        <v>207</v>
      </c>
      <c r="AD431" s="9">
        <v>11</v>
      </c>
    </row>
    <row r="432" spans="1:30" x14ac:dyDescent="0.25">
      <c r="A432" s="57" t="s">
        <v>564</v>
      </c>
      <c r="B432" s="57" t="s">
        <v>559</v>
      </c>
      <c r="C432" s="57" t="s">
        <v>176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549</v>
      </c>
      <c r="J432" s="28"/>
      <c r="S432"/>
      <c r="T432"/>
      <c r="U432"/>
      <c r="V432"/>
      <c r="W432"/>
      <c r="X432"/>
      <c r="Y432"/>
      <c r="Z432"/>
      <c r="AC432" s="9" t="s">
        <v>188</v>
      </c>
      <c r="AD432" s="9">
        <v>12</v>
      </c>
    </row>
    <row r="433" spans="1:26" x14ac:dyDescent="0.25">
      <c r="A433" s="57" t="s">
        <v>576</v>
      </c>
      <c r="B433" s="57" t="s">
        <v>548</v>
      </c>
      <c r="C433" s="57" t="s">
        <v>176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549</v>
      </c>
      <c r="J433" s="28"/>
      <c r="S433"/>
      <c r="T433"/>
      <c r="U433"/>
      <c r="V433"/>
      <c r="W433"/>
      <c r="X433"/>
      <c r="Y433"/>
      <c r="Z433"/>
    </row>
    <row r="434" spans="1:26" x14ac:dyDescent="0.25">
      <c r="A434" s="57" t="s">
        <v>577</v>
      </c>
      <c r="B434" s="57" t="s">
        <v>548</v>
      </c>
      <c r="C434" s="57" t="s">
        <v>176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549</v>
      </c>
      <c r="J434" s="28"/>
      <c r="S434"/>
      <c r="T434"/>
      <c r="U434"/>
      <c r="V434"/>
      <c r="W434"/>
      <c r="X434"/>
      <c r="Y434"/>
      <c r="Z434"/>
    </row>
    <row r="435" spans="1:26" x14ac:dyDescent="0.25">
      <c r="A435" s="57" t="s">
        <v>563</v>
      </c>
      <c r="B435" s="57" t="s">
        <v>548</v>
      </c>
      <c r="C435" s="57" t="s">
        <v>183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550</v>
      </c>
      <c r="J435" s="28"/>
    </row>
    <row r="436" spans="1:26" x14ac:dyDescent="0.25">
      <c r="A436" s="57" t="s">
        <v>556</v>
      </c>
      <c r="B436" s="57" t="s">
        <v>548</v>
      </c>
      <c r="C436" s="57" t="s">
        <v>183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556</v>
      </c>
      <c r="J436" s="28"/>
    </row>
    <row r="437" spans="1:26" x14ac:dyDescent="0.25">
      <c r="A437" s="57" t="s">
        <v>565</v>
      </c>
      <c r="B437" s="57" t="s">
        <v>548</v>
      </c>
      <c r="C437" s="57" t="s">
        <v>183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553</v>
      </c>
      <c r="J437" s="28"/>
    </row>
    <row r="438" spans="1:26" x14ac:dyDescent="0.25">
      <c r="A438" s="57" t="s">
        <v>574</v>
      </c>
      <c r="B438" s="57" t="s">
        <v>547</v>
      </c>
      <c r="C438" s="57" t="s">
        <v>183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549</v>
      </c>
      <c r="J438" s="28"/>
    </row>
    <row r="439" spans="1:26" x14ac:dyDescent="0.25">
      <c r="A439" s="57" t="s">
        <v>578</v>
      </c>
      <c r="B439" s="57" t="s">
        <v>548</v>
      </c>
      <c r="C439" s="57" t="s">
        <v>188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550</v>
      </c>
      <c r="J439" s="28"/>
    </row>
    <row r="440" spans="1:26" x14ac:dyDescent="0.25">
      <c r="A440" s="57" t="s">
        <v>579</v>
      </c>
      <c r="B440" s="57" t="s">
        <v>548</v>
      </c>
      <c r="C440" s="57" t="s">
        <v>188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550</v>
      </c>
      <c r="J440" s="28"/>
    </row>
    <row r="441" spans="1:26" x14ac:dyDescent="0.25">
      <c r="A441" s="57" t="s">
        <v>563</v>
      </c>
      <c r="B441" s="57" t="s">
        <v>548</v>
      </c>
      <c r="C441" s="57" t="s">
        <v>188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550</v>
      </c>
      <c r="J441" s="28"/>
    </row>
    <row r="442" spans="1:26" x14ac:dyDescent="0.25">
      <c r="A442" s="57" t="s">
        <v>556</v>
      </c>
      <c r="B442" s="57" t="s">
        <v>548</v>
      </c>
      <c r="C442" s="57" t="s">
        <v>188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556</v>
      </c>
      <c r="J442" s="28"/>
    </row>
    <row r="443" spans="1:26" x14ac:dyDescent="0.25">
      <c r="A443" s="57" t="s">
        <v>564</v>
      </c>
      <c r="B443" s="57" t="s">
        <v>559</v>
      </c>
      <c r="C443" s="57" t="s">
        <v>188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549</v>
      </c>
      <c r="J443" s="28"/>
    </row>
    <row r="444" spans="1:26" x14ac:dyDescent="0.25">
      <c r="A444" s="57" t="s">
        <v>565</v>
      </c>
      <c r="B444" s="57" t="s">
        <v>548</v>
      </c>
      <c r="C444" s="57" t="s">
        <v>188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553</v>
      </c>
      <c r="J444" s="28"/>
    </row>
    <row r="445" spans="1:26" x14ac:dyDescent="0.25">
      <c r="A445" s="57" t="s">
        <v>574</v>
      </c>
      <c r="B445" s="57" t="s">
        <v>547</v>
      </c>
      <c r="C445" s="57" t="s">
        <v>188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549</v>
      </c>
      <c r="J445" s="28"/>
    </row>
    <row r="446" spans="1:26" x14ac:dyDescent="0.25">
      <c r="A446" s="57" t="s">
        <v>580</v>
      </c>
      <c r="B446" s="57" t="s">
        <v>548</v>
      </c>
      <c r="C446" s="57" t="s">
        <v>188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554</v>
      </c>
      <c r="J446" s="28"/>
    </row>
    <row r="447" spans="1:26" x14ac:dyDescent="0.25">
      <c r="A447" s="57" t="s">
        <v>581</v>
      </c>
      <c r="B447" s="57" t="s">
        <v>548</v>
      </c>
      <c r="C447" s="57" t="s">
        <v>188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554</v>
      </c>
      <c r="J447" s="28"/>
    </row>
    <row r="448" spans="1:26" x14ac:dyDescent="0.25">
      <c r="A448" s="57" t="s">
        <v>562</v>
      </c>
      <c r="B448" s="57" t="s">
        <v>548</v>
      </c>
      <c r="C448" s="57" t="s">
        <v>188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554</v>
      </c>
      <c r="J448" s="28"/>
    </row>
    <row r="449" spans="1:10" x14ac:dyDescent="0.25">
      <c r="A449" s="57" t="s">
        <v>582</v>
      </c>
      <c r="B449" s="57" t="s">
        <v>548</v>
      </c>
      <c r="C449" s="57" t="s">
        <v>188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554</v>
      </c>
      <c r="J449" s="28"/>
    </row>
    <row r="450" spans="1:10" x14ac:dyDescent="0.25">
      <c r="A450" s="57" t="s">
        <v>583</v>
      </c>
      <c r="B450" s="57" t="s">
        <v>548</v>
      </c>
      <c r="C450" s="57" t="s">
        <v>188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554</v>
      </c>
      <c r="J450" s="28"/>
    </row>
    <row r="451" spans="1:10" x14ac:dyDescent="0.25">
      <c r="A451" s="57" t="s">
        <v>563</v>
      </c>
      <c r="B451" s="57" t="s">
        <v>548</v>
      </c>
      <c r="C451" s="57" t="s">
        <v>207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550</v>
      </c>
      <c r="J451" s="28"/>
    </row>
    <row r="452" spans="1:10" x14ac:dyDescent="0.25">
      <c r="A452" s="57" t="s">
        <v>565</v>
      </c>
      <c r="B452" s="57" t="s">
        <v>548</v>
      </c>
      <c r="C452" s="57" t="s">
        <v>207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553</v>
      </c>
      <c r="J452" s="28"/>
    </row>
    <row r="453" spans="1:10" x14ac:dyDescent="0.25">
      <c r="A453" s="57" t="s">
        <v>584</v>
      </c>
      <c r="B453" s="57" t="s">
        <v>548</v>
      </c>
      <c r="C453" s="57" t="s">
        <v>207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551</v>
      </c>
      <c r="J453" s="28"/>
    </row>
    <row r="454" spans="1:10" x14ac:dyDescent="0.25">
      <c r="A454" s="57" t="s">
        <v>585</v>
      </c>
      <c r="B454" s="57" t="s">
        <v>548</v>
      </c>
      <c r="C454" s="57" t="s">
        <v>207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550</v>
      </c>
      <c r="J454" s="28"/>
    </row>
    <row r="455" spans="1:10" x14ac:dyDescent="0.25">
      <c r="A455" s="57" t="s">
        <v>586</v>
      </c>
      <c r="B455" s="57" t="s">
        <v>548</v>
      </c>
      <c r="C455" s="57" t="s">
        <v>207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555</v>
      </c>
      <c r="J455" s="28"/>
    </row>
    <row r="456" spans="1:10" x14ac:dyDescent="0.25">
      <c r="A456" s="57" t="s">
        <v>587</v>
      </c>
      <c r="B456" s="57" t="s">
        <v>548</v>
      </c>
      <c r="C456" s="57" t="s">
        <v>207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551</v>
      </c>
      <c r="J456" s="28"/>
    </row>
    <row r="457" spans="1:10" x14ac:dyDescent="0.25">
      <c r="A457" s="57" t="s">
        <v>588</v>
      </c>
      <c r="B457" s="57" t="s">
        <v>548</v>
      </c>
      <c r="C457" s="57" t="s">
        <v>207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551</v>
      </c>
      <c r="J457" s="28"/>
    </row>
    <row r="458" spans="1:10" x14ac:dyDescent="0.25">
      <c r="A458" s="57" t="s">
        <v>589</v>
      </c>
      <c r="B458" s="57" t="s">
        <v>548</v>
      </c>
      <c r="C458" s="57" t="s">
        <v>207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551</v>
      </c>
      <c r="J458" s="28"/>
    </row>
    <row r="459" spans="1:10" x14ac:dyDescent="0.25">
      <c r="A459" s="57" t="s">
        <v>590</v>
      </c>
      <c r="B459" s="57" t="s">
        <v>548</v>
      </c>
      <c r="C459" s="57" t="s">
        <v>207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552</v>
      </c>
      <c r="J459" s="28"/>
    </row>
    <row r="460" spans="1:10" x14ac:dyDescent="0.25">
      <c r="A460" s="57" t="s">
        <v>591</v>
      </c>
      <c r="B460" s="57" t="s">
        <v>548</v>
      </c>
      <c r="C460" s="57" t="s">
        <v>207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551</v>
      </c>
      <c r="J460" s="28"/>
    </row>
    <row r="461" spans="1:10" x14ac:dyDescent="0.25">
      <c r="A461" s="57" t="s">
        <v>574</v>
      </c>
      <c r="B461" s="57" t="s">
        <v>547</v>
      </c>
      <c r="C461" s="57" t="s">
        <v>207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592</v>
      </c>
      <c r="J461" s="28"/>
    </row>
    <row r="462" spans="1:10" x14ac:dyDescent="0.25">
      <c r="A462" s="57" t="s">
        <v>593</v>
      </c>
      <c r="B462" s="57" t="s">
        <v>548</v>
      </c>
      <c r="C462" s="57" t="s">
        <v>207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551</v>
      </c>
      <c r="J462" s="28"/>
    </row>
    <row r="463" spans="1:10" x14ac:dyDescent="0.25">
      <c r="A463" s="57" t="s">
        <v>564</v>
      </c>
      <c r="B463" s="57" t="s">
        <v>559</v>
      </c>
      <c r="C463" s="57" t="s">
        <v>207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592</v>
      </c>
      <c r="J463" s="28"/>
    </row>
    <row r="464" spans="1:10" x14ac:dyDescent="0.25">
      <c r="A464" s="57" t="s">
        <v>563</v>
      </c>
      <c r="B464" s="57" t="s">
        <v>548</v>
      </c>
      <c r="C464" s="57" t="s">
        <v>215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550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G23" sqref="G23"/>
    </sheetView>
  </sheetViews>
  <sheetFormatPr defaultColWidth="9.140625" defaultRowHeight="15" x14ac:dyDescent="0.2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 x14ac:dyDescent="0.25">
      <c r="C1" s="140">
        <f ca="1">TODAY()</f>
        <v>46104</v>
      </c>
    </row>
    <row r="2" spans="2:53" x14ac:dyDescent="0.25">
      <c r="B2" s="17" t="s">
        <v>594</v>
      </c>
      <c r="C2" s="141">
        <f>BILANCIO!B2</f>
        <v>46113</v>
      </c>
      <c r="R2" s="1450" t="s">
        <v>595</v>
      </c>
      <c r="S2" s="1450"/>
      <c r="T2" s="1450"/>
      <c r="AR2" s="1451" t="s">
        <v>596</v>
      </c>
      <c r="AS2" s="1451"/>
      <c r="AT2" s="142">
        <f>SUM(AA634:AA664)</f>
        <v>260.02999999999997</v>
      </c>
      <c r="AU2" s="1449" t="s">
        <v>597</v>
      </c>
      <c r="AV2" s="1450"/>
      <c r="AW2" s="1450"/>
      <c r="AX2" s="1450"/>
      <c r="AY2" s="1450"/>
    </row>
    <row r="3" spans="2:53" ht="32.25" customHeight="1" x14ac:dyDescent="0.25">
      <c r="B3" s="1444" t="str">
        <f>CONCATENATE("MEDIA CONSUMO ",ROUND(AX4,2)," L/Km"," - ",ROUND(AY4,1)," L/100Km")</f>
        <v>MEDIA CONSUMO 16,15 L/Km - 6,2 L/100Km</v>
      </c>
      <c r="C3" s="1444"/>
      <c r="D3" s="1444"/>
      <c r="E3" s="1444" t="str">
        <f>CONCATENATE("SPESA RIFORNIMENTO ATTUALE: ",VLOOKUP(B7,J23:L166,3,FALSE)," €")</f>
        <v>SPESA RIFORNIMENTO ATTUALE:  €</v>
      </c>
      <c r="F3" s="1444"/>
      <c r="G3" s="1444"/>
      <c r="H3" s="1444" t="str">
        <f>CONCATENATE("CONVIENE ",IF(I89&gt;0,"SLOVENIA","ITALIA")," RISPARMIATO / ",ROUND(I89,2), " €")</f>
        <v>CONVIENE SLOVENIA RISPARMIATO / 9,66 €</v>
      </c>
      <c r="I3" s="1444"/>
      <c r="J3" s="1444"/>
      <c r="K3" s="1444"/>
      <c r="R3" s="67">
        <v>2022</v>
      </c>
      <c r="S3" s="67">
        <v>2023</v>
      </c>
      <c r="T3" s="67">
        <v>2024</v>
      </c>
      <c r="U3" s="67">
        <v>2025</v>
      </c>
      <c r="AR3" s="1451" t="s">
        <v>598</v>
      </c>
      <c r="AS3" s="1451"/>
      <c r="AT3" s="142">
        <f>SUM(AB634:AB664)</f>
        <v>3.72</v>
      </c>
      <c r="AV3" s="14" t="s">
        <v>599</v>
      </c>
      <c r="AW3" s="14" t="s">
        <v>600</v>
      </c>
      <c r="AX3" s="14" t="s">
        <v>601</v>
      </c>
      <c r="AY3" s="14" t="s">
        <v>602</v>
      </c>
    </row>
    <row r="4" spans="2:53" ht="30" customHeight="1" x14ac:dyDescent="0.25">
      <c r="C4" s="628"/>
      <c r="F4" s="628" t="str">
        <f>CONCATENATE("PREZZO MEDIO GASOLIO: ",ROUND(AVERAGE(AC25:AC634),2)," €")</f>
        <v>PREZZO MEDIO GASOLIO: 1,69 €</v>
      </c>
      <c r="H4" s="1445" t="s">
        <v>603</v>
      </c>
      <c r="I4" s="1445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1" t="s">
        <v>439</v>
      </c>
      <c r="AS4" s="1451"/>
      <c r="AT4" s="142">
        <f>AT2+AT3</f>
        <v>263.75</v>
      </c>
      <c r="AU4" s="81" t="s">
        <v>397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630" t="s">
        <v>604</v>
      </c>
      <c r="BA4" s="58">
        <f>AVERAGE(AN:AN)</f>
        <v>126.39037637277083</v>
      </c>
    </row>
    <row r="5" spans="2:53" ht="30" customHeight="1" x14ac:dyDescent="0.25">
      <c r="C5" s="628"/>
      <c r="F5" s="628"/>
      <c r="H5" s="1457" t="s">
        <v>605</v>
      </c>
      <c r="I5" s="1457"/>
      <c r="J5" s="57"/>
      <c r="K5" s="146">
        <f>AT6</f>
        <v>263.75</v>
      </c>
      <c r="L5" s="147"/>
      <c r="AR5" s="1451" t="s">
        <v>606</v>
      </c>
      <c r="AS5" s="1451"/>
      <c r="AT5" s="142">
        <v>0</v>
      </c>
      <c r="AU5" s="57"/>
      <c r="AV5" s="148" t="str">
        <f ca="1">CONCATENATE("Km - Lavoro anno ",YEAR(TODAY()))</f>
        <v>Km - Lavoro anno 2026</v>
      </c>
      <c r="AW5" s="630">
        <f>SUM(AF517:AF976)</f>
        <v>3881.9999999999995</v>
      </c>
      <c r="AX5" s="630" t="s">
        <v>607</v>
      </c>
      <c r="AY5" s="145">
        <f>AVERAGEA(AJ117:AJ937)</f>
        <v>412.34999999999991</v>
      </c>
      <c r="AZ5" s="630" t="s">
        <v>608</v>
      </c>
      <c r="BA5" s="145">
        <f>AY5/7</f>
        <v>58.907142857142844</v>
      </c>
    </row>
    <row r="6" spans="2:53" ht="30" customHeight="1" x14ac:dyDescent="0.25">
      <c r="C6" s="628"/>
      <c r="F6" s="628"/>
      <c r="H6" s="1446" t="s">
        <v>609</v>
      </c>
      <c r="I6" s="1446"/>
      <c r="J6" s="149"/>
      <c r="K6" s="150">
        <f>BA4*$C$29</f>
        <v>192.49254321572997</v>
      </c>
      <c r="L6" s="147"/>
      <c r="AR6" s="1451" t="s">
        <v>610</v>
      </c>
      <c r="AS6" s="1451"/>
      <c r="AT6" s="30">
        <f>AT4-AT5</f>
        <v>263.75</v>
      </c>
      <c r="AU6" s="1452" t="s">
        <v>611</v>
      </c>
      <c r="AV6" s="1453"/>
      <c r="AW6" s="151">
        <f>SUM(AH517:AH877)</f>
        <v>6937.9300000000012</v>
      </c>
      <c r="AX6" s="630" t="s">
        <v>612</v>
      </c>
      <c r="AY6" s="145">
        <f>AVERAGEA(AK117:AK882)</f>
        <v>934.49142857142863</v>
      </c>
      <c r="AZ6" s="630" t="s">
        <v>613</v>
      </c>
      <c r="BA6" s="58">
        <f>AVERAGE(AL117:AL1102)</f>
        <v>903.55555555555554</v>
      </c>
    </row>
    <row r="7" spans="2:53" ht="28.5" customHeight="1" x14ac:dyDescent="0.25">
      <c r="B7" s="11">
        <f>C2</f>
        <v>46113</v>
      </c>
      <c r="C7" s="40"/>
    </row>
    <row r="8" spans="2:53" x14ac:dyDescent="0.25">
      <c r="B8" s="53" t="s">
        <v>72</v>
      </c>
      <c r="C8" s="67" t="s">
        <v>614</v>
      </c>
      <c r="D8" s="67" t="s">
        <v>615</v>
      </c>
      <c r="E8" s="67" t="s">
        <v>616</v>
      </c>
      <c r="F8" s="67" t="s">
        <v>617</v>
      </c>
      <c r="G8" s="67" t="s">
        <v>618</v>
      </c>
      <c r="H8" s="67" t="s">
        <v>619</v>
      </c>
      <c r="I8" s="67" t="s">
        <v>620</v>
      </c>
      <c r="K8" s="67" t="s">
        <v>621</v>
      </c>
      <c r="L8" s="67" t="s">
        <v>622</v>
      </c>
      <c r="M8" s="67" t="s">
        <v>623</v>
      </c>
      <c r="N8" s="67" t="s">
        <v>745</v>
      </c>
      <c r="O8" s="67" t="s">
        <v>746</v>
      </c>
      <c r="P8" s="67" t="s">
        <v>1150</v>
      </c>
      <c r="Q8" s="67" t="s">
        <v>1151</v>
      </c>
      <c r="AG8" s="152"/>
      <c r="AH8" s="152"/>
      <c r="AI8" s="152"/>
      <c r="AJ8" s="152"/>
    </row>
    <row r="9" spans="2:53" x14ac:dyDescent="0.25">
      <c r="B9" s="153" t="s">
        <v>624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 x14ac:dyDescent="0.25">
      <c r="B10" s="153" t="s">
        <v>430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 x14ac:dyDescent="0.25">
      <c r="B11" s="153" t="s">
        <v>625</v>
      </c>
      <c r="C11" s="154">
        <f>D11/12</f>
        <v>19.084166666666665</v>
      </c>
      <c r="D11" s="722">
        <f>'Dettaglio Spese Generiche CC'!G2361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 x14ac:dyDescent="0.25">
      <c r="B12" s="153" t="s">
        <v>432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22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753</v>
      </c>
    </row>
    <row r="13" spans="2:53" x14ac:dyDescent="0.25">
      <c r="B13" s="153" t="s">
        <v>626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3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 x14ac:dyDescent="0.25">
      <c r="B14" s="153" t="s">
        <v>627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 x14ac:dyDescent="0.25">
      <c r="B15" s="57" t="s">
        <v>397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 x14ac:dyDescent="0.25">
      <c r="B16" s="153" t="s">
        <v>628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 x14ac:dyDescent="0.25">
      <c r="C17" s="78"/>
      <c r="F17" s="37"/>
      <c r="G17" s="37"/>
      <c r="H17" s="37"/>
      <c r="I17" s="37"/>
      <c r="J17" s="37"/>
      <c r="K17" s="37"/>
    </row>
    <row r="18" spans="2:49" x14ac:dyDescent="0.25">
      <c r="C18" s="78"/>
      <c r="F18" s="37"/>
      <c r="G18" s="37"/>
      <c r="H18" s="37"/>
      <c r="I18" s="37"/>
      <c r="J18" s="37"/>
      <c r="K18" s="37"/>
    </row>
    <row r="19" spans="2:49" x14ac:dyDescent="0.25">
      <c r="C19" s="78"/>
      <c r="F19" s="37"/>
      <c r="G19" s="37"/>
      <c r="H19" s="37"/>
      <c r="I19" s="37"/>
      <c r="J19" s="37"/>
      <c r="K19" s="37"/>
    </row>
    <row r="22" spans="2:49" x14ac:dyDescent="0.25">
      <c r="C22" s="14" t="s">
        <v>62</v>
      </c>
      <c r="D22" s="14" t="s">
        <v>629</v>
      </c>
      <c r="E22" s="14" t="s">
        <v>630</v>
      </c>
      <c r="J22" s="22"/>
      <c r="K22" s="38" t="s">
        <v>631</v>
      </c>
      <c r="L22" s="38" t="s">
        <v>596</v>
      </c>
      <c r="M22" s="38" t="s">
        <v>632</v>
      </c>
      <c r="N22" s="38" t="s">
        <v>633</v>
      </c>
      <c r="O22" s="38" t="s">
        <v>634</v>
      </c>
      <c r="P22" s="38" t="s">
        <v>397</v>
      </c>
      <c r="Q22" s="38" t="s">
        <v>625</v>
      </c>
      <c r="R22" s="38" t="s">
        <v>635</v>
      </c>
      <c r="S22" s="38" t="s">
        <v>627</v>
      </c>
      <c r="T22" s="38" t="s">
        <v>397</v>
      </c>
      <c r="U22" s="38" t="s">
        <v>636</v>
      </c>
    </row>
    <row r="23" spans="2:49" x14ac:dyDescent="0.25">
      <c r="B23" s="9" t="s">
        <v>637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4" t="s">
        <v>638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639</v>
      </c>
    </row>
    <row r="24" spans="2:49" x14ac:dyDescent="0.25">
      <c r="C24" s="160"/>
      <c r="D24" s="160"/>
      <c r="E24" s="160"/>
      <c r="H24" s="89"/>
      <c r="I24" s="1455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640</v>
      </c>
      <c r="Y24" s="38" t="s">
        <v>641</v>
      </c>
      <c r="Z24" s="162" t="s">
        <v>398</v>
      </c>
      <c r="AA24" s="38" t="s">
        <v>642</v>
      </c>
      <c r="AB24" s="38" t="s">
        <v>643</v>
      </c>
      <c r="AC24" s="38" t="s">
        <v>644</v>
      </c>
      <c r="AD24" s="38" t="s">
        <v>645</v>
      </c>
      <c r="AE24" s="38"/>
      <c r="AF24" s="163" t="s">
        <v>646</v>
      </c>
      <c r="AG24" s="38" t="s">
        <v>647</v>
      </c>
      <c r="AH24" s="38" t="s">
        <v>648</v>
      </c>
      <c r="AI24" s="38" t="s">
        <v>649</v>
      </c>
      <c r="AJ24" s="38" t="s">
        <v>650</v>
      </c>
      <c r="AK24" s="38" t="s">
        <v>651</v>
      </c>
      <c r="AL24" s="38" t="s">
        <v>652</v>
      </c>
      <c r="AM24" s="38" t="s">
        <v>653</v>
      </c>
      <c r="AN24" s="164" t="s">
        <v>604</v>
      </c>
      <c r="AO24" s="164" t="s">
        <v>604</v>
      </c>
      <c r="AP24" s="18" t="s">
        <v>654</v>
      </c>
      <c r="AQ24" s="18" t="s">
        <v>655</v>
      </c>
      <c r="AR24" s="18"/>
      <c r="AS24" s="18" t="s">
        <v>656</v>
      </c>
      <c r="AT24" s="18" t="s">
        <v>657</v>
      </c>
      <c r="AU24" s="18" t="s">
        <v>658</v>
      </c>
      <c r="AV24" s="18" t="s">
        <v>653</v>
      </c>
      <c r="AW24" s="9" t="s">
        <v>659</v>
      </c>
    </row>
    <row r="25" spans="2:49" x14ac:dyDescent="0.25">
      <c r="C25" s="9" t="s">
        <v>660</v>
      </c>
      <c r="D25" s="9" t="s">
        <v>661</v>
      </c>
      <c r="H25" s="89"/>
      <c r="I25" s="1455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411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 x14ac:dyDescent="0.25">
      <c r="B26" s="9" t="s">
        <v>662</v>
      </c>
      <c r="C26" s="167">
        <v>1.5229999999999999</v>
      </c>
      <c r="D26" s="167">
        <v>1.7989999999999999</v>
      </c>
      <c r="H26" s="89"/>
      <c r="I26" s="1455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414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 x14ac:dyDescent="0.25">
      <c r="B27" s="9" t="s">
        <v>663</v>
      </c>
      <c r="C27" s="169"/>
      <c r="D27" s="167"/>
      <c r="E27" s="15"/>
      <c r="H27" s="89"/>
      <c r="I27" s="1455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417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 x14ac:dyDescent="0.25">
      <c r="B28" s="9" t="s">
        <v>664</v>
      </c>
      <c r="C28" s="169"/>
      <c r="D28" s="170">
        <v>0.62</v>
      </c>
      <c r="H28" s="89"/>
      <c r="I28" s="1455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419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 x14ac:dyDescent="0.25">
      <c r="B29" s="9" t="s">
        <v>665</v>
      </c>
      <c r="C29" s="170">
        <f>C26-C28</f>
        <v>1.5229999999999999</v>
      </c>
      <c r="D29" s="170">
        <f>D26-D27</f>
        <v>1.7989999999999999</v>
      </c>
      <c r="E29" s="171"/>
      <c r="H29" s="89"/>
      <c r="I29" s="1455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401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 x14ac:dyDescent="0.25">
      <c r="B30" s="9" t="s">
        <v>666</v>
      </c>
      <c r="C30" s="15">
        <v>60</v>
      </c>
      <c r="D30" s="15">
        <v>60</v>
      </c>
      <c r="E30" s="9" t="s">
        <v>667</v>
      </c>
      <c r="H30" s="89"/>
      <c r="I30" s="1455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404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 x14ac:dyDescent="0.25">
      <c r="B31" s="9" t="s">
        <v>668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55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408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 x14ac:dyDescent="0.25">
      <c r="B32" s="9" t="s">
        <v>669</v>
      </c>
      <c r="C32" s="93">
        <f>30.9*2</f>
        <v>61.8</v>
      </c>
      <c r="D32" s="94">
        <f>4</f>
        <v>4</v>
      </c>
      <c r="H32" s="89"/>
      <c r="I32" s="1455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411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 x14ac:dyDescent="0.25">
      <c r="B33" s="9" t="s">
        <v>670</v>
      </c>
      <c r="C33" s="37">
        <f>($C$32/$E$63)*C29</f>
        <v>5.8284198968811047</v>
      </c>
      <c r="D33" s="37">
        <f>($D$32/$E$63)*D29</f>
        <v>0.44560864562104296</v>
      </c>
      <c r="E33" s="630" t="s">
        <v>671</v>
      </c>
      <c r="H33" s="89"/>
      <c r="I33" s="1455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414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 x14ac:dyDescent="0.25">
      <c r="B34" s="9" t="s">
        <v>397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55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417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 x14ac:dyDescent="0.25">
      <c r="H35" s="89"/>
      <c r="I35" s="1455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419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 x14ac:dyDescent="0.25">
      <c r="C36" s="57" t="s">
        <v>672</v>
      </c>
      <c r="D36" s="57" t="s">
        <v>673</v>
      </c>
      <c r="E36" s="57" t="s">
        <v>674</v>
      </c>
      <c r="F36" s="57" t="s">
        <v>675</v>
      </c>
      <c r="G36" s="83" t="s">
        <v>676</v>
      </c>
      <c r="H36" s="89"/>
      <c r="I36" s="1455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401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 x14ac:dyDescent="0.3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6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404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 x14ac:dyDescent="0.25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61" t="s">
        <v>677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408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 x14ac:dyDescent="0.25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55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411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 x14ac:dyDescent="0.25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55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414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 x14ac:dyDescent="0.25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55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417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 x14ac:dyDescent="0.25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55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419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 x14ac:dyDescent="0.25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55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401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 x14ac:dyDescent="0.25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55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404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 x14ac:dyDescent="0.25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55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408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 x14ac:dyDescent="0.25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55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411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 x14ac:dyDescent="0.25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55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414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 x14ac:dyDescent="0.25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55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417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 x14ac:dyDescent="0.25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55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419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 x14ac:dyDescent="0.25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55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401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 x14ac:dyDescent="0.25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55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404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 x14ac:dyDescent="0.25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55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408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 x14ac:dyDescent="0.25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55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411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 x14ac:dyDescent="0.25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55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414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 x14ac:dyDescent="0.25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55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417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 x14ac:dyDescent="0.25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55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419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629"/>
      <c r="AK56" s="629">
        <f>SUM(AH26:AH56)</f>
        <v>2410.4</v>
      </c>
      <c r="AL56" s="629">
        <f>SUM(AF26:AF56)</f>
        <v>919.9</v>
      </c>
      <c r="AM56" s="62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 x14ac:dyDescent="0.25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55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401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 x14ac:dyDescent="0.25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62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404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 x14ac:dyDescent="0.25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408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 x14ac:dyDescent="0.25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411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 x14ac:dyDescent="0.25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414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 x14ac:dyDescent="0.25">
      <c r="B62" s="49" t="s">
        <v>678</v>
      </c>
      <c r="C62" s="185">
        <f>E63</f>
        <v>16.148699247006224</v>
      </c>
      <c r="D62" s="49" t="s">
        <v>653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417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 x14ac:dyDescent="0.25">
      <c r="B63" s="49" t="s">
        <v>679</v>
      </c>
      <c r="C63" s="93">
        <f>C62*D30</f>
        <v>968.92195482037346</v>
      </c>
      <c r="D63" s="49" t="s">
        <v>680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419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 x14ac:dyDescent="0.25">
      <c r="B64" s="49" t="s">
        <v>681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401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 x14ac:dyDescent="0.25">
      <c r="B65" s="49" t="s">
        <v>682</v>
      </c>
      <c r="C65" s="95">
        <f>C64/C62</f>
        <v>3.3686923737888739</v>
      </c>
      <c r="D65" s="9" t="s">
        <v>683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404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 x14ac:dyDescent="0.25">
      <c r="B66" s="49" t="s">
        <v>684</v>
      </c>
      <c r="C66" s="185">
        <f>AVERAGEA(AG25:AG302)</f>
        <v>38.998974358974358</v>
      </c>
      <c r="D66" s="9" t="s">
        <v>685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408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 x14ac:dyDescent="0.25">
      <c r="B67" s="49" t="s">
        <v>686</v>
      </c>
      <c r="C67" s="95">
        <f>C66/C62</f>
        <v>2.4149916821445729</v>
      </c>
      <c r="D67" s="9" t="s">
        <v>379</v>
      </c>
      <c r="E67" s="72">
        <f>K4</f>
        <v>75</v>
      </c>
      <c r="F67" s="9" t="s">
        <v>687</v>
      </c>
      <c r="G67" s="9" t="s">
        <v>688</v>
      </c>
      <c r="H67" s="9" t="s">
        <v>689</v>
      </c>
      <c r="I67" s="9" t="s">
        <v>690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411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 x14ac:dyDescent="0.25">
      <c r="B68" s="49" t="s">
        <v>691</v>
      </c>
      <c r="C68" s="95">
        <f>C65+C67</f>
        <v>5.7836840559334473</v>
      </c>
      <c r="D68" s="9" t="s">
        <v>673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414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 x14ac:dyDescent="0.25">
      <c r="B69" s="49" t="s">
        <v>692</v>
      </c>
      <c r="C69" s="95">
        <f>((C65*5)/7)+C67</f>
        <v>4.8212005205651973</v>
      </c>
      <c r="D69" s="9" t="s">
        <v>674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417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 x14ac:dyDescent="0.25">
      <c r="B70" s="49" t="s">
        <v>693</v>
      </c>
      <c r="C70" s="93">
        <f>(C64*20)+(C66*30)</f>
        <v>2257.9692307692308</v>
      </c>
      <c r="D70" s="9" t="s">
        <v>694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419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 x14ac:dyDescent="0.25">
      <c r="B71" s="49" t="s">
        <v>695</v>
      </c>
      <c r="C71" s="93">
        <f>C70*12</f>
        <v>27095.630769230767</v>
      </c>
      <c r="D71" s="9" t="s">
        <v>696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401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 x14ac:dyDescent="0.25">
      <c r="B72" s="49" t="s">
        <v>697</v>
      </c>
      <c r="C72" s="70">
        <f>MEDIAN(L47:L58)</f>
        <v>207.77499999999998</v>
      </c>
      <c r="D72" s="9" t="s">
        <v>698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404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 x14ac:dyDescent="0.25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408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 x14ac:dyDescent="0.25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411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 x14ac:dyDescent="0.25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414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 x14ac:dyDescent="0.25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417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 x14ac:dyDescent="0.25">
      <c r="C77" s="79" t="s">
        <v>699</v>
      </c>
      <c r="D77" s="79" t="s">
        <v>700</v>
      </c>
      <c r="E77" s="79" t="s">
        <v>701</v>
      </c>
      <c r="F77" s="79" t="s">
        <v>700</v>
      </c>
      <c r="G77" s="79" t="s">
        <v>702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419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 x14ac:dyDescent="0.25">
      <c r="B78" s="49" t="s">
        <v>703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401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 x14ac:dyDescent="0.3">
      <c r="B79" s="49" t="s">
        <v>704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404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 x14ac:dyDescent="0.25">
      <c r="B80" s="49" t="s">
        <v>705</v>
      </c>
      <c r="C80" s="188">
        <v>1.7789999999999999</v>
      </c>
      <c r="D80" s="189">
        <f>D78*$C$80</f>
        <v>0.94740757543282161</v>
      </c>
      <c r="E80" s="190" t="s">
        <v>706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408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 x14ac:dyDescent="0.3">
      <c r="B81" s="49" t="s">
        <v>707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411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 x14ac:dyDescent="0.25">
      <c r="B82" s="49" t="s">
        <v>708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414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 x14ac:dyDescent="0.25">
      <c r="B83" s="49" t="s">
        <v>709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630" t="s">
        <v>710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417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 x14ac:dyDescent="0.25">
      <c r="B84" s="49" t="s">
        <v>711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630" t="s">
        <v>710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419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 x14ac:dyDescent="0.25">
      <c r="B85" s="49" t="s">
        <v>712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401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 x14ac:dyDescent="0.3">
      <c r="B86" s="49" t="s">
        <v>713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404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629">
        <f>SUM(AH77:AH86)</f>
        <v>580.4</v>
      </c>
      <c r="AK86" s="629">
        <f>SUM(AH56:AH86)</f>
        <v>1358</v>
      </c>
      <c r="AL86" s="629">
        <f>SUM(AF56:AF86)</f>
        <v>863.79999999999973</v>
      </c>
      <c r="AM86" s="62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 x14ac:dyDescent="0.25">
      <c r="B87" s="49" t="s">
        <v>714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715</v>
      </c>
      <c r="J87" s="9">
        <f t="shared" si="1"/>
        <v>46143</v>
      </c>
      <c r="K87" s="85">
        <v>46143</v>
      </c>
      <c r="L87" s="21"/>
      <c r="M87" s="21">
        <v>0</v>
      </c>
      <c r="N87" s="21" t="str">
        <f t="shared" si="30"/>
        <v/>
      </c>
      <c r="O87" s="21" t="str">
        <f t="shared" si="31"/>
        <v/>
      </c>
      <c r="P87" s="37" t="str">
        <f t="shared" si="32"/>
        <v/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408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 x14ac:dyDescent="0.25">
      <c r="B88" s="49" t="s">
        <v>716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411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 x14ac:dyDescent="0.25">
      <c r="B89" s="49" t="s">
        <v>717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414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 x14ac:dyDescent="0.3">
      <c r="B90" s="49" t="s">
        <v>718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417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 x14ac:dyDescent="0.25">
      <c r="C91" s="15"/>
      <c r="H91" s="15"/>
      <c r="I91" s="1447" t="s">
        <v>719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419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 x14ac:dyDescent="0.25">
      <c r="E92" s="1458" t="str">
        <f>CONCATENATE("QUANTO COSTANO ",$K$4," € DI GASOLIO A")</f>
        <v>QUANTO COSTANO 75 € DI GASOLIO A</v>
      </c>
      <c r="F92" s="1458" t="str">
        <f>CONCATENATE("QUANTI LITRI SONO ",$K$4," € DI GASOLIO A")</f>
        <v>QUANTI LITRI SONO 75 € DI GASOLIO A</v>
      </c>
      <c r="G92" s="1458" t="str">
        <f>CONCATENATE("CON"," ",K4,"€ E' EQUIVALENTE A FARE")</f>
        <v>CON 75€ E' EQUIVALENTE A FARE</v>
      </c>
      <c r="H92" s="1458" t="str">
        <f>CONCATENATE("QUANTI KM POSSO FARE CON ",$K$4," € DI GASOLIO A")</f>
        <v>QUANTI KM POSSO FARE CON 75 € DI GASOLIO A</v>
      </c>
      <c r="I92" s="1448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401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 x14ac:dyDescent="0.25">
      <c r="E93" s="1459"/>
      <c r="F93" s="1459"/>
      <c r="G93" s="1459"/>
      <c r="H93" s="1459"/>
      <c r="I93" s="1448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404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 x14ac:dyDescent="0.25">
      <c r="E94" s="1459"/>
      <c r="F94" s="1459"/>
      <c r="G94" s="1459"/>
      <c r="H94" s="1459"/>
      <c r="I94" s="1448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408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 x14ac:dyDescent="0.25">
      <c r="E95" s="1460"/>
      <c r="F95" s="1460"/>
      <c r="G95" s="1460"/>
      <c r="H95" s="1460"/>
      <c r="I95" s="209" t="s">
        <v>720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411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 x14ac:dyDescent="0.25">
      <c r="C96" s="49" t="s">
        <v>721</v>
      </c>
      <c r="D96" s="630" t="s">
        <v>722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414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 x14ac:dyDescent="0.25">
      <c r="C97" s="49" t="s">
        <v>723</v>
      </c>
      <c r="D97" s="630" t="s">
        <v>724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417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 x14ac:dyDescent="0.25">
      <c r="C98" s="49" t="s">
        <v>723</v>
      </c>
      <c r="D98" s="630" t="s">
        <v>725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419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 x14ac:dyDescent="0.25">
      <c r="C99" s="49" t="s">
        <v>726</v>
      </c>
      <c r="D99" s="630" t="s">
        <v>727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401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 x14ac:dyDescent="0.25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404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 x14ac:dyDescent="0.25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408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 x14ac:dyDescent="0.25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411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 x14ac:dyDescent="0.25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414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 x14ac:dyDescent="0.25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417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 x14ac:dyDescent="0.25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419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 x14ac:dyDescent="0.25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401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 x14ac:dyDescent="0.25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404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 x14ac:dyDescent="0.25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408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 x14ac:dyDescent="0.25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411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 x14ac:dyDescent="0.25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414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 x14ac:dyDescent="0.25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417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 x14ac:dyDescent="0.25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419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 x14ac:dyDescent="0.25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401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 x14ac:dyDescent="0.25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404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 x14ac:dyDescent="0.25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408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 x14ac:dyDescent="0.25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411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607</v>
      </c>
      <c r="AK116" s="14" t="s">
        <v>612</v>
      </c>
      <c r="AL116" s="14" t="s">
        <v>728</v>
      </c>
      <c r="AM116" s="14" t="s">
        <v>729</v>
      </c>
      <c r="AN116" s="166" t="s">
        <v>604</v>
      </c>
      <c r="AO116" s="166" t="s">
        <v>730</v>
      </c>
      <c r="AP116" s="14"/>
      <c r="AQ116" s="14"/>
    </row>
    <row r="117" spans="10:44" x14ac:dyDescent="0.25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414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629"/>
      <c r="AK117" s="629">
        <f>SUM(AH87:AH117)</f>
        <v>1450.0000000000002</v>
      </c>
      <c r="AL117" s="629">
        <f>SUM(AF87:AF117)</f>
        <v>822.39999999999986</v>
      </c>
      <c r="AM117" s="62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 x14ac:dyDescent="0.25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417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 x14ac:dyDescent="0.25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419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 x14ac:dyDescent="0.25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401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 x14ac:dyDescent="0.25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404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 x14ac:dyDescent="0.25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408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 x14ac:dyDescent="0.25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411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 x14ac:dyDescent="0.25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414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 x14ac:dyDescent="0.25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417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 x14ac:dyDescent="0.25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419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 x14ac:dyDescent="0.25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401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 x14ac:dyDescent="0.25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404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 x14ac:dyDescent="0.25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408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 x14ac:dyDescent="0.25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411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 x14ac:dyDescent="0.25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414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 x14ac:dyDescent="0.25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417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 x14ac:dyDescent="0.25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419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 x14ac:dyDescent="0.25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401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 x14ac:dyDescent="0.25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404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 x14ac:dyDescent="0.25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408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 x14ac:dyDescent="0.25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411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 x14ac:dyDescent="0.25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414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 x14ac:dyDescent="0.25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417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 x14ac:dyDescent="0.25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419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 x14ac:dyDescent="0.25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401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 x14ac:dyDescent="0.25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404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 x14ac:dyDescent="0.25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408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 x14ac:dyDescent="0.25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411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 x14ac:dyDescent="0.25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414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 x14ac:dyDescent="0.25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417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607</v>
      </c>
      <c r="AK146" s="14" t="s">
        <v>612</v>
      </c>
      <c r="AL146" s="14" t="s">
        <v>728</v>
      </c>
      <c r="AM146" s="14" t="s">
        <v>729</v>
      </c>
      <c r="AN146" s="166" t="s">
        <v>604</v>
      </c>
      <c r="AO146" s="166" t="s">
        <v>730</v>
      </c>
      <c r="AP146" s="14"/>
      <c r="AQ146" s="14"/>
    </row>
    <row r="147" spans="10:43" x14ac:dyDescent="0.25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419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629"/>
      <c r="AK147" s="629">
        <f>SUM(AH118:AH147)</f>
        <v>1232.6000000000001</v>
      </c>
      <c r="AL147" s="629">
        <f>SUM(AF118:AF147)</f>
        <v>843.19999999999982</v>
      </c>
      <c r="AM147" s="62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 x14ac:dyDescent="0.25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401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 x14ac:dyDescent="0.25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404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 x14ac:dyDescent="0.25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408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 x14ac:dyDescent="0.25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411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 x14ac:dyDescent="0.25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414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 x14ac:dyDescent="0.25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417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 x14ac:dyDescent="0.25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419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 x14ac:dyDescent="0.25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401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 x14ac:dyDescent="0.25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404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 x14ac:dyDescent="0.25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408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 x14ac:dyDescent="0.25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411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 x14ac:dyDescent="0.25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414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 x14ac:dyDescent="0.25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417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 x14ac:dyDescent="0.25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419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 x14ac:dyDescent="0.25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401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 x14ac:dyDescent="0.25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404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 x14ac:dyDescent="0.25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408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 x14ac:dyDescent="0.25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411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 x14ac:dyDescent="0.25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414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 x14ac:dyDescent="0.25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417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 x14ac:dyDescent="0.25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419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 x14ac:dyDescent="0.25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401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 x14ac:dyDescent="0.25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404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 x14ac:dyDescent="0.25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408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 x14ac:dyDescent="0.25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411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7" t="s">
        <v>731</v>
      </c>
      <c r="AT172" s="1427"/>
      <c r="AU172" s="1427"/>
      <c r="AV172" s="1427"/>
      <c r="AW172" s="1427"/>
      <c r="AX172" s="1427"/>
    </row>
    <row r="173" spans="10:50" x14ac:dyDescent="0.25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414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732</v>
      </c>
      <c r="AT173" s="9" t="s">
        <v>733</v>
      </c>
    </row>
    <row r="174" spans="10:50" x14ac:dyDescent="0.25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417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 x14ac:dyDescent="0.25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419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 x14ac:dyDescent="0.25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401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 x14ac:dyDescent="0.25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404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607</v>
      </c>
      <c r="AK177" s="14" t="s">
        <v>612</v>
      </c>
      <c r="AL177" s="14" t="s">
        <v>728</v>
      </c>
      <c r="AM177" s="14" t="s">
        <v>729</v>
      </c>
      <c r="AN177" s="166" t="s">
        <v>604</v>
      </c>
      <c r="AO177" s="166" t="s">
        <v>730</v>
      </c>
      <c r="AP177" s="14"/>
      <c r="AQ177" s="14"/>
      <c r="AU177" s="88"/>
      <c r="AV177" s="88"/>
    </row>
    <row r="178" spans="23:50" x14ac:dyDescent="0.25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408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629"/>
      <c r="AK178" s="629">
        <f>SUM(AH148:AH178)</f>
        <v>1039.5999999999999</v>
      </c>
      <c r="AL178" s="629">
        <f>SUM(AF148:AF178)</f>
        <v>834.99999999999977</v>
      </c>
      <c r="AM178" s="62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7" t="s">
        <v>731</v>
      </c>
      <c r="AT178" s="1427"/>
      <c r="AU178" s="1427"/>
      <c r="AV178" s="1427"/>
      <c r="AW178" s="1427"/>
      <c r="AX178" s="1427"/>
    </row>
    <row r="179" spans="23:50" x14ac:dyDescent="0.25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411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732</v>
      </c>
      <c r="AT179" s="9" t="s">
        <v>733</v>
      </c>
      <c r="AU179" s="88"/>
      <c r="AV179" s="88"/>
    </row>
    <row r="180" spans="23:50" x14ac:dyDescent="0.25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414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 x14ac:dyDescent="0.25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417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 x14ac:dyDescent="0.25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419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 x14ac:dyDescent="0.25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401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 x14ac:dyDescent="0.25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404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 x14ac:dyDescent="0.25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408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7" t="s">
        <v>731</v>
      </c>
      <c r="AT185" s="1427"/>
      <c r="AU185" s="1427"/>
      <c r="AV185" s="1427"/>
      <c r="AW185" s="1427"/>
      <c r="AX185" s="1427"/>
    </row>
    <row r="186" spans="23:50" x14ac:dyDescent="0.25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411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732</v>
      </c>
      <c r="AT186" s="9" t="s">
        <v>733</v>
      </c>
      <c r="AW186" s="9" t="s">
        <v>734</v>
      </c>
      <c r="AX186" s="9" t="s">
        <v>735</v>
      </c>
    </row>
    <row r="187" spans="23:50" x14ac:dyDescent="0.25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414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 x14ac:dyDescent="0.25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417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 x14ac:dyDescent="0.25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419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 x14ac:dyDescent="0.25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401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 x14ac:dyDescent="0.25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404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7" t="s">
        <v>731</v>
      </c>
      <c r="AT191" s="1427"/>
      <c r="AU191" s="1427"/>
      <c r="AV191" s="1427"/>
      <c r="AW191" s="1427"/>
      <c r="AX191" s="1427"/>
    </row>
    <row r="192" spans="23:50" x14ac:dyDescent="0.25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408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732</v>
      </c>
      <c r="AT192" s="9" t="s">
        <v>736</v>
      </c>
      <c r="AW192" s="49" t="s">
        <v>734</v>
      </c>
      <c r="AX192" s="63" t="s">
        <v>735</v>
      </c>
    </row>
    <row r="193" spans="23:53" x14ac:dyDescent="0.25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411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 x14ac:dyDescent="0.25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414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 x14ac:dyDescent="0.25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417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 x14ac:dyDescent="0.25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419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 x14ac:dyDescent="0.25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401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 x14ac:dyDescent="0.25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404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 x14ac:dyDescent="0.25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408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7" t="s">
        <v>731</v>
      </c>
      <c r="AT199" s="1427"/>
      <c r="AU199" s="1427"/>
      <c r="AV199" s="1427"/>
      <c r="AW199" s="1427"/>
      <c r="AX199" s="1427"/>
    </row>
    <row r="200" spans="23:53" x14ac:dyDescent="0.25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411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732</v>
      </c>
      <c r="AT200" s="9" t="s">
        <v>733</v>
      </c>
      <c r="AW200" s="9" t="s">
        <v>734</v>
      </c>
      <c r="AX200" s="9" t="s">
        <v>735</v>
      </c>
    </row>
    <row r="201" spans="23:53" x14ac:dyDescent="0.25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414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 x14ac:dyDescent="0.25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417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 x14ac:dyDescent="0.25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419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 x14ac:dyDescent="0.25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401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 x14ac:dyDescent="0.25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404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 x14ac:dyDescent="0.25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408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7" t="s">
        <v>731</v>
      </c>
      <c r="AT206" s="1427"/>
      <c r="AU206" s="1427"/>
      <c r="AV206" s="1427"/>
      <c r="AW206" s="1427"/>
      <c r="AX206" s="1427"/>
      <c r="BA206" s="88">
        <f t="shared" si="58"/>
        <v>228.18846212252612</v>
      </c>
    </row>
    <row r="207" spans="23:53" x14ac:dyDescent="0.25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411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612</v>
      </c>
      <c r="AL207" s="14" t="s">
        <v>728</v>
      </c>
      <c r="AM207" s="14" t="s">
        <v>729</v>
      </c>
      <c r="AN207" s="166" t="s">
        <v>604</v>
      </c>
      <c r="AO207" s="166" t="s">
        <v>730</v>
      </c>
      <c r="AP207" s="14"/>
      <c r="AQ207" s="14"/>
      <c r="AS207" s="9" t="s">
        <v>732</v>
      </c>
      <c r="AT207" s="9" t="s">
        <v>733</v>
      </c>
      <c r="AW207" s="9" t="s">
        <v>734</v>
      </c>
      <c r="AX207" s="9" t="s">
        <v>735</v>
      </c>
      <c r="BA207" s="88">
        <f t="shared" si="58"/>
        <v>155.48846212252613</v>
      </c>
    </row>
    <row r="208" spans="23:53" x14ac:dyDescent="0.25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414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629"/>
      <c r="AK208" s="629">
        <f>SUM(AH179:AH208)</f>
        <v>2100.7000000000003</v>
      </c>
      <c r="AL208" s="629">
        <f>SUM(AF179:AF208)</f>
        <v>982.39999999999986</v>
      </c>
      <c r="AM208" s="62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 x14ac:dyDescent="0.25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417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 x14ac:dyDescent="0.25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419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 x14ac:dyDescent="0.25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401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 x14ac:dyDescent="0.25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404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 x14ac:dyDescent="0.25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408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 x14ac:dyDescent="0.25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411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 x14ac:dyDescent="0.25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414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 x14ac:dyDescent="0.25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417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7" t="s">
        <v>731</v>
      </c>
      <c r="AT216" s="1427"/>
      <c r="AU216" s="1427"/>
      <c r="AV216" s="1427"/>
      <c r="AW216" s="1427"/>
      <c r="AX216" s="1427"/>
      <c r="AZ216" s="88">
        <f t="shared" si="60"/>
        <v>167.59325626953824</v>
      </c>
    </row>
    <row r="217" spans="23:53" x14ac:dyDescent="0.25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419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732</v>
      </c>
      <c r="AT217" s="9" t="s">
        <v>733</v>
      </c>
      <c r="AW217" s="9" t="s">
        <v>734</v>
      </c>
      <c r="AX217" s="9" t="s">
        <v>735</v>
      </c>
      <c r="AZ217" s="88">
        <f t="shared" si="60"/>
        <v>108.39325626953826</v>
      </c>
    </row>
    <row r="218" spans="23:53" x14ac:dyDescent="0.25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401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 x14ac:dyDescent="0.25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404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 x14ac:dyDescent="0.25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408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 x14ac:dyDescent="0.25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411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 x14ac:dyDescent="0.25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414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 x14ac:dyDescent="0.25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417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 x14ac:dyDescent="0.25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419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 x14ac:dyDescent="0.25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401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737</v>
      </c>
      <c r="BA225" s="88">
        <f t="shared" si="64"/>
        <v>262.97836924972682</v>
      </c>
    </row>
    <row r="226" spans="23:53" x14ac:dyDescent="0.25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404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737</v>
      </c>
      <c r="BA226" s="88">
        <f t="shared" si="64"/>
        <v>262.97836924972682</v>
      </c>
    </row>
    <row r="227" spans="23:53" x14ac:dyDescent="0.25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408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737</v>
      </c>
      <c r="AS227" s="1427" t="s">
        <v>731</v>
      </c>
      <c r="AT227" s="1427"/>
      <c r="AU227" s="1427"/>
      <c r="AV227" s="1427"/>
      <c r="AW227" s="1427"/>
      <c r="AX227" s="1427"/>
      <c r="BA227" s="88">
        <f t="shared" si="64"/>
        <v>237.87836924972683</v>
      </c>
    </row>
    <row r="228" spans="23:53" x14ac:dyDescent="0.25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411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732</v>
      </c>
      <c r="AT228" s="9" t="s">
        <v>733</v>
      </c>
      <c r="AW228" s="9" t="s">
        <v>734</v>
      </c>
      <c r="AX228" s="9" t="s">
        <v>735</v>
      </c>
      <c r="BA228" s="88">
        <f t="shared" si="64"/>
        <v>228.97836924972682</v>
      </c>
    </row>
    <row r="229" spans="23:53" x14ac:dyDescent="0.25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414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 x14ac:dyDescent="0.25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417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 x14ac:dyDescent="0.25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419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 x14ac:dyDescent="0.25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401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 x14ac:dyDescent="0.25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404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 x14ac:dyDescent="0.25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408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 x14ac:dyDescent="0.25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411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 x14ac:dyDescent="0.25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414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612</v>
      </c>
      <c r="AL236" s="14" t="s">
        <v>728</v>
      </c>
      <c r="AM236" s="14" t="s">
        <v>729</v>
      </c>
      <c r="AN236" s="166" t="s">
        <v>604</v>
      </c>
      <c r="AO236" s="166" t="s">
        <v>730</v>
      </c>
      <c r="AP236" s="14"/>
      <c r="AQ236" s="14"/>
      <c r="AS236" s="1427"/>
      <c r="AT236" s="1427"/>
      <c r="AU236" s="1427"/>
      <c r="AV236" s="1427"/>
      <c r="AW236" s="1427"/>
      <c r="AX236" s="1427"/>
      <c r="AZ236" s="88">
        <f t="shared" si="65"/>
        <v>262.59292522506212</v>
      </c>
    </row>
    <row r="237" spans="23:53" x14ac:dyDescent="0.25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417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629"/>
      <c r="AK237" s="629">
        <f>SUM(AH209:AH237)</f>
        <v>1642.75</v>
      </c>
      <c r="AL237" s="629">
        <f>SUM(AF209:AF237)</f>
        <v>838</v>
      </c>
      <c r="AM237" s="62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731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 x14ac:dyDescent="0.25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419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732</v>
      </c>
      <c r="AT238" s="9" t="s">
        <v>733</v>
      </c>
      <c r="AW238" s="9" t="s">
        <v>734</v>
      </c>
      <c r="AX238" s="9" t="s">
        <v>735</v>
      </c>
      <c r="AZ238" s="88">
        <f t="shared" si="65"/>
        <v>106.99292522506212</v>
      </c>
    </row>
    <row r="239" spans="23:53" x14ac:dyDescent="0.25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401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 x14ac:dyDescent="0.25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404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 x14ac:dyDescent="0.25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408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 x14ac:dyDescent="0.25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411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 x14ac:dyDescent="0.25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414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 x14ac:dyDescent="0.25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417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737</v>
      </c>
      <c r="BA244" s="88">
        <f t="shared" si="66"/>
        <v>392.67969291949237</v>
      </c>
    </row>
    <row r="245" spans="23:53" x14ac:dyDescent="0.25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419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737</v>
      </c>
      <c r="BA245" s="88">
        <f t="shared" si="66"/>
        <v>369.37969291949236</v>
      </c>
    </row>
    <row r="246" spans="23:53" x14ac:dyDescent="0.25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401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737</v>
      </c>
      <c r="BA246" s="88">
        <f t="shared" si="66"/>
        <v>369.37969291949236</v>
      </c>
    </row>
    <row r="247" spans="23:53" x14ac:dyDescent="0.25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404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737</v>
      </c>
      <c r="AS247" s="14" t="s">
        <v>731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 x14ac:dyDescent="0.25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408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732</v>
      </c>
      <c r="AT248" s="9" t="s">
        <v>733</v>
      </c>
      <c r="AW248" s="9" t="s">
        <v>734</v>
      </c>
      <c r="AX248" s="9" t="s">
        <v>735</v>
      </c>
      <c r="BA248" s="88">
        <f t="shared" si="66"/>
        <v>207.97969291949238</v>
      </c>
    </row>
    <row r="249" spans="23:53" x14ac:dyDescent="0.25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411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 x14ac:dyDescent="0.25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414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 x14ac:dyDescent="0.25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417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 x14ac:dyDescent="0.25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419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 x14ac:dyDescent="0.25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401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 x14ac:dyDescent="0.25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404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737</v>
      </c>
      <c r="AZ254" s="88">
        <f t="shared" si="67"/>
        <v>363.82203780715412</v>
      </c>
    </row>
    <row r="255" spans="23:53" x14ac:dyDescent="0.25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408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731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 x14ac:dyDescent="0.25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411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732</v>
      </c>
      <c r="AT256" s="9" t="s">
        <v>733</v>
      </c>
      <c r="AW256" s="9" t="s">
        <v>734</v>
      </c>
      <c r="AX256" s="9" t="s">
        <v>735</v>
      </c>
      <c r="AZ256" s="88">
        <f t="shared" si="67"/>
        <v>149.32203780715412</v>
      </c>
    </row>
    <row r="257" spans="23:53" x14ac:dyDescent="0.25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414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 x14ac:dyDescent="0.25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417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737</v>
      </c>
      <c r="AZ258" s="88"/>
      <c r="BA258" s="88">
        <f t="shared" ref="BA258:BA267" si="68">BA257-AH258</f>
        <v>600.46246862525936</v>
      </c>
    </row>
    <row r="259" spans="23:53" x14ac:dyDescent="0.25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419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 x14ac:dyDescent="0.25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401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 x14ac:dyDescent="0.25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404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 x14ac:dyDescent="0.25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408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 x14ac:dyDescent="0.25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411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 x14ac:dyDescent="0.25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414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 x14ac:dyDescent="0.25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417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731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 x14ac:dyDescent="0.25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419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732</v>
      </c>
      <c r="AT266" s="9" t="s">
        <v>733</v>
      </c>
      <c r="AW266" s="9" t="s">
        <v>734</v>
      </c>
      <c r="AX266" s="9" t="s">
        <v>735</v>
      </c>
      <c r="BA266" s="88">
        <f t="shared" si="68"/>
        <v>82.762468625259388</v>
      </c>
    </row>
    <row r="267" spans="23:53" x14ac:dyDescent="0.25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401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612</v>
      </c>
      <c r="AL267" s="14" t="s">
        <v>728</v>
      </c>
      <c r="AM267" s="14" t="s">
        <v>729</v>
      </c>
      <c r="AN267" s="166" t="s">
        <v>604</v>
      </c>
      <c r="AO267" s="166" t="s">
        <v>730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 x14ac:dyDescent="0.25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404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629"/>
      <c r="AK268" s="629">
        <f>SUM(AH238:AH268)</f>
        <v>2026.1499999999999</v>
      </c>
      <c r="AL268" s="629">
        <f>SUM(AF238:AF268)</f>
        <v>823.20000000000016</v>
      </c>
      <c r="AM268" s="62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 x14ac:dyDescent="0.25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408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 x14ac:dyDescent="0.25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411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 x14ac:dyDescent="0.25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414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 x14ac:dyDescent="0.25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417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 x14ac:dyDescent="0.25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419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 x14ac:dyDescent="0.25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401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 x14ac:dyDescent="0.25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404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 x14ac:dyDescent="0.25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408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731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 x14ac:dyDescent="0.25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411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732</v>
      </c>
      <c r="AT277" s="9" t="s">
        <v>733</v>
      </c>
      <c r="AW277" s="9" t="s">
        <v>734</v>
      </c>
      <c r="AX277" s="9" t="s">
        <v>735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 x14ac:dyDescent="0.25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414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 x14ac:dyDescent="0.25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417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 x14ac:dyDescent="0.25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419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 x14ac:dyDescent="0.25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401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 x14ac:dyDescent="0.25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404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 x14ac:dyDescent="0.25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408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 x14ac:dyDescent="0.25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411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 x14ac:dyDescent="0.25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414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731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 x14ac:dyDescent="0.25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417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732</v>
      </c>
      <c r="AT286" s="9" t="s">
        <v>733</v>
      </c>
      <c r="AW286" s="9" t="s">
        <v>734</v>
      </c>
      <c r="AX286" s="9" t="s">
        <v>735</v>
      </c>
      <c r="AZ286" s="88">
        <f t="shared" si="71"/>
        <v>105.97946744259752</v>
      </c>
    </row>
    <row r="287" spans="23:53" x14ac:dyDescent="0.25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419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 x14ac:dyDescent="0.25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401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 x14ac:dyDescent="0.25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404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 x14ac:dyDescent="0.25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408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 x14ac:dyDescent="0.25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411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 x14ac:dyDescent="0.25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414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731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 x14ac:dyDescent="0.25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417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732</v>
      </c>
      <c r="AT293" s="9" t="s">
        <v>733</v>
      </c>
      <c r="AW293" s="9" t="s">
        <v>734</v>
      </c>
      <c r="AX293" s="9" t="s">
        <v>735</v>
      </c>
      <c r="BA293" s="88">
        <f t="shared" si="76"/>
        <v>150.51780749274792</v>
      </c>
    </row>
    <row r="294" spans="1:53" x14ac:dyDescent="0.25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419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 x14ac:dyDescent="0.25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401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 x14ac:dyDescent="0.25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404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 x14ac:dyDescent="0.25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408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612</v>
      </c>
      <c r="AL297" s="14" t="s">
        <v>728</v>
      </c>
      <c r="AM297" s="14" t="s">
        <v>729</v>
      </c>
      <c r="AN297" s="166" t="s">
        <v>604</v>
      </c>
      <c r="AO297" s="166" t="s">
        <v>730</v>
      </c>
      <c r="AP297" s="14"/>
      <c r="AQ297" s="14"/>
      <c r="AZ297" s="88">
        <f t="shared" si="77"/>
        <v>231.13036825061317</v>
      </c>
    </row>
    <row r="298" spans="1:53" x14ac:dyDescent="0.25">
      <c r="A298" s="9" t="s">
        <v>738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411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629">
        <f>SUM(AH269:AH298)</f>
        <v>1963.0999999999995</v>
      </c>
      <c r="AL298" s="629">
        <f>SUM(AF269:AF298)</f>
        <v>919.80000000000007</v>
      </c>
      <c r="AM298" s="62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731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 x14ac:dyDescent="0.25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414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732</v>
      </c>
      <c r="AT299" s="9" t="s">
        <v>733</v>
      </c>
      <c r="AW299" s="9" t="s">
        <v>734</v>
      </c>
      <c r="AX299" s="9" t="s">
        <v>735</v>
      </c>
      <c r="AZ299" s="88">
        <f t="shared" si="77"/>
        <v>106.93036825061316</v>
      </c>
    </row>
    <row r="300" spans="1:53" x14ac:dyDescent="0.25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417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 x14ac:dyDescent="0.25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419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 x14ac:dyDescent="0.25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401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 x14ac:dyDescent="0.25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404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 x14ac:dyDescent="0.25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408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 x14ac:dyDescent="0.25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411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 x14ac:dyDescent="0.25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414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 x14ac:dyDescent="0.25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417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 x14ac:dyDescent="0.25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419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 x14ac:dyDescent="0.25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401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731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 x14ac:dyDescent="0.25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404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732</v>
      </c>
      <c r="AT310" s="9" t="s">
        <v>733</v>
      </c>
      <c r="AW310" s="9" t="s">
        <v>734</v>
      </c>
      <c r="AX310" s="9" t="s">
        <v>735</v>
      </c>
      <c r="BA310" s="88">
        <f t="shared" si="78"/>
        <v>124.49555237591986</v>
      </c>
    </row>
    <row r="311" spans="23:53" x14ac:dyDescent="0.25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408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 x14ac:dyDescent="0.25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411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 x14ac:dyDescent="0.25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414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 x14ac:dyDescent="0.25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417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 x14ac:dyDescent="0.25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419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 x14ac:dyDescent="0.25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401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731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 x14ac:dyDescent="0.25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404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732</v>
      </c>
      <c r="AT317" s="9" t="s">
        <v>733</v>
      </c>
      <c r="AW317" s="9" t="s">
        <v>734</v>
      </c>
      <c r="AX317" s="9" t="s">
        <v>735</v>
      </c>
      <c r="AZ317" s="88">
        <f t="shared" si="81"/>
        <v>169.53975576876033</v>
      </c>
    </row>
    <row r="318" spans="23:53" x14ac:dyDescent="0.25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408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 x14ac:dyDescent="0.25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411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 x14ac:dyDescent="0.25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414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 x14ac:dyDescent="0.25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417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 x14ac:dyDescent="0.25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419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 x14ac:dyDescent="0.25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401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 x14ac:dyDescent="0.25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404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731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 x14ac:dyDescent="0.25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408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732</v>
      </c>
      <c r="AT325" s="9" t="s">
        <v>733</v>
      </c>
      <c r="AW325" s="9" t="s">
        <v>734</v>
      </c>
      <c r="AX325" s="9" t="s">
        <v>735</v>
      </c>
      <c r="BA325" s="88">
        <f t="shared" si="82"/>
        <v>97.282760464784445</v>
      </c>
    </row>
    <row r="326" spans="23:53" x14ac:dyDescent="0.25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411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 x14ac:dyDescent="0.25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414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 x14ac:dyDescent="0.25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417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612</v>
      </c>
      <c r="AL328" s="14" t="s">
        <v>728</v>
      </c>
      <c r="AM328" s="14" t="s">
        <v>729</v>
      </c>
      <c r="AN328" s="166" t="s">
        <v>604</v>
      </c>
      <c r="AO328" s="166" t="s">
        <v>730</v>
      </c>
      <c r="AP328" s="14"/>
      <c r="AQ328" s="14"/>
      <c r="AZ328" s="88">
        <f t="shared" si="83"/>
        <v>508.3827604647845</v>
      </c>
      <c r="BA328" s="88"/>
    </row>
    <row r="329" spans="23:53" x14ac:dyDescent="0.25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419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629"/>
      <c r="AK329" s="629">
        <f>SUM(AH299:AH329)</f>
        <v>2097.8999999999996</v>
      </c>
      <c r="AL329" s="629">
        <f>SUM(AF299:AF329)</f>
        <v>929.99999999999989</v>
      </c>
      <c r="AM329" s="62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 x14ac:dyDescent="0.25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401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 x14ac:dyDescent="0.25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404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 x14ac:dyDescent="0.25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408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731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 x14ac:dyDescent="0.25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411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732</v>
      </c>
      <c r="AT333" s="9" t="s">
        <v>733</v>
      </c>
      <c r="AW333" s="9" t="s">
        <v>734</v>
      </c>
      <c r="AX333" s="9" t="s">
        <v>735</v>
      </c>
      <c r="AZ333" s="88">
        <f t="shared" si="83"/>
        <v>136.78276046478456</v>
      </c>
    </row>
    <row r="334" spans="23:53" x14ac:dyDescent="0.25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414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 x14ac:dyDescent="0.25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417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 x14ac:dyDescent="0.25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419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 x14ac:dyDescent="0.25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401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 x14ac:dyDescent="0.25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404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 x14ac:dyDescent="0.25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408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 x14ac:dyDescent="0.25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411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731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 x14ac:dyDescent="0.25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414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732</v>
      </c>
      <c r="AT341" s="9" t="s">
        <v>733</v>
      </c>
      <c r="AW341" s="9" t="s">
        <v>734</v>
      </c>
      <c r="AX341" s="9" t="s">
        <v>735</v>
      </c>
      <c r="BA341" s="88">
        <f t="shared" si="84"/>
        <v>168.91975576876024</v>
      </c>
    </row>
    <row r="342" spans="23:53" x14ac:dyDescent="0.25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417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 x14ac:dyDescent="0.25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419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 x14ac:dyDescent="0.25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401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 x14ac:dyDescent="0.25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404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 x14ac:dyDescent="0.25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408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 x14ac:dyDescent="0.25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411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 x14ac:dyDescent="0.25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414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731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 x14ac:dyDescent="0.25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417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732</v>
      </c>
      <c r="AT349" s="9" t="s">
        <v>733</v>
      </c>
      <c r="AW349" s="9" t="s">
        <v>734</v>
      </c>
      <c r="AX349" s="9" t="s">
        <v>735</v>
      </c>
      <c r="AZ349" s="88">
        <f t="shared" si="85"/>
        <v>110.96653741328461</v>
      </c>
    </row>
    <row r="350" spans="23:53" x14ac:dyDescent="0.25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419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 x14ac:dyDescent="0.25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401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 x14ac:dyDescent="0.25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404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 x14ac:dyDescent="0.25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408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 x14ac:dyDescent="0.25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411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 x14ac:dyDescent="0.25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414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 x14ac:dyDescent="0.25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417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 x14ac:dyDescent="0.25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419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 x14ac:dyDescent="0.25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401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612</v>
      </c>
      <c r="AL358" s="14" t="s">
        <v>728</v>
      </c>
      <c r="AM358" s="14" t="s">
        <v>729</v>
      </c>
      <c r="AN358" s="166" t="s">
        <v>604</v>
      </c>
      <c r="AO358" s="166" t="s">
        <v>730</v>
      </c>
      <c r="AP358" s="14"/>
      <c r="AQ358" s="14"/>
      <c r="AS358" s="14" t="s">
        <v>731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 x14ac:dyDescent="0.25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404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629"/>
      <c r="AK359" s="629">
        <f>SUM(AH330:AH359)</f>
        <v>2129.5700000000002</v>
      </c>
      <c r="AL359" s="629">
        <f>SUM(AF330:AF359)</f>
        <v>1074.4000000000001</v>
      </c>
      <c r="AM359" s="62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732</v>
      </c>
      <c r="AT359" s="9" t="s">
        <v>733</v>
      </c>
      <c r="AW359" s="9" t="s">
        <v>734</v>
      </c>
      <c r="AX359" s="9" t="s">
        <v>735</v>
      </c>
      <c r="BA359" s="88">
        <f t="shared" si="88"/>
        <v>132.91653741328457</v>
      </c>
    </row>
    <row r="360" spans="23:53" x14ac:dyDescent="0.25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408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 x14ac:dyDescent="0.25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411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 x14ac:dyDescent="0.25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414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 x14ac:dyDescent="0.25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417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 x14ac:dyDescent="0.25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419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 x14ac:dyDescent="0.25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401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 x14ac:dyDescent="0.25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404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731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 x14ac:dyDescent="0.25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408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732</v>
      </c>
      <c r="AT367" s="9" t="s">
        <v>733</v>
      </c>
      <c r="AW367" s="9" t="s">
        <v>734</v>
      </c>
      <c r="AX367" s="9" t="s">
        <v>735</v>
      </c>
      <c r="AZ367" s="88">
        <f t="shared" si="89"/>
        <v>161.03276046478456</v>
      </c>
    </row>
    <row r="368" spans="23:53" x14ac:dyDescent="0.25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411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 x14ac:dyDescent="0.25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414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 x14ac:dyDescent="0.25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417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 x14ac:dyDescent="0.25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419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 x14ac:dyDescent="0.25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401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 x14ac:dyDescent="0.25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404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 x14ac:dyDescent="0.25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408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 x14ac:dyDescent="0.25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411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 x14ac:dyDescent="0.25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414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 x14ac:dyDescent="0.25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417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 x14ac:dyDescent="0.25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419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 x14ac:dyDescent="0.25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401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 x14ac:dyDescent="0.25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404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 x14ac:dyDescent="0.25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408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 x14ac:dyDescent="0.25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411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 x14ac:dyDescent="0.25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414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 x14ac:dyDescent="0.25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417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 x14ac:dyDescent="0.25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419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 x14ac:dyDescent="0.25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401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 x14ac:dyDescent="0.25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404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 x14ac:dyDescent="0.25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408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612</v>
      </c>
      <c r="AL388" s="14" t="s">
        <v>728</v>
      </c>
      <c r="AM388" s="14" t="s">
        <v>729</v>
      </c>
      <c r="AN388" s="166" t="s">
        <v>604</v>
      </c>
      <c r="AO388" s="166" t="s">
        <v>730</v>
      </c>
      <c r="AP388" s="14"/>
      <c r="AQ388" s="14"/>
      <c r="AS388" s="14" t="s">
        <v>731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 x14ac:dyDescent="0.25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411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629">
        <f>SUM(AH383:AH389)</f>
        <v>368</v>
      </c>
      <c r="AK389" s="629">
        <f>SUM(AH360:AH390)</f>
        <v>2690.65</v>
      </c>
      <c r="AL389" s="629">
        <f>SUM(AF360:AF390)</f>
        <v>446.69999999999993</v>
      </c>
      <c r="AM389" s="62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732</v>
      </c>
      <c r="AT389" s="9" t="s">
        <v>733</v>
      </c>
      <c r="AW389" s="9" t="s">
        <v>734</v>
      </c>
      <c r="AX389" s="9" t="s">
        <v>735</v>
      </c>
      <c r="AZ389" s="88">
        <f t="shared" si="92"/>
        <v>40.692099394513079</v>
      </c>
    </row>
    <row r="390" spans="23:53" x14ac:dyDescent="0.25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414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 x14ac:dyDescent="0.25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417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 x14ac:dyDescent="0.25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419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 x14ac:dyDescent="0.25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401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 x14ac:dyDescent="0.25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404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 x14ac:dyDescent="0.25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408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 x14ac:dyDescent="0.25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411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 x14ac:dyDescent="0.25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414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 x14ac:dyDescent="0.25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417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 x14ac:dyDescent="0.25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419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731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 x14ac:dyDescent="0.25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401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732</v>
      </c>
      <c r="AT400" s="9" t="s">
        <v>733</v>
      </c>
      <c r="AW400" s="9" t="s">
        <v>734</v>
      </c>
      <c r="AX400" s="9" t="s">
        <v>735</v>
      </c>
      <c r="AZ400" s="88">
        <f t="shared" si="93"/>
        <v>154.18966112623136</v>
      </c>
    </row>
    <row r="401" spans="23:53" x14ac:dyDescent="0.25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404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 x14ac:dyDescent="0.25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408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 x14ac:dyDescent="0.25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411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 x14ac:dyDescent="0.25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414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 x14ac:dyDescent="0.25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417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 x14ac:dyDescent="0.25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419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 x14ac:dyDescent="0.25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401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 x14ac:dyDescent="0.25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404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 x14ac:dyDescent="0.25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408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 x14ac:dyDescent="0.25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411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731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 x14ac:dyDescent="0.25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414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732</v>
      </c>
      <c r="AT411" s="9" t="s">
        <v>733</v>
      </c>
      <c r="AW411" s="9" t="s">
        <v>734</v>
      </c>
      <c r="AX411" s="9" t="s">
        <v>735</v>
      </c>
      <c r="BA411" s="88">
        <f t="shared" si="94"/>
        <v>137.78966112623144</v>
      </c>
    </row>
    <row r="412" spans="23:53" x14ac:dyDescent="0.25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417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 x14ac:dyDescent="0.25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419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 x14ac:dyDescent="0.25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401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 x14ac:dyDescent="0.25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404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 x14ac:dyDescent="0.25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408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 x14ac:dyDescent="0.25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411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 x14ac:dyDescent="0.25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414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 x14ac:dyDescent="0.25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417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 x14ac:dyDescent="0.25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419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612</v>
      </c>
      <c r="AL420" s="14" t="s">
        <v>728</v>
      </c>
      <c r="AM420" s="14" t="s">
        <v>729</v>
      </c>
      <c r="AN420" s="166" t="s">
        <v>604</v>
      </c>
      <c r="AO420" s="166" t="s">
        <v>730</v>
      </c>
      <c r="AP420" s="14"/>
      <c r="AQ420" s="14"/>
      <c r="AS420" s="14" t="s">
        <v>731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 x14ac:dyDescent="0.25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401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629"/>
      <c r="AK421" s="629">
        <f>SUM(AH390:AH421)</f>
        <v>2169.5500000000002</v>
      </c>
      <c r="AL421" s="629">
        <f>SUM(AF390:AF421)</f>
        <v>1172.4500000000003</v>
      </c>
      <c r="AM421" s="62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732</v>
      </c>
      <c r="AT421" s="9" t="s">
        <v>733</v>
      </c>
      <c r="AW421" s="9" t="s">
        <v>734</v>
      </c>
      <c r="AX421" s="9" t="s">
        <v>735</v>
      </c>
      <c r="AZ421" s="88">
        <f t="shared" si="97"/>
        <v>125.15559205652235</v>
      </c>
    </row>
    <row r="422" spans="23:53" x14ac:dyDescent="0.25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404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 x14ac:dyDescent="0.25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408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 x14ac:dyDescent="0.25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411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 x14ac:dyDescent="0.25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414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 x14ac:dyDescent="0.25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417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 x14ac:dyDescent="0.25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419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 x14ac:dyDescent="0.25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401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 x14ac:dyDescent="0.25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404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 x14ac:dyDescent="0.25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408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 x14ac:dyDescent="0.25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411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731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 x14ac:dyDescent="0.25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414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732</v>
      </c>
      <c r="AT432" s="9" t="s">
        <v>733</v>
      </c>
      <c r="AW432" s="9" t="s">
        <v>734</v>
      </c>
      <c r="AX432" s="9" t="s">
        <v>735</v>
      </c>
      <c r="BA432" s="88">
        <f t="shared" si="98"/>
        <v>238.5273351648413</v>
      </c>
    </row>
    <row r="433" spans="23:53" x14ac:dyDescent="0.25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417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 x14ac:dyDescent="0.25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419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 x14ac:dyDescent="0.25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401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 x14ac:dyDescent="0.25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404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 x14ac:dyDescent="0.25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408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 x14ac:dyDescent="0.25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411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 x14ac:dyDescent="0.25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414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 x14ac:dyDescent="0.25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417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 x14ac:dyDescent="0.25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419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 x14ac:dyDescent="0.25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401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 x14ac:dyDescent="0.25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404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731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 x14ac:dyDescent="0.25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408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732</v>
      </c>
      <c r="AT444" s="9" t="s">
        <v>733</v>
      </c>
      <c r="AW444" s="9" t="s">
        <v>734</v>
      </c>
      <c r="AX444" s="9" t="s">
        <v>735</v>
      </c>
      <c r="AZ444" s="88">
        <f t="shared" si="101"/>
        <v>174.07187499999992</v>
      </c>
    </row>
    <row r="445" spans="23:53" x14ac:dyDescent="0.25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411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 x14ac:dyDescent="0.25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414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731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 x14ac:dyDescent="0.25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417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732</v>
      </c>
      <c r="AT447" s="9" t="s">
        <v>733</v>
      </c>
      <c r="AW447" s="9" t="s">
        <v>734</v>
      </c>
      <c r="AX447" s="9" t="s">
        <v>735</v>
      </c>
      <c r="AZ447" s="88"/>
      <c r="BA447" s="88">
        <f>BA446-AH447</f>
        <v>105.45987158908511</v>
      </c>
    </row>
    <row r="448" spans="23:53" x14ac:dyDescent="0.25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419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 x14ac:dyDescent="0.25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401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 x14ac:dyDescent="0.25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404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612</v>
      </c>
      <c r="AL450" s="14" t="s">
        <v>728</v>
      </c>
      <c r="AM450" s="14" t="s">
        <v>729</v>
      </c>
      <c r="AN450" s="166" t="s">
        <v>604</v>
      </c>
      <c r="AO450" s="166" t="s">
        <v>730</v>
      </c>
      <c r="AP450" s="14"/>
      <c r="AQ450" s="14"/>
      <c r="AS450" s="14" t="s">
        <v>731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 x14ac:dyDescent="0.25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408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629"/>
      <c r="AK451" s="629">
        <f>SUM(AH422:AH451)</f>
        <v>1678.3</v>
      </c>
      <c r="AL451" s="629">
        <f>SUM(AF422:AF451)</f>
        <v>1050.8</v>
      </c>
      <c r="AM451" s="62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732</v>
      </c>
      <c r="AT451" s="9" t="s">
        <v>733</v>
      </c>
      <c r="AW451" s="9" t="s">
        <v>734</v>
      </c>
      <c r="AX451" s="9" t="s">
        <v>735</v>
      </c>
      <c r="AZ451" s="88">
        <f>AZ450-AH451</f>
        <v>41.569743178170199</v>
      </c>
      <c r="BA451" s="88"/>
    </row>
    <row r="452" spans="23:53" x14ac:dyDescent="0.25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411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 x14ac:dyDescent="0.25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414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 x14ac:dyDescent="0.25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417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 x14ac:dyDescent="0.25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419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 x14ac:dyDescent="0.25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401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 x14ac:dyDescent="0.25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404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 x14ac:dyDescent="0.25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408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 x14ac:dyDescent="0.25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411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731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 x14ac:dyDescent="0.25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414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732</v>
      </c>
      <c r="AT460" s="9" t="s">
        <v>733</v>
      </c>
      <c r="AW460" s="9" t="s">
        <v>734</v>
      </c>
      <c r="AX460" s="9" t="s">
        <v>735</v>
      </c>
      <c r="AZ460" s="88">
        <f t="shared" si="102"/>
        <v>126.55866593767087</v>
      </c>
    </row>
    <row r="461" spans="23:53" x14ac:dyDescent="0.25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417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 x14ac:dyDescent="0.25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419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 x14ac:dyDescent="0.25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401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 x14ac:dyDescent="0.25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404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 x14ac:dyDescent="0.25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408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 x14ac:dyDescent="0.25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411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 x14ac:dyDescent="0.25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414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731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 x14ac:dyDescent="0.25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417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732</v>
      </c>
      <c r="AT468" s="9" t="s">
        <v>733</v>
      </c>
      <c r="AW468" s="9" t="s">
        <v>734</v>
      </c>
      <c r="AX468" s="9" t="s">
        <v>735</v>
      </c>
      <c r="BA468" s="88">
        <f t="shared" si="103"/>
        <v>169.15503270660122</v>
      </c>
    </row>
    <row r="469" spans="23:53" x14ac:dyDescent="0.25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419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 x14ac:dyDescent="0.25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401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 x14ac:dyDescent="0.25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404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 x14ac:dyDescent="0.25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408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731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 x14ac:dyDescent="0.25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411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732</v>
      </c>
      <c r="AT473" s="9" t="s">
        <v>733</v>
      </c>
      <c r="AW473" s="9" t="s">
        <v>734</v>
      </c>
      <c r="AX473" s="9" t="s">
        <v>735</v>
      </c>
      <c r="AZ473" s="88">
        <f>AZ472-AH473</f>
        <v>137.02220323589617</v>
      </c>
    </row>
    <row r="474" spans="23:53" x14ac:dyDescent="0.25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414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 x14ac:dyDescent="0.25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417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 x14ac:dyDescent="0.25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419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731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 x14ac:dyDescent="0.25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401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732</v>
      </c>
      <c r="AT477" s="9" t="s">
        <v>733</v>
      </c>
      <c r="AW477" s="9" t="s">
        <v>734</v>
      </c>
      <c r="AX477" s="9" t="s">
        <v>735</v>
      </c>
      <c r="BA477" s="88">
        <f t="shared" si="106"/>
        <v>93.866484836146768</v>
      </c>
    </row>
    <row r="478" spans="23:53" x14ac:dyDescent="0.25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404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 x14ac:dyDescent="0.25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408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 x14ac:dyDescent="0.25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411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 x14ac:dyDescent="0.25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414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612</v>
      </c>
      <c r="AL481" s="14" t="s">
        <v>728</v>
      </c>
      <c r="AM481" s="14" t="s">
        <v>729</v>
      </c>
      <c r="AN481" s="166" t="s">
        <v>604</v>
      </c>
      <c r="AO481" s="166" t="s">
        <v>730</v>
      </c>
      <c r="AP481" s="14"/>
      <c r="AQ481" s="14"/>
      <c r="AZ481" s="88">
        <f t="shared" si="107"/>
        <v>77.277975740718119</v>
      </c>
    </row>
    <row r="482" spans="23:53" x14ac:dyDescent="0.25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417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629"/>
      <c r="AK482" s="629">
        <f>SUM(AH452:AH482)</f>
        <v>2093.9</v>
      </c>
      <c r="AL482" s="629">
        <f>SUM(AF452:AF482)</f>
        <v>1050.8</v>
      </c>
      <c r="AM482" s="62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 x14ac:dyDescent="0.25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419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 x14ac:dyDescent="0.25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401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731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 x14ac:dyDescent="0.25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404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732</v>
      </c>
      <c r="AT485" s="9" t="s">
        <v>733</v>
      </c>
      <c r="AW485" s="9" t="s">
        <v>734</v>
      </c>
      <c r="AX485" s="9" t="s">
        <v>735</v>
      </c>
      <c r="AZ485" s="88">
        <f t="shared" si="107"/>
        <v>12.577975740718124</v>
      </c>
    </row>
    <row r="486" spans="23:53" x14ac:dyDescent="0.25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408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 x14ac:dyDescent="0.25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411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 x14ac:dyDescent="0.25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414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 x14ac:dyDescent="0.25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417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 x14ac:dyDescent="0.25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419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 x14ac:dyDescent="0.25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401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 x14ac:dyDescent="0.25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404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 x14ac:dyDescent="0.25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408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 x14ac:dyDescent="0.25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411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731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 x14ac:dyDescent="0.25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414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732</v>
      </c>
      <c r="AT495" s="9" t="s">
        <v>733</v>
      </c>
      <c r="AW495" s="9" t="s">
        <v>734</v>
      </c>
      <c r="AX495" s="9" t="s">
        <v>735</v>
      </c>
      <c r="BA495" s="88">
        <f t="shared" si="108"/>
        <v>109.73681342829653</v>
      </c>
    </row>
    <row r="496" spans="23:53" x14ac:dyDescent="0.25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417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 x14ac:dyDescent="0.25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419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 x14ac:dyDescent="0.25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401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 x14ac:dyDescent="0.25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404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 x14ac:dyDescent="0.25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408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 x14ac:dyDescent="0.25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411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 x14ac:dyDescent="0.25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414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731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 x14ac:dyDescent="0.25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417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732</v>
      </c>
      <c r="AT503" s="9" t="s">
        <v>733</v>
      </c>
      <c r="AW503" s="9" t="s">
        <v>734</v>
      </c>
      <c r="AX503" s="9" t="s">
        <v>735</v>
      </c>
      <c r="AZ503" s="88">
        <f t="shared" si="111"/>
        <v>195.9868134282965</v>
      </c>
    </row>
    <row r="504" spans="23:53" x14ac:dyDescent="0.25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419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 x14ac:dyDescent="0.25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401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 x14ac:dyDescent="0.25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404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 x14ac:dyDescent="0.25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408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731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 x14ac:dyDescent="0.25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411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732</v>
      </c>
      <c r="AT508" s="9" t="s">
        <v>733</v>
      </c>
      <c r="AW508" s="9" t="s">
        <v>734</v>
      </c>
      <c r="AX508" s="9" t="s">
        <v>735</v>
      </c>
      <c r="BA508" s="88">
        <f t="shared" si="112"/>
        <v>42.544777757614312</v>
      </c>
    </row>
    <row r="509" spans="23:53" x14ac:dyDescent="0.25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414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 x14ac:dyDescent="0.25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417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 x14ac:dyDescent="0.25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419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612</v>
      </c>
      <c r="AL511" s="14" t="s">
        <v>728</v>
      </c>
      <c r="AM511" s="14" t="s">
        <v>729</v>
      </c>
      <c r="AN511" s="166" t="s">
        <v>604</v>
      </c>
      <c r="AO511" s="166" t="s">
        <v>730</v>
      </c>
      <c r="AP511" s="14"/>
      <c r="AQ511" s="14"/>
      <c r="AZ511" s="88">
        <f t="shared" ref="AZ511:AZ515" si="113">AZ510-AH511</f>
        <v>197.62064813134523</v>
      </c>
    </row>
    <row r="512" spans="23:53" x14ac:dyDescent="0.25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401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629"/>
      <c r="AK512" s="629">
        <f>SUM(AH483:AH512)</f>
        <v>1379.0499999999997</v>
      </c>
      <c r="AL512" s="629">
        <f>SUM(AF483:AF512)</f>
        <v>647.85</v>
      </c>
      <c r="AM512" s="62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 x14ac:dyDescent="0.25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404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731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 x14ac:dyDescent="0.25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408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732</v>
      </c>
      <c r="AT514" s="9" t="s">
        <v>733</v>
      </c>
      <c r="AW514" s="9" t="s">
        <v>734</v>
      </c>
      <c r="AX514" s="9" t="s">
        <v>735</v>
      </c>
      <c r="AZ514" s="88">
        <f t="shared" si="113"/>
        <v>124.97064813134524</v>
      </c>
    </row>
    <row r="515" spans="23:53" x14ac:dyDescent="0.25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411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 x14ac:dyDescent="0.25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414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 x14ac:dyDescent="0.25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417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 x14ac:dyDescent="0.25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419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 x14ac:dyDescent="0.25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401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731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 x14ac:dyDescent="0.25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404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732</v>
      </c>
      <c r="AT520" s="9" t="s">
        <v>733</v>
      </c>
      <c r="AW520" s="9" t="s">
        <v>734</v>
      </c>
      <c r="AX520" s="9" t="s">
        <v>735</v>
      </c>
      <c r="BA520" s="88">
        <f t="shared" si="114"/>
        <v>111.59129626269049</v>
      </c>
    </row>
    <row r="521" spans="23:53" x14ac:dyDescent="0.25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408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 x14ac:dyDescent="0.25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411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 x14ac:dyDescent="0.25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414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 x14ac:dyDescent="0.25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417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731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 x14ac:dyDescent="0.25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419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732</v>
      </c>
      <c r="AT525" s="9" t="s">
        <v>733</v>
      </c>
      <c r="AW525" s="9" t="s">
        <v>734</v>
      </c>
      <c r="AX525" s="9" t="s">
        <v>735</v>
      </c>
      <c r="AY525" s="9" t="s">
        <v>739</v>
      </c>
      <c r="AZ525" s="88">
        <f t="shared" si="115"/>
        <v>117.84477775761431</v>
      </c>
    </row>
    <row r="526" spans="23:53" x14ac:dyDescent="0.25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401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 x14ac:dyDescent="0.25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404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 x14ac:dyDescent="0.25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408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 x14ac:dyDescent="0.25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411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 x14ac:dyDescent="0.25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414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 x14ac:dyDescent="0.25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417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731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 x14ac:dyDescent="0.25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419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732</v>
      </c>
      <c r="AT532" s="9" t="s">
        <v>733</v>
      </c>
      <c r="AW532" s="9" t="s">
        <v>734</v>
      </c>
      <c r="AX532" s="9" t="s">
        <v>735</v>
      </c>
      <c r="AY532" s="9" t="s">
        <v>739</v>
      </c>
      <c r="BA532" s="88">
        <f t="shared" si="116"/>
        <v>184.2669448288043</v>
      </c>
    </row>
    <row r="533" spans="23:53" x14ac:dyDescent="0.25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401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 x14ac:dyDescent="0.25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404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 x14ac:dyDescent="0.25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408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 x14ac:dyDescent="0.25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411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 x14ac:dyDescent="0.25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414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 x14ac:dyDescent="0.25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417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 x14ac:dyDescent="0.25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419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 x14ac:dyDescent="0.25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401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 x14ac:dyDescent="0.25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404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 x14ac:dyDescent="0.25">
      <c r="X542" s="40">
        <v>45317</v>
      </c>
      <c r="Y542" s="168">
        <f t="shared" si="109"/>
        <v>1</v>
      </c>
      <c r="Z542" s="44" t="s">
        <v>408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612</v>
      </c>
      <c r="AL542" s="14" t="s">
        <v>728</v>
      </c>
      <c r="AM542" s="14" t="s">
        <v>729</v>
      </c>
      <c r="AN542" s="166" t="s">
        <v>604</v>
      </c>
      <c r="AO542" s="166" t="s">
        <v>730</v>
      </c>
      <c r="AP542" s="14"/>
      <c r="AQ542" s="14"/>
      <c r="AS542" s="14" t="s">
        <v>731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 x14ac:dyDescent="0.25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411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629">
        <f>SUM(AH537:AH543)</f>
        <v>481.20000000000005</v>
      </c>
      <c r="AK543" s="629">
        <f>SUM(AH513:AH543)</f>
        <v>1591.7</v>
      </c>
      <c r="AL543" s="629">
        <f>SUM(AF513:AF543)</f>
        <v>751.1</v>
      </c>
      <c r="AM543" s="62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732</v>
      </c>
      <c r="AT543" s="9" t="s">
        <v>733</v>
      </c>
      <c r="AW543" s="9" t="s">
        <v>734</v>
      </c>
      <c r="AX543" s="9" t="s">
        <v>735</v>
      </c>
      <c r="AY543" s="9" t="s">
        <v>739</v>
      </c>
      <c r="AZ543" s="88">
        <f>AZ542-AH543</f>
        <v>146.97998444393122</v>
      </c>
    </row>
    <row r="544" spans="23:53" x14ac:dyDescent="0.25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414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 x14ac:dyDescent="0.25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417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 x14ac:dyDescent="0.25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419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 x14ac:dyDescent="0.25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401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 x14ac:dyDescent="0.25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404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 x14ac:dyDescent="0.25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408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 x14ac:dyDescent="0.25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411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 x14ac:dyDescent="0.25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414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 x14ac:dyDescent="0.25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417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 x14ac:dyDescent="0.25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419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731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 x14ac:dyDescent="0.25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401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732</v>
      </c>
      <c r="AT554" s="9" t="s">
        <v>733</v>
      </c>
      <c r="AW554" s="9" t="s">
        <v>734</v>
      </c>
      <c r="AX554" s="9" t="s">
        <v>735</v>
      </c>
      <c r="AY554" s="9" t="s">
        <v>739</v>
      </c>
      <c r="BA554" s="88">
        <f t="shared" si="120"/>
        <v>141.04401671865043</v>
      </c>
    </row>
    <row r="555" spans="23:53" x14ac:dyDescent="0.25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404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 x14ac:dyDescent="0.25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408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 x14ac:dyDescent="0.25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411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 x14ac:dyDescent="0.25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414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 x14ac:dyDescent="0.25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417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 x14ac:dyDescent="0.25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419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 x14ac:dyDescent="0.25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401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 x14ac:dyDescent="0.25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404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 x14ac:dyDescent="0.25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408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731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 x14ac:dyDescent="0.25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411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732</v>
      </c>
      <c r="AT564" s="9" t="s">
        <v>733</v>
      </c>
      <c r="AW564" s="9" t="s">
        <v>734</v>
      </c>
      <c r="AX564" s="9" t="s">
        <v>735</v>
      </c>
      <c r="AY564" s="9" t="s">
        <v>739</v>
      </c>
      <c r="AZ564" s="88">
        <f t="shared" si="121"/>
        <v>166.18320956907621</v>
      </c>
    </row>
    <row r="565" spans="23:58" x14ac:dyDescent="0.25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414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 x14ac:dyDescent="0.25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417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 x14ac:dyDescent="0.25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419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 x14ac:dyDescent="0.25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401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 x14ac:dyDescent="0.25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404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 x14ac:dyDescent="0.25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408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 x14ac:dyDescent="0.25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411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 x14ac:dyDescent="0.25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414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 x14ac:dyDescent="0.25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417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612</v>
      </c>
      <c r="AL573" s="14" t="s">
        <v>728</v>
      </c>
      <c r="AM573" s="14" t="s">
        <v>729</v>
      </c>
      <c r="AN573" s="166" t="s">
        <v>604</v>
      </c>
      <c r="AO573" s="166" t="s">
        <v>730</v>
      </c>
      <c r="AP573" s="14"/>
      <c r="AQ573" s="14"/>
      <c r="AS573" s="14" t="s">
        <v>731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 x14ac:dyDescent="0.25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419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629">
        <f>SUM(AH544:AH574)</f>
        <v>1991.53</v>
      </c>
      <c r="AL574" s="629">
        <f>SUM(AF544:AF574)</f>
        <v>1132.6000000000001</v>
      </c>
      <c r="AM574" s="62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732</v>
      </c>
      <c r="AT574" s="9" t="s">
        <v>733</v>
      </c>
      <c r="AW574" s="9" t="s">
        <v>734</v>
      </c>
      <c r="AX574" s="9" t="s">
        <v>735</v>
      </c>
      <c r="AY574" s="9" t="s">
        <v>739</v>
      </c>
      <c r="BA574" s="88">
        <f t="shared" si="124"/>
        <v>251.09359329429202</v>
      </c>
    </row>
    <row r="575" spans="23:58" x14ac:dyDescent="0.25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401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 x14ac:dyDescent="0.25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404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 x14ac:dyDescent="0.25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408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 x14ac:dyDescent="0.25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411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 x14ac:dyDescent="0.25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414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 x14ac:dyDescent="0.25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417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 x14ac:dyDescent="0.25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419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 x14ac:dyDescent="0.25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401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 x14ac:dyDescent="0.25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404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731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 x14ac:dyDescent="0.25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408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732</v>
      </c>
      <c r="AT584" s="9" t="s">
        <v>733</v>
      </c>
      <c r="AW584" s="9" t="s">
        <v>734</v>
      </c>
      <c r="AX584" s="9" t="s">
        <v>735</v>
      </c>
      <c r="AY584" s="9" t="s">
        <v>739</v>
      </c>
      <c r="AZ584" s="88">
        <f t="shared" si="125"/>
        <v>65.50268788090041</v>
      </c>
    </row>
    <row r="585" spans="23:53" x14ac:dyDescent="0.25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411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 x14ac:dyDescent="0.25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414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 x14ac:dyDescent="0.25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417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 x14ac:dyDescent="0.25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419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 x14ac:dyDescent="0.25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401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 x14ac:dyDescent="0.25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404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 x14ac:dyDescent="0.25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408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 x14ac:dyDescent="0.25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411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 x14ac:dyDescent="0.25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414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731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 x14ac:dyDescent="0.25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417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732</v>
      </c>
      <c r="AT594" s="9" t="s">
        <v>733</v>
      </c>
      <c r="AW594" s="9" t="s">
        <v>734</v>
      </c>
      <c r="AX594" s="9" t="s">
        <v>735</v>
      </c>
      <c r="AY594" s="9" t="s">
        <v>739</v>
      </c>
      <c r="BA594" s="88">
        <f t="shared" si="127"/>
        <v>167.02384680430464</v>
      </c>
    </row>
    <row r="595" spans="23:53" x14ac:dyDescent="0.25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419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 x14ac:dyDescent="0.25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401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 x14ac:dyDescent="0.25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404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 x14ac:dyDescent="0.25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408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 x14ac:dyDescent="0.25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411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 x14ac:dyDescent="0.25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414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 x14ac:dyDescent="0.25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417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 x14ac:dyDescent="0.25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419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612</v>
      </c>
      <c r="AL602" s="14" t="s">
        <v>728</v>
      </c>
      <c r="AM602" s="14" t="s">
        <v>729</v>
      </c>
      <c r="AN602" s="166" t="s">
        <v>604</v>
      </c>
      <c r="AO602" s="166" t="s">
        <v>730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 x14ac:dyDescent="0.25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401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629"/>
      <c r="AK603" s="629">
        <f>SUM(AH575:AH603)</f>
        <v>1935.9500000000003</v>
      </c>
      <c r="AL603" s="629">
        <f>SUM(AF575:AF603)</f>
        <v>979.30000000000007</v>
      </c>
      <c r="AM603" s="62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731</v>
      </c>
      <c r="AT603" s="14"/>
      <c r="AU603" s="14"/>
      <c r="AZ603" s="88">
        <f t="shared" si="128"/>
        <v>156.08294139091299</v>
      </c>
    </row>
    <row r="604" spans="23:53" x14ac:dyDescent="0.25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404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732</v>
      </c>
      <c r="AT604" s="9" t="s">
        <v>733</v>
      </c>
      <c r="AW604" s="9" t="s">
        <v>734</v>
      </c>
      <c r="AX604" s="9" t="s">
        <v>735</v>
      </c>
      <c r="AY604" s="9" t="s">
        <v>739</v>
      </c>
      <c r="AZ604" s="88">
        <f>AZ603-AH604</f>
        <v>72.082941390912993</v>
      </c>
    </row>
    <row r="605" spans="23:53" x14ac:dyDescent="0.25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408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 x14ac:dyDescent="0.25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411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 x14ac:dyDescent="0.25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414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 x14ac:dyDescent="0.25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417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 x14ac:dyDescent="0.25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419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 x14ac:dyDescent="0.25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401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731</v>
      </c>
      <c r="AT610" s="14"/>
      <c r="AU610" s="14"/>
      <c r="BA610" s="88">
        <f t="shared" si="131"/>
        <v>145.5880141129129</v>
      </c>
    </row>
    <row r="611" spans="23:53" x14ac:dyDescent="0.25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404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732</v>
      </c>
      <c r="AT611" s="9" t="s">
        <v>733</v>
      </c>
      <c r="AW611" s="9" t="s">
        <v>734</v>
      </c>
      <c r="AX611" s="9" t="s">
        <v>735</v>
      </c>
      <c r="AY611" s="9" t="s">
        <v>739</v>
      </c>
      <c r="BA611" s="88">
        <f>BA610-AH611</f>
        <v>89.688014112912896</v>
      </c>
    </row>
    <row r="612" spans="23:53" x14ac:dyDescent="0.25">
      <c r="X612" s="40">
        <v>45387</v>
      </c>
      <c r="Y612" s="168">
        <f t="shared" ref="Y612:Y675" si="132">MONTH(X612)</f>
        <v>4</v>
      </c>
      <c r="Z612" s="44" t="s">
        <v>408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 x14ac:dyDescent="0.25">
      <c r="X613" s="40">
        <v>45388</v>
      </c>
      <c r="Y613" s="168">
        <f t="shared" si="132"/>
        <v>4</v>
      </c>
      <c r="Z613" s="44" t="s">
        <v>411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 x14ac:dyDescent="0.25">
      <c r="X614" s="40">
        <v>45389</v>
      </c>
      <c r="Y614" s="168">
        <f t="shared" si="132"/>
        <v>4</v>
      </c>
      <c r="Z614" s="44" t="s">
        <v>414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 x14ac:dyDescent="0.25">
      <c r="X615" s="40">
        <v>45390</v>
      </c>
      <c r="Y615" s="168">
        <f t="shared" si="132"/>
        <v>4</v>
      </c>
      <c r="Z615" s="44" t="s">
        <v>417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 x14ac:dyDescent="0.25">
      <c r="X616" s="40">
        <v>45391</v>
      </c>
      <c r="Y616" s="168">
        <f t="shared" si="132"/>
        <v>4</v>
      </c>
      <c r="Z616" s="44" t="s">
        <v>419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 x14ac:dyDescent="0.25">
      <c r="X617" s="40">
        <v>45392</v>
      </c>
      <c r="Y617" s="168">
        <f t="shared" si="132"/>
        <v>4</v>
      </c>
      <c r="Z617" s="44" t="s">
        <v>401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 x14ac:dyDescent="0.25">
      <c r="X618" s="40">
        <v>45393</v>
      </c>
      <c r="Y618" s="168">
        <f t="shared" si="132"/>
        <v>4</v>
      </c>
      <c r="Z618" s="44" t="s">
        <v>404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 x14ac:dyDescent="0.25">
      <c r="X619" s="40">
        <v>45394</v>
      </c>
      <c r="Y619" s="168">
        <f t="shared" si="132"/>
        <v>4</v>
      </c>
      <c r="Z619" s="44" t="s">
        <v>408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 x14ac:dyDescent="0.25">
      <c r="X620" s="40">
        <v>45395</v>
      </c>
      <c r="Y620" s="168">
        <f t="shared" si="132"/>
        <v>4</v>
      </c>
      <c r="Z620" s="44" t="s">
        <v>411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 x14ac:dyDescent="0.25">
      <c r="X621" s="40">
        <v>45396</v>
      </c>
      <c r="Y621" s="168">
        <f t="shared" si="132"/>
        <v>4</v>
      </c>
      <c r="Z621" s="44" t="s">
        <v>414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 x14ac:dyDescent="0.25">
      <c r="X622" s="40">
        <v>45397</v>
      </c>
      <c r="Y622" s="168">
        <f t="shared" si="132"/>
        <v>4</v>
      </c>
      <c r="Z622" s="44" t="s">
        <v>417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 x14ac:dyDescent="0.25">
      <c r="X623" s="40">
        <v>45398</v>
      </c>
      <c r="Y623" s="168">
        <f t="shared" si="132"/>
        <v>4</v>
      </c>
      <c r="Z623" s="44" t="s">
        <v>419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 x14ac:dyDescent="0.25">
      <c r="X624" s="40">
        <v>45399</v>
      </c>
      <c r="Y624" s="168">
        <f t="shared" si="132"/>
        <v>4</v>
      </c>
      <c r="Z624" s="44" t="s">
        <v>401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 x14ac:dyDescent="0.25">
      <c r="X625" s="40">
        <v>45400</v>
      </c>
      <c r="Y625" s="168">
        <f t="shared" si="132"/>
        <v>4</v>
      </c>
      <c r="Z625" s="44" t="s">
        <v>404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 x14ac:dyDescent="0.25">
      <c r="X626" s="40">
        <v>45401</v>
      </c>
      <c r="Y626" s="168">
        <f t="shared" si="132"/>
        <v>4</v>
      </c>
      <c r="Z626" s="44" t="s">
        <v>408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 x14ac:dyDescent="0.25">
      <c r="X627" s="40">
        <v>45402</v>
      </c>
      <c r="Y627" s="168">
        <f t="shared" si="132"/>
        <v>4</v>
      </c>
      <c r="Z627" s="44" t="s">
        <v>411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 x14ac:dyDescent="0.25">
      <c r="X628" s="40">
        <v>45403</v>
      </c>
      <c r="Y628" s="168">
        <f t="shared" si="132"/>
        <v>4</v>
      </c>
      <c r="Z628" s="44" t="s">
        <v>414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 x14ac:dyDescent="0.25">
      <c r="X629" s="40">
        <v>45404</v>
      </c>
      <c r="Y629" s="168">
        <f t="shared" si="132"/>
        <v>4</v>
      </c>
      <c r="Z629" s="44" t="s">
        <v>417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 x14ac:dyDescent="0.25">
      <c r="X630" s="40">
        <v>45405</v>
      </c>
      <c r="Y630" s="168">
        <f t="shared" si="132"/>
        <v>4</v>
      </c>
      <c r="Z630" s="44" t="s">
        <v>419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 x14ac:dyDescent="0.25">
      <c r="X631" s="40">
        <v>45406</v>
      </c>
      <c r="Y631" s="168">
        <f t="shared" si="132"/>
        <v>4</v>
      </c>
      <c r="Z631" s="44" t="s">
        <v>401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 x14ac:dyDescent="0.25">
      <c r="X632" s="40">
        <v>45407</v>
      </c>
      <c r="Y632" s="168">
        <f t="shared" si="132"/>
        <v>4</v>
      </c>
      <c r="Z632" s="44" t="s">
        <v>404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612</v>
      </c>
      <c r="AL632" s="14" t="s">
        <v>728</v>
      </c>
      <c r="AM632" s="14" t="s">
        <v>729</v>
      </c>
      <c r="AN632" s="166" t="s">
        <v>604</v>
      </c>
      <c r="AO632" s="166" t="s">
        <v>730</v>
      </c>
      <c r="AP632" s="14"/>
      <c r="AQ632" s="14"/>
    </row>
    <row r="633" spans="24:53" x14ac:dyDescent="0.25">
      <c r="X633" s="39">
        <v>45408</v>
      </c>
      <c r="Y633" s="179">
        <f t="shared" si="132"/>
        <v>4</v>
      </c>
      <c r="Z633" s="107" t="s">
        <v>408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629">
        <f>SUM(AH627:AH633)</f>
        <v>165</v>
      </c>
      <c r="AK633" s="629">
        <f>SUM(AH605:AH633)</f>
        <v>1494.2</v>
      </c>
      <c r="AL633" s="629">
        <f>SUM(AF605:AF633)</f>
        <v>964</v>
      </c>
      <c r="AM633" s="62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 x14ac:dyDescent="0.25">
      <c r="X634" s="40">
        <v>45409</v>
      </c>
      <c r="Y634" s="168">
        <f t="shared" si="132"/>
        <v>4</v>
      </c>
      <c r="Z634" s="44" t="s">
        <v>411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 x14ac:dyDescent="0.25">
      <c r="X635" s="40">
        <v>45410</v>
      </c>
      <c r="Y635" s="168">
        <f t="shared" si="132"/>
        <v>4</v>
      </c>
      <c r="Z635" s="44" t="s">
        <v>414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 x14ac:dyDescent="0.25">
      <c r="X636" s="40">
        <v>45411</v>
      </c>
      <c r="Y636" s="168">
        <f t="shared" si="132"/>
        <v>4</v>
      </c>
      <c r="Z636" s="44" t="s">
        <v>417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 x14ac:dyDescent="0.25">
      <c r="X637" s="40">
        <v>45412</v>
      </c>
      <c r="Y637" s="168">
        <f t="shared" si="132"/>
        <v>4</v>
      </c>
      <c r="Z637" s="44" t="s">
        <v>419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 x14ac:dyDescent="0.25">
      <c r="X638" s="40">
        <v>45413</v>
      </c>
      <c r="Y638" s="168">
        <f t="shared" si="132"/>
        <v>5</v>
      </c>
      <c r="Z638" s="44" t="s">
        <v>401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 x14ac:dyDescent="0.25">
      <c r="X639" s="40">
        <v>45414</v>
      </c>
      <c r="Y639" s="168">
        <f t="shared" si="132"/>
        <v>5</v>
      </c>
      <c r="Z639" s="44" t="s">
        <v>404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 x14ac:dyDescent="0.25">
      <c r="X640" s="40">
        <v>45415</v>
      </c>
      <c r="Y640" s="168">
        <f t="shared" si="132"/>
        <v>5</v>
      </c>
      <c r="Z640" s="44" t="s">
        <v>408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 x14ac:dyDescent="0.25">
      <c r="X641" s="40">
        <v>45416</v>
      </c>
      <c r="Y641" s="168">
        <f t="shared" si="132"/>
        <v>5</v>
      </c>
      <c r="Z641" s="44" t="s">
        <v>411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 x14ac:dyDescent="0.25">
      <c r="X642" s="40">
        <v>45417</v>
      </c>
      <c r="Y642" s="168">
        <f t="shared" si="132"/>
        <v>5</v>
      </c>
      <c r="Z642" s="44" t="s">
        <v>414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 x14ac:dyDescent="0.25">
      <c r="X643" s="40">
        <v>45418</v>
      </c>
      <c r="Y643" s="168">
        <f t="shared" si="132"/>
        <v>5</v>
      </c>
      <c r="Z643" s="44" t="s">
        <v>417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 x14ac:dyDescent="0.25">
      <c r="X644" s="40">
        <v>45419</v>
      </c>
      <c r="Y644" s="168">
        <f t="shared" si="132"/>
        <v>5</v>
      </c>
      <c r="Z644" s="44" t="s">
        <v>419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 x14ac:dyDescent="0.25">
      <c r="X645" s="40">
        <v>45420</v>
      </c>
      <c r="Y645" s="168">
        <f t="shared" si="132"/>
        <v>5</v>
      </c>
      <c r="Z645" s="44" t="s">
        <v>401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 x14ac:dyDescent="0.25">
      <c r="X646" s="40">
        <v>45421</v>
      </c>
      <c r="Y646" s="168">
        <f t="shared" si="132"/>
        <v>5</v>
      </c>
      <c r="Z646" s="44" t="s">
        <v>404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 x14ac:dyDescent="0.25">
      <c r="X647" s="40">
        <v>45422</v>
      </c>
      <c r="Y647" s="168">
        <f t="shared" si="132"/>
        <v>5</v>
      </c>
      <c r="Z647" s="44" t="s">
        <v>408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 x14ac:dyDescent="0.25">
      <c r="X648" s="40">
        <v>45423</v>
      </c>
      <c r="Y648" s="168">
        <f t="shared" si="132"/>
        <v>5</v>
      </c>
      <c r="Z648" s="44" t="s">
        <v>411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 x14ac:dyDescent="0.25">
      <c r="X649" s="40">
        <v>45424</v>
      </c>
      <c r="Y649" s="168">
        <f t="shared" si="132"/>
        <v>5</v>
      </c>
      <c r="Z649" s="44" t="s">
        <v>414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 x14ac:dyDescent="0.25">
      <c r="X650" s="40">
        <v>45425</v>
      </c>
      <c r="Y650" s="168">
        <f t="shared" si="132"/>
        <v>5</v>
      </c>
      <c r="Z650" s="44" t="s">
        <v>417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 x14ac:dyDescent="0.25">
      <c r="X651" s="40">
        <v>45426</v>
      </c>
      <c r="Y651" s="168">
        <f t="shared" si="132"/>
        <v>5</v>
      </c>
      <c r="Z651" s="44" t="s">
        <v>419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 x14ac:dyDescent="0.25">
      <c r="X652" s="40">
        <v>45427</v>
      </c>
      <c r="Y652" s="168">
        <f t="shared" si="132"/>
        <v>5</v>
      </c>
      <c r="Z652" s="44" t="s">
        <v>401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 x14ac:dyDescent="0.25">
      <c r="X653" s="40">
        <v>45428</v>
      </c>
      <c r="Y653" s="168">
        <f t="shared" si="132"/>
        <v>5</v>
      </c>
      <c r="Z653" s="44" t="s">
        <v>404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 x14ac:dyDescent="0.25">
      <c r="X654" s="40">
        <v>45429</v>
      </c>
      <c r="Y654" s="168">
        <f t="shared" si="132"/>
        <v>5</v>
      </c>
      <c r="Z654" s="44" t="s">
        <v>408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 x14ac:dyDescent="0.25">
      <c r="X655" s="40">
        <v>45430</v>
      </c>
      <c r="Y655" s="168">
        <f t="shared" si="132"/>
        <v>5</v>
      </c>
      <c r="Z655" s="44" t="s">
        <v>411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 x14ac:dyDescent="0.25">
      <c r="X656" s="40">
        <v>45431</v>
      </c>
      <c r="Y656" s="168">
        <f t="shared" si="132"/>
        <v>5</v>
      </c>
      <c r="Z656" s="44" t="s">
        <v>414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 x14ac:dyDescent="0.25">
      <c r="X657" s="40">
        <v>45432</v>
      </c>
      <c r="Y657" s="168">
        <f t="shared" si="132"/>
        <v>5</v>
      </c>
      <c r="Z657" s="44" t="s">
        <v>417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 x14ac:dyDescent="0.25">
      <c r="X658" s="40">
        <v>45433</v>
      </c>
      <c r="Y658" s="168">
        <f t="shared" si="132"/>
        <v>5</v>
      </c>
      <c r="Z658" s="44" t="s">
        <v>419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 x14ac:dyDescent="0.25">
      <c r="X659" s="40">
        <v>45434</v>
      </c>
      <c r="Y659" s="168">
        <f t="shared" si="132"/>
        <v>5</v>
      </c>
      <c r="Z659" s="44" t="s">
        <v>401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 x14ac:dyDescent="0.25">
      <c r="X660" s="40">
        <v>45435</v>
      </c>
      <c r="Y660" s="168">
        <f t="shared" si="132"/>
        <v>5</v>
      </c>
      <c r="Z660" s="44" t="s">
        <v>404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 x14ac:dyDescent="0.25">
      <c r="X661" s="40">
        <v>45436</v>
      </c>
      <c r="Y661" s="168">
        <f t="shared" si="132"/>
        <v>5</v>
      </c>
      <c r="Z661" s="44" t="s">
        <v>408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 x14ac:dyDescent="0.25">
      <c r="X662" s="40">
        <v>45437</v>
      </c>
      <c r="Y662" s="168">
        <f t="shared" si="132"/>
        <v>5</v>
      </c>
      <c r="Z662" s="44" t="s">
        <v>411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 x14ac:dyDescent="0.25">
      <c r="X663" s="40">
        <v>45438</v>
      </c>
      <c r="Y663" s="168">
        <f t="shared" si="132"/>
        <v>5</v>
      </c>
      <c r="Z663" s="44" t="s">
        <v>414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 x14ac:dyDescent="0.25">
      <c r="X664" s="39">
        <v>45439</v>
      </c>
      <c r="Y664" s="179">
        <f t="shared" si="132"/>
        <v>5</v>
      </c>
      <c r="Z664" s="107" t="s">
        <v>417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629"/>
      <c r="AK664" s="629"/>
      <c r="AL664" s="629"/>
      <c r="AM664" s="629"/>
      <c r="AN664" s="218"/>
      <c r="AO664" s="218"/>
      <c r="AP664" s="629"/>
      <c r="AQ664" s="629"/>
    </row>
    <row r="665" spans="24:43" x14ac:dyDescent="0.25">
      <c r="X665" s="40">
        <v>45440</v>
      </c>
      <c r="Y665" s="168">
        <f t="shared" si="132"/>
        <v>5</v>
      </c>
      <c r="Z665" s="44" t="s">
        <v>419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 x14ac:dyDescent="0.25">
      <c r="X666" s="40">
        <v>45441</v>
      </c>
      <c r="Y666" s="168">
        <f t="shared" si="132"/>
        <v>5</v>
      </c>
      <c r="Z666" s="44" t="s">
        <v>401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 x14ac:dyDescent="0.25">
      <c r="X667" s="40">
        <v>45442</v>
      </c>
      <c r="Y667" s="168">
        <f t="shared" si="132"/>
        <v>5</v>
      </c>
      <c r="Z667" s="44" t="s">
        <v>404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 x14ac:dyDescent="0.25">
      <c r="X668" s="40">
        <v>45443</v>
      </c>
      <c r="Y668" s="168">
        <f t="shared" si="132"/>
        <v>5</v>
      </c>
      <c r="Z668" s="44" t="s">
        <v>408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 x14ac:dyDescent="0.25">
      <c r="X669" s="40">
        <v>45444</v>
      </c>
      <c r="Y669" s="168">
        <f t="shared" si="132"/>
        <v>6</v>
      </c>
      <c r="Z669" s="44" t="s">
        <v>411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 x14ac:dyDescent="0.25">
      <c r="X670" s="40">
        <v>45445</v>
      </c>
      <c r="Y670" s="168">
        <f t="shared" si="132"/>
        <v>6</v>
      </c>
      <c r="Z670" s="44" t="s">
        <v>414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 x14ac:dyDescent="0.25">
      <c r="X671" s="40">
        <v>45446</v>
      </c>
      <c r="Y671" s="168">
        <f t="shared" si="132"/>
        <v>6</v>
      </c>
      <c r="Z671" s="44" t="s">
        <v>417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 x14ac:dyDescent="0.25">
      <c r="X672" s="40">
        <v>45447</v>
      </c>
      <c r="Y672" s="168">
        <f t="shared" si="132"/>
        <v>6</v>
      </c>
      <c r="Z672" s="44" t="s">
        <v>419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 x14ac:dyDescent="0.25">
      <c r="X673" s="40">
        <v>45448</v>
      </c>
      <c r="Y673" s="168">
        <f t="shared" si="132"/>
        <v>6</v>
      </c>
      <c r="Z673" s="44" t="s">
        <v>401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 x14ac:dyDescent="0.25">
      <c r="X674" s="40">
        <v>45449</v>
      </c>
      <c r="Y674" s="168">
        <f t="shared" si="132"/>
        <v>6</v>
      </c>
      <c r="Z674" s="44" t="s">
        <v>404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 x14ac:dyDescent="0.25">
      <c r="X675" s="40">
        <v>45450</v>
      </c>
      <c r="Y675" s="168">
        <f t="shared" si="132"/>
        <v>6</v>
      </c>
      <c r="Z675" s="44" t="s">
        <v>408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 x14ac:dyDescent="0.25">
      <c r="X676" s="40">
        <v>45451</v>
      </c>
      <c r="Y676" s="168">
        <f t="shared" ref="Y676:Y739" si="137">MONTH(X676)</f>
        <v>6</v>
      </c>
      <c r="Z676" s="44" t="s">
        <v>411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 x14ac:dyDescent="0.25">
      <c r="X677" s="40">
        <v>45452</v>
      </c>
      <c r="Y677" s="168">
        <f t="shared" si="137"/>
        <v>6</v>
      </c>
      <c r="Z677" s="44" t="s">
        <v>414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 x14ac:dyDescent="0.25">
      <c r="X678" s="40">
        <v>45453</v>
      </c>
      <c r="Y678" s="168">
        <f t="shared" si="137"/>
        <v>6</v>
      </c>
      <c r="Z678" s="44" t="s">
        <v>417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 x14ac:dyDescent="0.25">
      <c r="X679" s="40">
        <v>45454</v>
      </c>
      <c r="Y679" s="168">
        <f t="shared" si="137"/>
        <v>6</v>
      </c>
      <c r="Z679" s="44" t="s">
        <v>419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 x14ac:dyDescent="0.25">
      <c r="X680" s="40">
        <v>45455</v>
      </c>
      <c r="Y680" s="168">
        <f t="shared" si="137"/>
        <v>6</v>
      </c>
      <c r="Z680" s="44" t="s">
        <v>401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 x14ac:dyDescent="0.25">
      <c r="X681" s="40">
        <v>45456</v>
      </c>
      <c r="Y681" s="168">
        <f t="shared" si="137"/>
        <v>6</v>
      </c>
      <c r="Z681" s="44" t="s">
        <v>404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 x14ac:dyDescent="0.25">
      <c r="X682" s="40">
        <v>45457</v>
      </c>
      <c r="Y682" s="168">
        <f t="shared" si="137"/>
        <v>6</v>
      </c>
      <c r="Z682" s="44" t="s">
        <v>408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 x14ac:dyDescent="0.25">
      <c r="X683" s="40">
        <v>45458</v>
      </c>
      <c r="Y683" s="168">
        <f t="shared" si="137"/>
        <v>6</v>
      </c>
      <c r="Z683" s="44" t="s">
        <v>411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 x14ac:dyDescent="0.25">
      <c r="X684" s="40">
        <v>45459</v>
      </c>
      <c r="Y684" s="168">
        <f t="shared" si="137"/>
        <v>6</v>
      </c>
      <c r="Z684" s="44" t="s">
        <v>414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 x14ac:dyDescent="0.25">
      <c r="X685" s="40">
        <v>45460</v>
      </c>
      <c r="Y685" s="168">
        <f t="shared" si="137"/>
        <v>6</v>
      </c>
      <c r="Z685" s="44" t="s">
        <v>417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 x14ac:dyDescent="0.25">
      <c r="X686" s="40">
        <v>45461</v>
      </c>
      <c r="Y686" s="168">
        <f t="shared" si="137"/>
        <v>6</v>
      </c>
      <c r="Z686" s="44" t="s">
        <v>419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 x14ac:dyDescent="0.25">
      <c r="X687" s="40">
        <v>45462</v>
      </c>
      <c r="Y687" s="168">
        <f t="shared" si="137"/>
        <v>6</v>
      </c>
      <c r="Z687" s="44" t="s">
        <v>401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 x14ac:dyDescent="0.25">
      <c r="X688" s="40">
        <v>45463</v>
      </c>
      <c r="Y688" s="168">
        <f t="shared" si="137"/>
        <v>6</v>
      </c>
      <c r="Z688" s="44" t="s">
        <v>404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 x14ac:dyDescent="0.25">
      <c r="X689" s="40">
        <v>45464</v>
      </c>
      <c r="Y689" s="168">
        <f t="shared" si="137"/>
        <v>6</v>
      </c>
      <c r="Z689" s="44" t="s">
        <v>408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 x14ac:dyDescent="0.25">
      <c r="X690" s="40">
        <v>45465</v>
      </c>
      <c r="Y690" s="168">
        <f t="shared" si="137"/>
        <v>6</v>
      </c>
      <c r="Z690" s="44" t="s">
        <v>411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 x14ac:dyDescent="0.25">
      <c r="X691" s="40">
        <v>45466</v>
      </c>
      <c r="Y691" s="168">
        <f t="shared" si="137"/>
        <v>6</v>
      </c>
      <c r="Z691" s="44" t="s">
        <v>414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 x14ac:dyDescent="0.25">
      <c r="X692" s="40">
        <v>45467</v>
      </c>
      <c r="Y692" s="168">
        <f t="shared" si="137"/>
        <v>6</v>
      </c>
      <c r="Z692" s="44" t="s">
        <v>417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 x14ac:dyDescent="0.25">
      <c r="X693" s="40">
        <v>45468</v>
      </c>
      <c r="Y693" s="168">
        <f t="shared" si="137"/>
        <v>6</v>
      </c>
      <c r="Z693" s="44" t="s">
        <v>419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 x14ac:dyDescent="0.25">
      <c r="X694" s="40">
        <v>45469</v>
      </c>
      <c r="Y694" s="168">
        <f t="shared" si="137"/>
        <v>6</v>
      </c>
      <c r="Z694" s="44" t="s">
        <v>401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 x14ac:dyDescent="0.25">
      <c r="X695" s="40">
        <v>45470</v>
      </c>
      <c r="Y695" s="168">
        <f t="shared" si="137"/>
        <v>6</v>
      </c>
      <c r="Z695" s="44" t="s">
        <v>404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 x14ac:dyDescent="0.25">
      <c r="X696" s="40">
        <v>45471</v>
      </c>
      <c r="Y696" s="168">
        <f t="shared" si="137"/>
        <v>6</v>
      </c>
      <c r="Z696" s="44" t="s">
        <v>408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 x14ac:dyDescent="0.25">
      <c r="X697" s="40">
        <v>45472</v>
      </c>
      <c r="Y697" s="168">
        <f t="shared" si="137"/>
        <v>6</v>
      </c>
      <c r="Z697" s="44" t="s">
        <v>411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 x14ac:dyDescent="0.25">
      <c r="X698" s="40">
        <v>45473</v>
      </c>
      <c r="Y698" s="168">
        <f t="shared" si="137"/>
        <v>6</v>
      </c>
      <c r="Z698" s="44" t="s">
        <v>414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 x14ac:dyDescent="0.25">
      <c r="X699" s="40">
        <v>45474</v>
      </c>
      <c r="Y699" s="168">
        <f t="shared" si="137"/>
        <v>7</v>
      </c>
      <c r="Z699" s="44" t="s">
        <v>417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 x14ac:dyDescent="0.25">
      <c r="X700" s="40">
        <v>45475</v>
      </c>
      <c r="Y700" s="168">
        <f t="shared" si="137"/>
        <v>7</v>
      </c>
      <c r="Z700" s="44" t="s">
        <v>419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 x14ac:dyDescent="0.25">
      <c r="X701" s="40">
        <v>45476</v>
      </c>
      <c r="Y701" s="168">
        <f t="shared" si="137"/>
        <v>7</v>
      </c>
      <c r="Z701" s="44" t="s">
        <v>401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 x14ac:dyDescent="0.25">
      <c r="X702" s="40">
        <v>45477</v>
      </c>
      <c r="Y702" s="168">
        <f t="shared" si="137"/>
        <v>7</v>
      </c>
      <c r="Z702" s="44" t="s">
        <v>404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 x14ac:dyDescent="0.25">
      <c r="X703" s="40">
        <v>45478</v>
      </c>
      <c r="Y703" s="168">
        <f t="shared" si="137"/>
        <v>7</v>
      </c>
      <c r="Z703" s="44" t="s">
        <v>408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 x14ac:dyDescent="0.25">
      <c r="X704" s="40">
        <v>45479</v>
      </c>
      <c r="Y704" s="168">
        <f t="shared" si="137"/>
        <v>7</v>
      </c>
      <c r="Z704" s="44" t="s">
        <v>411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 x14ac:dyDescent="0.25">
      <c r="X705" s="40">
        <v>45480</v>
      </c>
      <c r="Y705" s="168">
        <f t="shared" si="137"/>
        <v>7</v>
      </c>
      <c r="Z705" s="44" t="s">
        <v>414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 x14ac:dyDescent="0.25">
      <c r="X706" s="40">
        <v>45481</v>
      </c>
      <c r="Y706" s="168">
        <f t="shared" si="137"/>
        <v>7</v>
      </c>
      <c r="Z706" s="44" t="s">
        <v>417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 x14ac:dyDescent="0.25">
      <c r="X707" s="40">
        <v>45482</v>
      </c>
      <c r="Y707" s="168">
        <f t="shared" si="137"/>
        <v>7</v>
      </c>
      <c r="Z707" s="44" t="s">
        <v>419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 x14ac:dyDescent="0.25">
      <c r="X708" s="40">
        <v>45483</v>
      </c>
      <c r="Y708" s="168">
        <f t="shared" si="137"/>
        <v>7</v>
      </c>
      <c r="Z708" s="44" t="s">
        <v>401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 x14ac:dyDescent="0.25">
      <c r="X709" s="40">
        <v>45484</v>
      </c>
      <c r="Y709" s="168">
        <f t="shared" si="137"/>
        <v>7</v>
      </c>
      <c r="Z709" s="44" t="s">
        <v>404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 x14ac:dyDescent="0.25">
      <c r="X710" s="40">
        <v>45485</v>
      </c>
      <c r="Y710" s="168">
        <f t="shared" si="137"/>
        <v>7</v>
      </c>
      <c r="Z710" s="44" t="s">
        <v>408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 x14ac:dyDescent="0.25">
      <c r="X711" s="40">
        <v>45486</v>
      </c>
      <c r="Y711" s="168">
        <f t="shared" si="137"/>
        <v>7</v>
      </c>
      <c r="Z711" s="44" t="s">
        <v>411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 x14ac:dyDescent="0.25">
      <c r="X712" s="40">
        <v>45487</v>
      </c>
      <c r="Y712" s="168">
        <f t="shared" si="137"/>
        <v>7</v>
      </c>
      <c r="Z712" s="44" t="s">
        <v>414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 x14ac:dyDescent="0.25">
      <c r="X713" s="40">
        <v>45488</v>
      </c>
      <c r="Y713" s="168">
        <f t="shared" si="137"/>
        <v>7</v>
      </c>
      <c r="Z713" s="44" t="s">
        <v>417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 x14ac:dyDescent="0.25">
      <c r="X714" s="40">
        <v>45489</v>
      </c>
      <c r="Y714" s="168">
        <f t="shared" si="137"/>
        <v>7</v>
      </c>
      <c r="Z714" s="44" t="s">
        <v>419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 x14ac:dyDescent="0.25">
      <c r="X715" s="40">
        <v>45490</v>
      </c>
      <c r="Y715" s="168">
        <f t="shared" si="137"/>
        <v>7</v>
      </c>
      <c r="Z715" s="44" t="s">
        <v>401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 x14ac:dyDescent="0.25">
      <c r="X716" s="40">
        <v>45491</v>
      </c>
      <c r="Y716" s="168">
        <f t="shared" si="137"/>
        <v>7</v>
      </c>
      <c r="Z716" s="44" t="s">
        <v>404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 x14ac:dyDescent="0.25">
      <c r="X717" s="40">
        <v>45492</v>
      </c>
      <c r="Y717" s="168">
        <f t="shared" si="137"/>
        <v>7</v>
      </c>
      <c r="Z717" s="44" t="s">
        <v>408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 x14ac:dyDescent="0.25">
      <c r="X718" s="40">
        <v>45493</v>
      </c>
      <c r="Y718" s="168">
        <f t="shared" si="137"/>
        <v>7</v>
      </c>
      <c r="Z718" s="44" t="s">
        <v>411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 x14ac:dyDescent="0.25">
      <c r="X719" s="40">
        <v>45494</v>
      </c>
      <c r="Y719" s="168">
        <f t="shared" si="137"/>
        <v>7</v>
      </c>
      <c r="Z719" s="44" t="s">
        <v>414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 x14ac:dyDescent="0.25">
      <c r="X720" s="40">
        <v>45495</v>
      </c>
      <c r="Y720" s="168">
        <f t="shared" si="137"/>
        <v>7</v>
      </c>
      <c r="Z720" s="44" t="s">
        <v>417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 x14ac:dyDescent="0.25">
      <c r="X721" s="40">
        <v>45496</v>
      </c>
      <c r="Y721" s="168">
        <f t="shared" si="137"/>
        <v>7</v>
      </c>
      <c r="Z721" s="44" t="s">
        <v>419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 x14ac:dyDescent="0.25">
      <c r="X722" s="40">
        <v>45497</v>
      </c>
      <c r="Y722" s="168">
        <f t="shared" si="137"/>
        <v>7</v>
      </c>
      <c r="Z722" s="44" t="s">
        <v>401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 x14ac:dyDescent="0.25">
      <c r="X723" s="40">
        <v>45498</v>
      </c>
      <c r="Y723" s="168">
        <f t="shared" si="137"/>
        <v>7</v>
      </c>
      <c r="Z723" s="44" t="s">
        <v>404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 x14ac:dyDescent="0.25">
      <c r="X724" s="40">
        <v>45499</v>
      </c>
      <c r="Y724" s="168">
        <f t="shared" si="137"/>
        <v>7</v>
      </c>
      <c r="Z724" s="44" t="s">
        <v>408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 x14ac:dyDescent="0.25">
      <c r="X725" s="40">
        <v>45500</v>
      </c>
      <c r="Y725" s="168">
        <f t="shared" si="137"/>
        <v>7</v>
      </c>
      <c r="Z725" s="44" t="s">
        <v>411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 x14ac:dyDescent="0.25">
      <c r="X726" s="40">
        <v>45501</v>
      </c>
      <c r="Y726" s="168">
        <f t="shared" si="137"/>
        <v>7</v>
      </c>
      <c r="Z726" s="44" t="s">
        <v>414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 x14ac:dyDescent="0.25">
      <c r="X727" s="40">
        <v>45502</v>
      </c>
      <c r="Y727" s="168">
        <f t="shared" si="137"/>
        <v>7</v>
      </c>
      <c r="Z727" s="44" t="s">
        <v>417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 x14ac:dyDescent="0.25">
      <c r="X728" s="40">
        <v>45503</v>
      </c>
      <c r="Y728" s="168">
        <f t="shared" si="137"/>
        <v>7</v>
      </c>
      <c r="Z728" s="44" t="s">
        <v>419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 x14ac:dyDescent="0.25">
      <c r="X729" s="40">
        <v>45504</v>
      </c>
      <c r="Y729" s="168">
        <f t="shared" si="137"/>
        <v>7</v>
      </c>
      <c r="Z729" s="44" t="s">
        <v>401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 x14ac:dyDescent="0.25">
      <c r="X730" s="40">
        <v>45505</v>
      </c>
      <c r="Y730" s="168">
        <f t="shared" si="137"/>
        <v>8</v>
      </c>
      <c r="Z730" s="44" t="s">
        <v>404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 x14ac:dyDescent="0.25">
      <c r="X731" s="40">
        <v>45506</v>
      </c>
      <c r="Y731" s="168">
        <f t="shared" si="137"/>
        <v>8</v>
      </c>
      <c r="Z731" s="44" t="s">
        <v>408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 x14ac:dyDescent="0.25">
      <c r="X732" s="40">
        <v>45507</v>
      </c>
      <c r="Y732" s="168">
        <f t="shared" si="137"/>
        <v>8</v>
      </c>
      <c r="Z732" s="44" t="s">
        <v>411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 x14ac:dyDescent="0.25">
      <c r="X733" s="40">
        <v>45508</v>
      </c>
      <c r="Y733" s="168">
        <f t="shared" si="137"/>
        <v>8</v>
      </c>
      <c r="Z733" s="44" t="s">
        <v>414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 x14ac:dyDescent="0.25">
      <c r="X734" s="40">
        <v>45509</v>
      </c>
      <c r="Y734" s="168">
        <f t="shared" si="137"/>
        <v>8</v>
      </c>
      <c r="Z734" s="44" t="s">
        <v>417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 x14ac:dyDescent="0.25">
      <c r="X735" s="40">
        <v>45510</v>
      </c>
      <c r="Y735" s="168">
        <f t="shared" si="137"/>
        <v>8</v>
      </c>
      <c r="Z735" s="44" t="s">
        <v>419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 x14ac:dyDescent="0.25">
      <c r="X736" s="40">
        <v>45511</v>
      </c>
      <c r="Y736" s="168">
        <f t="shared" si="137"/>
        <v>8</v>
      </c>
      <c r="Z736" s="44" t="s">
        <v>401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 x14ac:dyDescent="0.25">
      <c r="X737" s="40">
        <v>45512</v>
      </c>
      <c r="Y737" s="168">
        <f t="shared" si="137"/>
        <v>8</v>
      </c>
      <c r="Z737" s="44" t="s">
        <v>404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 x14ac:dyDescent="0.25">
      <c r="X738" s="40">
        <v>45513</v>
      </c>
      <c r="Y738" s="168">
        <f t="shared" si="137"/>
        <v>8</v>
      </c>
      <c r="Z738" s="44" t="s">
        <v>408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 x14ac:dyDescent="0.25">
      <c r="X739" s="40">
        <v>45514</v>
      </c>
      <c r="Y739" s="168">
        <f t="shared" si="137"/>
        <v>8</v>
      </c>
      <c r="Z739" s="44" t="s">
        <v>411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 x14ac:dyDescent="0.25">
      <c r="X740" s="40">
        <v>45515</v>
      </c>
      <c r="Y740" s="168">
        <f t="shared" ref="Y740:Y803" si="140">MONTH(X740)</f>
        <v>8</v>
      </c>
      <c r="Z740" s="44" t="s">
        <v>414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 x14ac:dyDescent="0.25">
      <c r="X741" s="40">
        <v>45516</v>
      </c>
      <c r="Y741" s="168">
        <f t="shared" si="140"/>
        <v>8</v>
      </c>
      <c r="Z741" s="44" t="s">
        <v>417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 x14ac:dyDescent="0.25">
      <c r="X742" s="40">
        <v>45517</v>
      </c>
      <c r="Y742" s="168">
        <f t="shared" si="140"/>
        <v>8</v>
      </c>
      <c r="Z742" s="44" t="s">
        <v>419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 x14ac:dyDescent="0.25">
      <c r="X743" s="40">
        <v>45518</v>
      </c>
      <c r="Y743" s="168">
        <f t="shared" si="140"/>
        <v>8</v>
      </c>
      <c r="Z743" s="44" t="s">
        <v>401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 x14ac:dyDescent="0.25">
      <c r="X744" s="40">
        <v>45519</v>
      </c>
      <c r="Y744" s="168">
        <f t="shared" si="140"/>
        <v>8</v>
      </c>
      <c r="Z744" s="44" t="s">
        <v>404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 x14ac:dyDescent="0.25">
      <c r="X745" s="40">
        <v>45520</v>
      </c>
      <c r="Y745" s="168">
        <f t="shared" si="140"/>
        <v>8</v>
      </c>
      <c r="Z745" s="44" t="s">
        <v>408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 x14ac:dyDescent="0.25">
      <c r="X746" s="40">
        <v>45521</v>
      </c>
      <c r="Y746" s="168">
        <f t="shared" si="140"/>
        <v>8</v>
      </c>
      <c r="Z746" s="44" t="s">
        <v>411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 x14ac:dyDescent="0.25">
      <c r="X747" s="40">
        <v>45522</v>
      </c>
      <c r="Y747" s="168">
        <f t="shared" si="140"/>
        <v>8</v>
      </c>
      <c r="Z747" s="44" t="s">
        <v>414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 x14ac:dyDescent="0.25">
      <c r="X748" s="40">
        <v>45523</v>
      </c>
      <c r="Y748" s="168">
        <f t="shared" si="140"/>
        <v>8</v>
      </c>
      <c r="Z748" s="44" t="s">
        <v>417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 x14ac:dyDescent="0.25">
      <c r="X749" s="40">
        <v>45524</v>
      </c>
      <c r="Y749" s="168">
        <f t="shared" si="140"/>
        <v>8</v>
      </c>
      <c r="Z749" s="44" t="s">
        <v>419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 x14ac:dyDescent="0.25">
      <c r="X750" s="40">
        <v>45525</v>
      </c>
      <c r="Y750" s="168">
        <f t="shared" si="140"/>
        <v>8</v>
      </c>
      <c r="Z750" s="44" t="s">
        <v>401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 x14ac:dyDescent="0.25">
      <c r="X751" s="40">
        <v>45526</v>
      </c>
      <c r="Y751" s="168">
        <f t="shared" si="140"/>
        <v>8</v>
      </c>
      <c r="Z751" s="44" t="s">
        <v>404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 x14ac:dyDescent="0.25">
      <c r="X752" s="40">
        <v>45527</v>
      </c>
      <c r="Y752" s="168">
        <f t="shared" si="140"/>
        <v>8</v>
      </c>
      <c r="Z752" s="44" t="s">
        <v>408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 x14ac:dyDescent="0.25">
      <c r="X753" s="40">
        <v>45528</v>
      </c>
      <c r="Y753" s="168">
        <f t="shared" si="140"/>
        <v>8</v>
      </c>
      <c r="Z753" s="44" t="s">
        <v>411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 x14ac:dyDescent="0.25">
      <c r="X754" s="40">
        <v>45529</v>
      </c>
      <c r="Y754" s="168">
        <f t="shared" si="140"/>
        <v>8</v>
      </c>
      <c r="Z754" s="44" t="s">
        <v>414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 x14ac:dyDescent="0.25">
      <c r="X755" s="40">
        <v>45530</v>
      </c>
      <c r="Y755" s="168">
        <f t="shared" si="140"/>
        <v>8</v>
      </c>
      <c r="Z755" s="44" t="s">
        <v>417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 x14ac:dyDescent="0.25">
      <c r="X756" s="40">
        <v>45531</v>
      </c>
      <c r="Y756" s="168">
        <f t="shared" si="140"/>
        <v>8</v>
      </c>
      <c r="Z756" s="44" t="s">
        <v>419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 x14ac:dyDescent="0.25">
      <c r="X757" s="40">
        <v>45532</v>
      </c>
      <c r="Y757" s="168">
        <f t="shared" si="140"/>
        <v>8</v>
      </c>
      <c r="Z757" s="44" t="s">
        <v>401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 x14ac:dyDescent="0.25">
      <c r="X758" s="40">
        <v>45533</v>
      </c>
      <c r="Y758" s="168">
        <f t="shared" si="140"/>
        <v>8</v>
      </c>
      <c r="Z758" s="44" t="s">
        <v>404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 x14ac:dyDescent="0.25">
      <c r="X759" s="40">
        <v>45534</v>
      </c>
      <c r="Y759" s="168">
        <f t="shared" si="140"/>
        <v>8</v>
      </c>
      <c r="Z759" s="44" t="s">
        <v>408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 x14ac:dyDescent="0.25">
      <c r="X760" s="40">
        <v>45535</v>
      </c>
      <c r="Y760" s="168">
        <f t="shared" si="140"/>
        <v>8</v>
      </c>
      <c r="Z760" s="44" t="s">
        <v>411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 x14ac:dyDescent="0.25">
      <c r="X761" s="40">
        <v>45536</v>
      </c>
      <c r="Y761" s="168">
        <f t="shared" si="140"/>
        <v>9</v>
      </c>
      <c r="Z761" s="44" t="s">
        <v>414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 x14ac:dyDescent="0.25">
      <c r="X762" s="40">
        <v>45537</v>
      </c>
      <c r="Y762" s="168">
        <f t="shared" si="140"/>
        <v>9</v>
      </c>
      <c r="Z762" s="44" t="s">
        <v>417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 x14ac:dyDescent="0.25">
      <c r="X763" s="40">
        <v>45538</v>
      </c>
      <c r="Y763" s="168">
        <f t="shared" si="140"/>
        <v>9</v>
      </c>
      <c r="Z763" s="44" t="s">
        <v>419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 x14ac:dyDescent="0.25">
      <c r="X764" s="40">
        <v>45539</v>
      </c>
      <c r="Y764" s="168">
        <f t="shared" si="140"/>
        <v>9</v>
      </c>
      <c r="Z764" s="44" t="s">
        <v>401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 x14ac:dyDescent="0.25">
      <c r="X765" s="40">
        <v>45540</v>
      </c>
      <c r="Y765" s="168">
        <f t="shared" si="140"/>
        <v>9</v>
      </c>
      <c r="Z765" s="44" t="s">
        <v>404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 x14ac:dyDescent="0.25">
      <c r="X766" s="40">
        <v>45541</v>
      </c>
      <c r="Y766" s="168">
        <f t="shared" si="140"/>
        <v>9</v>
      </c>
      <c r="Z766" s="44" t="s">
        <v>408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 x14ac:dyDescent="0.25">
      <c r="X767" s="40">
        <v>45542</v>
      </c>
      <c r="Y767" s="168">
        <f t="shared" si="140"/>
        <v>9</v>
      </c>
      <c r="Z767" s="44" t="s">
        <v>411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 x14ac:dyDescent="0.25">
      <c r="X768" s="40">
        <v>45543</v>
      </c>
      <c r="Y768" s="168">
        <f t="shared" si="140"/>
        <v>9</v>
      </c>
      <c r="Z768" s="44" t="s">
        <v>414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 x14ac:dyDescent="0.25">
      <c r="X769" s="40">
        <v>45544</v>
      </c>
      <c r="Y769" s="168">
        <f t="shared" si="140"/>
        <v>9</v>
      </c>
      <c r="Z769" s="44" t="s">
        <v>417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 x14ac:dyDescent="0.25">
      <c r="X770" s="40">
        <v>45545</v>
      </c>
      <c r="Y770" s="168">
        <f t="shared" si="140"/>
        <v>9</v>
      </c>
      <c r="Z770" s="44" t="s">
        <v>419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 x14ac:dyDescent="0.25">
      <c r="X771" s="40">
        <v>45546</v>
      </c>
      <c r="Y771" s="168">
        <f t="shared" si="140"/>
        <v>9</v>
      </c>
      <c r="Z771" s="44" t="s">
        <v>401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 x14ac:dyDescent="0.25">
      <c r="X772" s="40">
        <v>45547</v>
      </c>
      <c r="Y772" s="168">
        <f t="shared" si="140"/>
        <v>9</v>
      </c>
      <c r="Z772" s="44" t="s">
        <v>404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 x14ac:dyDescent="0.25">
      <c r="X773" s="40">
        <v>45548</v>
      </c>
      <c r="Y773" s="168">
        <f t="shared" si="140"/>
        <v>9</v>
      </c>
      <c r="Z773" s="44" t="s">
        <v>408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 x14ac:dyDescent="0.25">
      <c r="X774" s="40">
        <v>45549</v>
      </c>
      <c r="Y774" s="168">
        <f t="shared" si="140"/>
        <v>9</v>
      </c>
      <c r="Z774" s="44" t="s">
        <v>411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 x14ac:dyDescent="0.25">
      <c r="X775" s="40">
        <v>45550</v>
      </c>
      <c r="Y775" s="168">
        <f t="shared" si="140"/>
        <v>9</v>
      </c>
      <c r="Z775" s="44" t="s">
        <v>414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 x14ac:dyDescent="0.25">
      <c r="X776" s="40">
        <v>45551</v>
      </c>
      <c r="Y776" s="168">
        <f t="shared" si="140"/>
        <v>9</v>
      </c>
      <c r="Z776" s="44" t="s">
        <v>417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 x14ac:dyDescent="0.25">
      <c r="X777" s="40">
        <v>45552</v>
      </c>
      <c r="Y777" s="168">
        <f t="shared" si="140"/>
        <v>9</v>
      </c>
      <c r="Z777" s="44" t="s">
        <v>419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 x14ac:dyDescent="0.25">
      <c r="X778" s="40">
        <v>45553</v>
      </c>
      <c r="Y778" s="168">
        <f t="shared" si="140"/>
        <v>9</v>
      </c>
      <c r="Z778" s="44" t="s">
        <v>401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 x14ac:dyDescent="0.25">
      <c r="X779" s="40">
        <v>45554</v>
      </c>
      <c r="Y779" s="168">
        <f t="shared" si="140"/>
        <v>9</v>
      </c>
      <c r="Z779" s="44" t="s">
        <v>404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 x14ac:dyDescent="0.25">
      <c r="X780" s="40">
        <v>45555</v>
      </c>
      <c r="Y780" s="168">
        <f t="shared" si="140"/>
        <v>9</v>
      </c>
      <c r="Z780" s="44" t="s">
        <v>408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 x14ac:dyDescent="0.25">
      <c r="X781" s="40">
        <v>45556</v>
      </c>
      <c r="Y781" s="168">
        <f t="shared" si="140"/>
        <v>9</v>
      </c>
      <c r="Z781" s="44" t="s">
        <v>411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 x14ac:dyDescent="0.25">
      <c r="X782" s="40">
        <v>45557</v>
      </c>
      <c r="Y782" s="168">
        <f t="shared" si="140"/>
        <v>9</v>
      </c>
      <c r="Z782" s="44" t="s">
        <v>414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 x14ac:dyDescent="0.25">
      <c r="X783" s="40">
        <v>45558</v>
      </c>
      <c r="Y783" s="168">
        <f t="shared" si="140"/>
        <v>9</v>
      </c>
      <c r="Z783" s="44" t="s">
        <v>417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 x14ac:dyDescent="0.25">
      <c r="X784" s="40">
        <v>45559</v>
      </c>
      <c r="Y784" s="168">
        <f t="shared" si="140"/>
        <v>9</v>
      </c>
      <c r="Z784" s="44" t="s">
        <v>419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 x14ac:dyDescent="0.25">
      <c r="X785" s="40">
        <v>45560</v>
      </c>
      <c r="Y785" s="168">
        <f t="shared" si="140"/>
        <v>9</v>
      </c>
      <c r="Z785" s="44" t="s">
        <v>401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 x14ac:dyDescent="0.25">
      <c r="X786" s="40">
        <v>45561</v>
      </c>
      <c r="Y786" s="168">
        <f t="shared" si="140"/>
        <v>9</v>
      </c>
      <c r="Z786" s="44" t="s">
        <v>404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 x14ac:dyDescent="0.25">
      <c r="X787" s="40">
        <v>45562</v>
      </c>
      <c r="Y787" s="168">
        <f t="shared" si="140"/>
        <v>9</v>
      </c>
      <c r="Z787" s="44" t="s">
        <v>408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 x14ac:dyDescent="0.25">
      <c r="X788" s="40">
        <v>45563</v>
      </c>
      <c r="Y788" s="168">
        <f t="shared" si="140"/>
        <v>9</v>
      </c>
      <c r="Z788" s="44" t="s">
        <v>411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 x14ac:dyDescent="0.25">
      <c r="X789" s="40">
        <v>45564</v>
      </c>
      <c r="Y789" s="168">
        <f t="shared" si="140"/>
        <v>9</v>
      </c>
      <c r="Z789" s="44" t="s">
        <v>414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 x14ac:dyDescent="0.25">
      <c r="X790" s="40">
        <v>45565</v>
      </c>
      <c r="Y790" s="168">
        <f t="shared" si="140"/>
        <v>9</v>
      </c>
      <c r="Z790" s="44" t="s">
        <v>417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 x14ac:dyDescent="0.25">
      <c r="X791" s="40">
        <v>45566</v>
      </c>
      <c r="Y791" s="168">
        <f t="shared" si="140"/>
        <v>10</v>
      </c>
      <c r="Z791" s="44" t="s">
        <v>419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 x14ac:dyDescent="0.25">
      <c r="X792" s="40">
        <v>45567</v>
      </c>
      <c r="Y792" s="168">
        <f t="shared" si="140"/>
        <v>10</v>
      </c>
      <c r="Z792" s="44" t="s">
        <v>401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 x14ac:dyDescent="0.25">
      <c r="X793" s="40">
        <v>45568</v>
      </c>
      <c r="Y793" s="168">
        <f t="shared" si="140"/>
        <v>10</v>
      </c>
      <c r="Z793" s="44" t="s">
        <v>404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 x14ac:dyDescent="0.25">
      <c r="X794" s="40">
        <v>45569</v>
      </c>
      <c r="Y794" s="168">
        <f t="shared" si="140"/>
        <v>10</v>
      </c>
      <c r="Z794" s="44" t="s">
        <v>408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 x14ac:dyDescent="0.25">
      <c r="X795" s="40">
        <v>45570</v>
      </c>
      <c r="Y795" s="168">
        <f t="shared" si="140"/>
        <v>10</v>
      </c>
      <c r="Z795" s="44" t="s">
        <v>411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 x14ac:dyDescent="0.25">
      <c r="X796" s="40">
        <v>45571</v>
      </c>
      <c r="Y796" s="168">
        <f t="shared" si="140"/>
        <v>10</v>
      </c>
      <c r="Z796" s="44" t="s">
        <v>414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 x14ac:dyDescent="0.25">
      <c r="X797" s="40">
        <v>45572</v>
      </c>
      <c r="Y797" s="168">
        <f t="shared" si="140"/>
        <v>10</v>
      </c>
      <c r="Z797" s="44" t="s">
        <v>417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 x14ac:dyDescent="0.25">
      <c r="X798" s="40">
        <v>45573</v>
      </c>
      <c r="Y798" s="168">
        <f t="shared" si="140"/>
        <v>10</v>
      </c>
      <c r="Z798" s="44" t="s">
        <v>419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 x14ac:dyDescent="0.25">
      <c r="X799" s="40">
        <v>45574</v>
      </c>
      <c r="Y799" s="168">
        <f t="shared" si="140"/>
        <v>10</v>
      </c>
      <c r="Z799" s="44" t="s">
        <v>401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 x14ac:dyDescent="0.25">
      <c r="X800" s="40">
        <v>45575</v>
      </c>
      <c r="Y800" s="168">
        <f t="shared" si="140"/>
        <v>10</v>
      </c>
      <c r="Z800" s="44" t="s">
        <v>404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 x14ac:dyDescent="0.25">
      <c r="X801" s="40">
        <v>45576</v>
      </c>
      <c r="Y801" s="168">
        <f t="shared" si="140"/>
        <v>10</v>
      </c>
      <c r="Z801" s="44" t="s">
        <v>408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 x14ac:dyDescent="0.25">
      <c r="X802" s="40">
        <v>45577</v>
      </c>
      <c r="Y802" s="168">
        <f t="shared" si="140"/>
        <v>10</v>
      </c>
      <c r="Z802" s="44" t="s">
        <v>411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 x14ac:dyDescent="0.25">
      <c r="X803" s="40">
        <v>45578</v>
      </c>
      <c r="Y803" s="168">
        <f t="shared" si="140"/>
        <v>10</v>
      </c>
      <c r="Z803" s="44" t="s">
        <v>414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 x14ac:dyDescent="0.25">
      <c r="X804" s="40">
        <v>45579</v>
      </c>
      <c r="Y804" s="168">
        <f t="shared" ref="Y804:Y867" si="143">MONTH(X804)</f>
        <v>10</v>
      </c>
      <c r="Z804" s="44" t="s">
        <v>417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 x14ac:dyDescent="0.25">
      <c r="X805" s="40">
        <v>45580</v>
      </c>
      <c r="Y805" s="168">
        <f t="shared" si="143"/>
        <v>10</v>
      </c>
      <c r="Z805" s="44" t="s">
        <v>419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 x14ac:dyDescent="0.25">
      <c r="X806" s="40">
        <v>45581</v>
      </c>
      <c r="Y806" s="168">
        <f t="shared" si="143"/>
        <v>10</v>
      </c>
      <c r="Z806" s="44" t="s">
        <v>401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 x14ac:dyDescent="0.25">
      <c r="X807" s="40">
        <v>45582</v>
      </c>
      <c r="Y807" s="168">
        <f t="shared" si="143"/>
        <v>10</v>
      </c>
      <c r="Z807" s="44" t="s">
        <v>404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 x14ac:dyDescent="0.25">
      <c r="X808" s="40">
        <v>45583</v>
      </c>
      <c r="Y808" s="168">
        <f t="shared" si="143"/>
        <v>10</v>
      </c>
      <c r="Z808" s="44" t="s">
        <v>408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 x14ac:dyDescent="0.25">
      <c r="X809" s="40">
        <v>45584</v>
      </c>
      <c r="Y809" s="168">
        <f t="shared" si="143"/>
        <v>10</v>
      </c>
      <c r="Z809" s="44" t="s">
        <v>411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 x14ac:dyDescent="0.25">
      <c r="X810" s="40">
        <v>45585</v>
      </c>
      <c r="Y810" s="168">
        <f t="shared" si="143"/>
        <v>10</v>
      </c>
      <c r="Z810" s="44" t="s">
        <v>414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 x14ac:dyDescent="0.25">
      <c r="X811" s="40">
        <v>45586</v>
      </c>
      <c r="Y811" s="168">
        <f t="shared" si="143"/>
        <v>10</v>
      </c>
      <c r="Z811" s="44" t="s">
        <v>417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 x14ac:dyDescent="0.25">
      <c r="X812" s="40">
        <v>45587</v>
      </c>
      <c r="Y812" s="168">
        <f t="shared" si="143"/>
        <v>10</v>
      </c>
      <c r="Z812" s="44" t="s">
        <v>419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 x14ac:dyDescent="0.25">
      <c r="X813" s="40">
        <v>45588</v>
      </c>
      <c r="Y813" s="168">
        <f t="shared" si="143"/>
        <v>10</v>
      </c>
      <c r="Z813" s="44" t="s">
        <v>401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 x14ac:dyDescent="0.25">
      <c r="X814" s="40">
        <v>45589</v>
      </c>
      <c r="Y814" s="168">
        <f t="shared" si="143"/>
        <v>10</v>
      </c>
      <c r="Z814" s="44" t="s">
        <v>404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 x14ac:dyDescent="0.25">
      <c r="X815" s="40">
        <v>45590</v>
      </c>
      <c r="Y815" s="168">
        <f t="shared" si="143"/>
        <v>10</v>
      </c>
      <c r="Z815" s="44" t="s">
        <v>408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 x14ac:dyDescent="0.25">
      <c r="X816" s="40">
        <v>45591</v>
      </c>
      <c r="Y816" s="168">
        <f t="shared" si="143"/>
        <v>10</v>
      </c>
      <c r="Z816" s="44" t="s">
        <v>411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 x14ac:dyDescent="0.25">
      <c r="X817" s="40">
        <v>45592</v>
      </c>
      <c r="Y817" s="168">
        <f t="shared" si="143"/>
        <v>10</v>
      </c>
      <c r="Z817" s="44" t="s">
        <v>414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 x14ac:dyDescent="0.25">
      <c r="X818" s="40">
        <v>45593</v>
      </c>
      <c r="Y818" s="168">
        <f t="shared" si="143"/>
        <v>10</v>
      </c>
      <c r="Z818" s="44" t="s">
        <v>417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 x14ac:dyDescent="0.25">
      <c r="X819" s="40">
        <v>45594</v>
      </c>
      <c r="Y819" s="168">
        <f t="shared" si="143"/>
        <v>10</v>
      </c>
      <c r="Z819" s="44" t="s">
        <v>419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 x14ac:dyDescent="0.25">
      <c r="X820" s="40">
        <v>45595</v>
      </c>
      <c r="Y820" s="168">
        <f t="shared" si="143"/>
        <v>10</v>
      </c>
      <c r="Z820" s="44" t="s">
        <v>401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 x14ac:dyDescent="0.25">
      <c r="X821" s="40">
        <v>45596</v>
      </c>
      <c r="Y821" s="168">
        <f t="shared" si="143"/>
        <v>10</v>
      </c>
      <c r="Z821" s="44" t="s">
        <v>404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 x14ac:dyDescent="0.25">
      <c r="X822" s="40">
        <v>45597</v>
      </c>
      <c r="Y822" s="168">
        <f t="shared" si="143"/>
        <v>11</v>
      </c>
      <c r="Z822" s="44" t="s">
        <v>408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 x14ac:dyDescent="0.25">
      <c r="X823" s="40">
        <v>45598</v>
      </c>
      <c r="Y823" s="168">
        <f t="shared" si="143"/>
        <v>11</v>
      </c>
      <c r="Z823" s="44" t="s">
        <v>411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 x14ac:dyDescent="0.25">
      <c r="X824" s="40">
        <v>45599</v>
      </c>
      <c r="Y824" s="168">
        <f t="shared" si="143"/>
        <v>11</v>
      </c>
      <c r="Z824" s="44" t="s">
        <v>414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 x14ac:dyDescent="0.25">
      <c r="X825" s="40">
        <v>45600</v>
      </c>
      <c r="Y825" s="168">
        <f t="shared" si="143"/>
        <v>11</v>
      </c>
      <c r="Z825" s="44" t="s">
        <v>417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 x14ac:dyDescent="0.25">
      <c r="X826" s="40">
        <v>45601</v>
      </c>
      <c r="Y826" s="168">
        <f t="shared" si="143"/>
        <v>11</v>
      </c>
      <c r="Z826" s="44" t="s">
        <v>419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 x14ac:dyDescent="0.25">
      <c r="X827" s="40">
        <v>45602</v>
      </c>
      <c r="Y827" s="168">
        <f t="shared" si="143"/>
        <v>11</v>
      </c>
      <c r="Z827" s="44" t="s">
        <v>401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 x14ac:dyDescent="0.25">
      <c r="X828" s="40">
        <v>45603</v>
      </c>
      <c r="Y828" s="168">
        <f t="shared" si="143"/>
        <v>11</v>
      </c>
      <c r="Z828" s="44" t="s">
        <v>404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 x14ac:dyDescent="0.25">
      <c r="X829" s="40">
        <v>45604</v>
      </c>
      <c r="Y829" s="168">
        <f t="shared" si="143"/>
        <v>11</v>
      </c>
      <c r="Z829" s="44" t="s">
        <v>408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 x14ac:dyDescent="0.25">
      <c r="X830" s="40">
        <v>45605</v>
      </c>
      <c r="Y830" s="168">
        <f t="shared" si="143"/>
        <v>11</v>
      </c>
      <c r="Z830" s="44" t="s">
        <v>411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 x14ac:dyDescent="0.25">
      <c r="X831" s="40">
        <v>45606</v>
      </c>
      <c r="Y831" s="168">
        <f t="shared" si="143"/>
        <v>11</v>
      </c>
      <c r="Z831" s="44" t="s">
        <v>414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 x14ac:dyDescent="0.25">
      <c r="X832" s="40">
        <v>45607</v>
      </c>
      <c r="Y832" s="168">
        <f t="shared" si="143"/>
        <v>11</v>
      </c>
      <c r="Z832" s="44" t="s">
        <v>417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 x14ac:dyDescent="0.25">
      <c r="X833" s="40">
        <v>45608</v>
      </c>
      <c r="Y833" s="168">
        <f t="shared" si="143"/>
        <v>11</v>
      </c>
      <c r="Z833" s="44" t="s">
        <v>419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 x14ac:dyDescent="0.25">
      <c r="X834" s="40">
        <v>45609</v>
      </c>
      <c r="Y834" s="168">
        <f t="shared" si="143"/>
        <v>11</v>
      </c>
      <c r="Z834" s="44" t="s">
        <v>401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 x14ac:dyDescent="0.25">
      <c r="X835" s="40">
        <v>45610</v>
      </c>
      <c r="Y835" s="168">
        <f t="shared" si="143"/>
        <v>11</v>
      </c>
      <c r="Z835" s="44" t="s">
        <v>404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 x14ac:dyDescent="0.25">
      <c r="X836" s="40">
        <v>45611</v>
      </c>
      <c r="Y836" s="168">
        <f t="shared" si="143"/>
        <v>11</v>
      </c>
      <c r="Z836" s="44" t="s">
        <v>408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 x14ac:dyDescent="0.25">
      <c r="X837" s="40">
        <v>45612</v>
      </c>
      <c r="Y837" s="168">
        <f t="shared" si="143"/>
        <v>11</v>
      </c>
      <c r="Z837" s="44" t="s">
        <v>411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 x14ac:dyDescent="0.25">
      <c r="X838" s="40">
        <v>45613</v>
      </c>
      <c r="Y838" s="168">
        <f t="shared" si="143"/>
        <v>11</v>
      </c>
      <c r="Z838" s="44" t="s">
        <v>414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 x14ac:dyDescent="0.25">
      <c r="X839" s="40">
        <v>45614</v>
      </c>
      <c r="Y839" s="168">
        <f t="shared" si="143"/>
        <v>11</v>
      </c>
      <c r="Z839" s="44" t="s">
        <v>417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 x14ac:dyDescent="0.25">
      <c r="X840" s="40">
        <v>45615</v>
      </c>
      <c r="Y840" s="168">
        <f t="shared" si="143"/>
        <v>11</v>
      </c>
      <c r="Z840" s="44" t="s">
        <v>419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 x14ac:dyDescent="0.25">
      <c r="X841" s="40">
        <v>45616</v>
      </c>
      <c r="Y841" s="168">
        <f t="shared" si="143"/>
        <v>11</v>
      </c>
      <c r="Z841" s="44" t="s">
        <v>401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 x14ac:dyDescent="0.25">
      <c r="X842" s="40">
        <v>45617</v>
      </c>
      <c r="Y842" s="168">
        <f t="shared" si="143"/>
        <v>11</v>
      </c>
      <c r="Z842" s="44" t="s">
        <v>404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 x14ac:dyDescent="0.25">
      <c r="X843" s="40">
        <v>45618</v>
      </c>
      <c r="Y843" s="168">
        <f t="shared" si="143"/>
        <v>11</v>
      </c>
      <c r="Z843" s="44" t="s">
        <v>408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 x14ac:dyDescent="0.25">
      <c r="X844" s="40">
        <v>45619</v>
      </c>
      <c r="Y844" s="168">
        <f t="shared" si="143"/>
        <v>11</v>
      </c>
      <c r="Z844" s="44" t="s">
        <v>411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 x14ac:dyDescent="0.25">
      <c r="X845" s="40">
        <v>45620</v>
      </c>
      <c r="Y845" s="168">
        <f t="shared" si="143"/>
        <v>11</v>
      </c>
      <c r="Z845" s="44" t="s">
        <v>414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 x14ac:dyDescent="0.25">
      <c r="X846" s="40">
        <v>45621</v>
      </c>
      <c r="Y846" s="168">
        <f t="shared" si="143"/>
        <v>11</v>
      </c>
      <c r="Z846" s="44" t="s">
        <v>417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 x14ac:dyDescent="0.25">
      <c r="X847" s="40">
        <v>45622</v>
      </c>
      <c r="Y847" s="168">
        <f t="shared" si="143"/>
        <v>11</v>
      </c>
      <c r="Z847" s="44" t="s">
        <v>419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 x14ac:dyDescent="0.25">
      <c r="X848" s="40">
        <v>45623</v>
      </c>
      <c r="Y848" s="168">
        <f t="shared" si="143"/>
        <v>11</v>
      </c>
      <c r="Z848" s="44" t="s">
        <v>401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 x14ac:dyDescent="0.25">
      <c r="X849" s="40">
        <v>45624</v>
      </c>
      <c r="Y849" s="168">
        <f t="shared" si="143"/>
        <v>11</v>
      </c>
      <c r="Z849" s="44" t="s">
        <v>404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 x14ac:dyDescent="0.25">
      <c r="X850" s="40">
        <v>45625</v>
      </c>
      <c r="Y850" s="168">
        <f t="shared" si="143"/>
        <v>11</v>
      </c>
      <c r="Z850" s="44" t="s">
        <v>408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 x14ac:dyDescent="0.25">
      <c r="X851" s="40">
        <v>45626</v>
      </c>
      <c r="Y851" s="168">
        <f t="shared" si="143"/>
        <v>11</v>
      </c>
      <c r="Z851" s="44" t="s">
        <v>411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 x14ac:dyDescent="0.25">
      <c r="X852" s="40">
        <v>45627</v>
      </c>
      <c r="Y852" s="168">
        <f t="shared" si="143"/>
        <v>12</v>
      </c>
      <c r="Z852" s="44" t="s">
        <v>414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 x14ac:dyDescent="0.25">
      <c r="X853" s="40">
        <v>45628</v>
      </c>
      <c r="Y853" s="168">
        <f t="shared" si="143"/>
        <v>12</v>
      </c>
      <c r="Z853" s="44" t="s">
        <v>417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 x14ac:dyDescent="0.25">
      <c r="X854" s="40">
        <v>45629</v>
      </c>
      <c r="Y854" s="168">
        <f t="shared" si="143"/>
        <v>12</v>
      </c>
      <c r="Z854" s="44" t="s">
        <v>419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 x14ac:dyDescent="0.25">
      <c r="X855" s="40">
        <v>45630</v>
      </c>
      <c r="Y855" s="168">
        <f t="shared" si="143"/>
        <v>12</v>
      </c>
      <c r="Z855" s="44" t="s">
        <v>401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 x14ac:dyDescent="0.25">
      <c r="X856" s="40">
        <v>45631</v>
      </c>
      <c r="Y856" s="168">
        <f t="shared" si="143"/>
        <v>12</v>
      </c>
      <c r="Z856" s="44" t="s">
        <v>404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 x14ac:dyDescent="0.25">
      <c r="X857" s="40">
        <v>45632</v>
      </c>
      <c r="Y857" s="168">
        <f t="shared" si="143"/>
        <v>12</v>
      </c>
      <c r="Z857" s="44" t="s">
        <v>408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 x14ac:dyDescent="0.25">
      <c r="X858" s="40">
        <v>45633</v>
      </c>
      <c r="Y858" s="168">
        <f t="shared" si="143"/>
        <v>12</v>
      </c>
      <c r="Z858" s="44" t="s">
        <v>411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 x14ac:dyDescent="0.25">
      <c r="X859" s="40">
        <v>45634</v>
      </c>
      <c r="Y859" s="168">
        <f t="shared" si="143"/>
        <v>12</v>
      </c>
      <c r="Z859" s="44" t="s">
        <v>414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 x14ac:dyDescent="0.25">
      <c r="X860" s="40">
        <v>45635</v>
      </c>
      <c r="Y860" s="168">
        <f t="shared" si="143"/>
        <v>12</v>
      </c>
      <c r="Z860" s="44" t="s">
        <v>417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 x14ac:dyDescent="0.25">
      <c r="X861" s="40">
        <v>45636</v>
      </c>
      <c r="Y861" s="168">
        <f t="shared" si="143"/>
        <v>12</v>
      </c>
      <c r="Z861" s="44" t="s">
        <v>419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 x14ac:dyDescent="0.25">
      <c r="X862" s="40">
        <v>45637</v>
      </c>
      <c r="Y862" s="168">
        <f t="shared" si="143"/>
        <v>12</v>
      </c>
      <c r="Z862" s="44" t="s">
        <v>401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 x14ac:dyDescent="0.25">
      <c r="X863" s="40">
        <v>45638</v>
      </c>
      <c r="Y863" s="168">
        <f t="shared" si="143"/>
        <v>12</v>
      </c>
      <c r="Z863" s="44" t="s">
        <v>404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 x14ac:dyDescent="0.25">
      <c r="X864" s="40">
        <v>45639</v>
      </c>
      <c r="Y864" s="168">
        <f t="shared" si="143"/>
        <v>12</v>
      </c>
      <c r="Z864" s="44" t="s">
        <v>408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 x14ac:dyDescent="0.25">
      <c r="X865" s="40">
        <v>45640</v>
      </c>
      <c r="Y865" s="168">
        <f t="shared" si="143"/>
        <v>12</v>
      </c>
      <c r="Z865" s="44" t="s">
        <v>411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 x14ac:dyDescent="0.25">
      <c r="X866" s="40">
        <v>45641</v>
      </c>
      <c r="Y866" s="168">
        <f t="shared" si="143"/>
        <v>12</v>
      </c>
      <c r="Z866" s="44" t="s">
        <v>414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 x14ac:dyDescent="0.25">
      <c r="X867" s="40">
        <v>45642</v>
      </c>
      <c r="Y867" s="168">
        <f t="shared" si="143"/>
        <v>12</v>
      </c>
      <c r="Z867" s="44" t="s">
        <v>417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 x14ac:dyDescent="0.25">
      <c r="X868" s="40">
        <v>45643</v>
      </c>
      <c r="Y868" s="168">
        <f t="shared" ref="Y868:Y882" si="146">MONTH(X868)</f>
        <v>12</v>
      </c>
      <c r="Z868" s="44" t="s">
        <v>419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 x14ac:dyDescent="0.25">
      <c r="X869" s="40">
        <v>45644</v>
      </c>
      <c r="Y869" s="168">
        <f t="shared" si="146"/>
        <v>12</v>
      </c>
      <c r="Z869" s="44" t="s">
        <v>401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 x14ac:dyDescent="0.25">
      <c r="X870" s="40">
        <v>45645</v>
      </c>
      <c r="Y870" s="168">
        <f t="shared" si="146"/>
        <v>12</v>
      </c>
      <c r="Z870" s="44" t="s">
        <v>404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 x14ac:dyDescent="0.25">
      <c r="X871" s="40">
        <v>45646</v>
      </c>
      <c r="Y871" s="168">
        <f t="shared" si="146"/>
        <v>12</v>
      </c>
      <c r="Z871" s="44" t="s">
        <v>408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 x14ac:dyDescent="0.25">
      <c r="X872" s="40">
        <v>45647</v>
      </c>
      <c r="Y872" s="168">
        <f t="shared" si="146"/>
        <v>12</v>
      </c>
      <c r="Z872" s="44" t="s">
        <v>411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 x14ac:dyDescent="0.25">
      <c r="X873" s="40">
        <v>45648</v>
      </c>
      <c r="Y873" s="168">
        <f t="shared" si="146"/>
        <v>12</v>
      </c>
      <c r="Z873" s="44" t="s">
        <v>414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 x14ac:dyDescent="0.25">
      <c r="X874" s="40">
        <v>45649</v>
      </c>
      <c r="Y874" s="168">
        <f t="shared" si="146"/>
        <v>12</v>
      </c>
      <c r="Z874" s="44" t="s">
        <v>417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 x14ac:dyDescent="0.25">
      <c r="X875" s="40">
        <v>45650</v>
      </c>
      <c r="Y875" s="168">
        <f t="shared" si="146"/>
        <v>12</v>
      </c>
      <c r="Z875" s="44" t="s">
        <v>419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 x14ac:dyDescent="0.25">
      <c r="X876" s="40">
        <v>45651</v>
      </c>
      <c r="Y876" s="168">
        <f t="shared" si="146"/>
        <v>12</v>
      </c>
      <c r="Z876" s="44" t="s">
        <v>401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 x14ac:dyDescent="0.25">
      <c r="X877" s="40">
        <v>45652</v>
      </c>
      <c r="Y877" s="168">
        <f t="shared" si="146"/>
        <v>12</v>
      </c>
      <c r="Z877" s="44" t="s">
        <v>404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 x14ac:dyDescent="0.25">
      <c r="X878" s="40">
        <v>45653</v>
      </c>
      <c r="Y878" s="168">
        <f t="shared" si="146"/>
        <v>12</v>
      </c>
      <c r="Z878" s="44" t="s">
        <v>408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 x14ac:dyDescent="0.25">
      <c r="X879" s="40">
        <v>45654</v>
      </c>
      <c r="Y879" s="168">
        <f t="shared" si="146"/>
        <v>12</v>
      </c>
      <c r="Z879" s="44" t="s">
        <v>411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 x14ac:dyDescent="0.25">
      <c r="X880" s="40">
        <v>45655</v>
      </c>
      <c r="Y880" s="168">
        <f t="shared" si="146"/>
        <v>12</v>
      </c>
      <c r="Z880" s="44" t="s">
        <v>414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 x14ac:dyDescent="0.25">
      <c r="X881" s="40">
        <v>45656</v>
      </c>
      <c r="Y881" s="168">
        <f t="shared" si="146"/>
        <v>12</v>
      </c>
      <c r="Z881" s="44" t="s">
        <v>417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 x14ac:dyDescent="0.25">
      <c r="X882" s="40">
        <v>45657</v>
      </c>
      <c r="Y882" s="168">
        <f t="shared" si="146"/>
        <v>12</v>
      </c>
      <c r="Z882" s="44" t="s">
        <v>419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 x14ac:dyDescent="0.2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 x14ac:dyDescent="0.25">
      <c r="B2" s="4"/>
      <c r="D2" s="1">
        <f ca="1">TODAY()</f>
        <v>46104</v>
      </c>
      <c r="F2" s="627" t="s">
        <v>740</v>
      </c>
    </row>
    <row r="3" spans="1:6" x14ac:dyDescent="0.25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 x14ac:dyDescent="0.25">
      <c r="A4">
        <v>1</v>
      </c>
      <c r="B4" s="4">
        <v>2</v>
      </c>
      <c r="C4">
        <v>2022</v>
      </c>
      <c r="D4" s="1">
        <f t="shared" si="0"/>
        <v>44593</v>
      </c>
    </row>
    <row r="5" spans="1:6" x14ac:dyDescent="0.25">
      <c r="A5">
        <v>1</v>
      </c>
      <c r="B5" s="4">
        <v>3</v>
      </c>
      <c r="C5">
        <v>2022</v>
      </c>
      <c r="D5" s="1">
        <f t="shared" si="0"/>
        <v>44621</v>
      </c>
    </row>
    <row r="6" spans="1:6" x14ac:dyDescent="0.25">
      <c r="A6">
        <v>1</v>
      </c>
      <c r="B6" s="4">
        <v>4</v>
      </c>
      <c r="C6">
        <v>2022</v>
      </c>
      <c r="D6" s="1">
        <f t="shared" si="0"/>
        <v>44652</v>
      </c>
    </row>
    <row r="7" spans="1:6" x14ac:dyDescent="0.25">
      <c r="A7">
        <v>1</v>
      </c>
      <c r="B7" s="4">
        <v>5</v>
      </c>
      <c r="C7">
        <v>2022</v>
      </c>
      <c r="D7" s="1">
        <f t="shared" si="0"/>
        <v>44682</v>
      </c>
    </row>
    <row r="8" spans="1:6" x14ac:dyDescent="0.25">
      <c r="A8">
        <v>1</v>
      </c>
      <c r="B8" s="4">
        <v>6</v>
      </c>
      <c r="C8">
        <v>2022</v>
      </c>
      <c r="D8" s="1">
        <f t="shared" si="0"/>
        <v>44713</v>
      </c>
    </row>
    <row r="9" spans="1:6" x14ac:dyDescent="0.25">
      <c r="A9">
        <v>1</v>
      </c>
      <c r="B9" s="4">
        <v>7</v>
      </c>
      <c r="C9">
        <v>2022</v>
      </c>
      <c r="D9" s="1">
        <f t="shared" si="0"/>
        <v>44743</v>
      </c>
    </row>
    <row r="10" spans="1:6" x14ac:dyDescent="0.25">
      <c r="A10">
        <v>1</v>
      </c>
      <c r="B10" s="4">
        <v>8</v>
      </c>
      <c r="C10">
        <v>2022</v>
      </c>
      <c r="D10" s="1">
        <f t="shared" si="0"/>
        <v>44774</v>
      </c>
    </row>
    <row r="11" spans="1:6" x14ac:dyDescent="0.25">
      <c r="A11">
        <v>1</v>
      </c>
      <c r="B11" s="4">
        <v>9</v>
      </c>
      <c r="C11">
        <v>2022</v>
      </c>
      <c r="D11" s="1">
        <f t="shared" si="0"/>
        <v>44805</v>
      </c>
    </row>
    <row r="12" spans="1:6" x14ac:dyDescent="0.25">
      <c r="A12">
        <v>1</v>
      </c>
      <c r="B12" s="4">
        <v>10</v>
      </c>
      <c r="C12">
        <v>2022</v>
      </c>
      <c r="D12" s="1">
        <f t="shared" si="0"/>
        <v>44835</v>
      </c>
    </row>
    <row r="13" spans="1:6" x14ac:dyDescent="0.25">
      <c r="A13">
        <v>1</v>
      </c>
      <c r="B13" s="4">
        <v>11</v>
      </c>
      <c r="C13">
        <v>2022</v>
      </c>
      <c r="D13" s="1">
        <f t="shared" si="0"/>
        <v>44866</v>
      </c>
    </row>
    <row r="14" spans="1:6" x14ac:dyDescent="0.25">
      <c r="A14">
        <v>1</v>
      </c>
      <c r="B14" s="4">
        <v>12</v>
      </c>
      <c r="C14">
        <v>2022</v>
      </c>
      <c r="D14" s="1">
        <f t="shared" si="0"/>
        <v>44896</v>
      </c>
    </row>
    <row r="15" spans="1:6" x14ac:dyDescent="0.25">
      <c r="A15">
        <v>1</v>
      </c>
      <c r="B15" s="4">
        <v>1</v>
      </c>
      <c r="C15">
        <v>2023</v>
      </c>
      <c r="D15" s="1">
        <f>DATE(C15,B15,1)</f>
        <v>44927</v>
      </c>
    </row>
    <row r="16" spans="1:6" x14ac:dyDescent="0.25">
      <c r="A16">
        <v>1</v>
      </c>
      <c r="B16" s="4">
        <v>2</v>
      </c>
      <c r="C16">
        <v>2023</v>
      </c>
      <c r="D16" s="1">
        <f t="shared" si="0"/>
        <v>44958</v>
      </c>
    </row>
    <row r="17" spans="1:4" x14ac:dyDescent="0.25">
      <c r="A17">
        <v>1</v>
      </c>
      <c r="B17" s="4">
        <v>3</v>
      </c>
      <c r="C17">
        <v>2023</v>
      </c>
      <c r="D17" s="1">
        <f t="shared" si="0"/>
        <v>44986</v>
      </c>
    </row>
    <row r="18" spans="1:4" x14ac:dyDescent="0.25">
      <c r="A18">
        <v>1</v>
      </c>
      <c r="B18" s="4">
        <v>4</v>
      </c>
      <c r="C18">
        <v>2023</v>
      </c>
      <c r="D18" s="1">
        <f t="shared" si="0"/>
        <v>45017</v>
      </c>
    </row>
    <row r="19" spans="1:4" x14ac:dyDescent="0.25">
      <c r="A19">
        <v>1</v>
      </c>
      <c r="B19" s="4">
        <v>5</v>
      </c>
      <c r="C19">
        <v>2023</v>
      </c>
      <c r="D19" s="1">
        <f t="shared" si="0"/>
        <v>45047</v>
      </c>
    </row>
    <row r="20" spans="1:4" x14ac:dyDescent="0.25">
      <c r="A20">
        <v>1</v>
      </c>
      <c r="B20" s="4">
        <v>6</v>
      </c>
      <c r="C20">
        <v>2023</v>
      </c>
      <c r="D20" s="1">
        <f t="shared" si="0"/>
        <v>45078</v>
      </c>
    </row>
    <row r="21" spans="1:4" x14ac:dyDescent="0.25">
      <c r="A21">
        <v>1</v>
      </c>
      <c r="B21" s="4">
        <v>7</v>
      </c>
      <c r="C21">
        <v>2023</v>
      </c>
      <c r="D21" s="1">
        <f t="shared" si="0"/>
        <v>45108</v>
      </c>
    </row>
    <row r="22" spans="1:4" x14ac:dyDescent="0.25">
      <c r="A22">
        <v>1</v>
      </c>
      <c r="B22" s="4">
        <v>8</v>
      </c>
      <c r="C22">
        <v>2023</v>
      </c>
      <c r="D22" s="1">
        <f t="shared" si="0"/>
        <v>45139</v>
      </c>
    </row>
    <row r="23" spans="1:4" x14ac:dyDescent="0.25">
      <c r="A23">
        <v>1</v>
      </c>
      <c r="B23" s="4">
        <v>9</v>
      </c>
      <c r="C23">
        <v>2023</v>
      </c>
      <c r="D23" s="1">
        <f t="shared" si="0"/>
        <v>45170</v>
      </c>
    </row>
    <row r="24" spans="1:4" x14ac:dyDescent="0.25">
      <c r="A24">
        <v>1</v>
      </c>
      <c r="B24" s="4">
        <v>10</v>
      </c>
      <c r="C24">
        <v>2023</v>
      </c>
      <c r="D24" s="1">
        <f t="shared" si="0"/>
        <v>45200</v>
      </c>
    </row>
    <row r="25" spans="1:4" x14ac:dyDescent="0.25">
      <c r="A25">
        <v>1</v>
      </c>
      <c r="B25" s="4">
        <v>11</v>
      </c>
      <c r="C25">
        <v>2023</v>
      </c>
      <c r="D25" s="1">
        <f t="shared" si="0"/>
        <v>45231</v>
      </c>
    </row>
    <row r="26" spans="1:4" x14ac:dyDescent="0.25">
      <c r="A26">
        <v>1</v>
      </c>
      <c r="B26" s="4">
        <v>12</v>
      </c>
      <c r="C26">
        <v>2023</v>
      </c>
      <c r="D26" s="1">
        <f t="shared" si="0"/>
        <v>45261</v>
      </c>
    </row>
    <row r="27" spans="1:4" x14ac:dyDescent="0.25">
      <c r="A27">
        <v>1</v>
      </c>
      <c r="B27" s="4">
        <v>1</v>
      </c>
      <c r="C27">
        <v>2024</v>
      </c>
      <c r="D27" s="1">
        <f t="shared" si="0"/>
        <v>45292</v>
      </c>
    </row>
    <row r="28" spans="1:4" x14ac:dyDescent="0.25">
      <c r="A28">
        <v>1</v>
      </c>
      <c r="B28" s="4">
        <v>2</v>
      </c>
      <c r="C28">
        <v>2024</v>
      </c>
      <c r="D28" s="1">
        <f t="shared" si="0"/>
        <v>45323</v>
      </c>
    </row>
    <row r="29" spans="1:4" x14ac:dyDescent="0.25">
      <c r="A29">
        <v>1</v>
      </c>
      <c r="B29" s="4">
        <v>3</v>
      </c>
      <c r="C29">
        <v>2024</v>
      </c>
      <c r="D29" s="1">
        <f t="shared" si="0"/>
        <v>45352</v>
      </c>
    </row>
    <row r="30" spans="1:4" x14ac:dyDescent="0.25">
      <c r="A30">
        <v>1</v>
      </c>
      <c r="B30" s="4">
        <v>4</v>
      </c>
      <c r="C30">
        <v>2024</v>
      </c>
      <c r="D30" s="1">
        <f t="shared" si="0"/>
        <v>45383</v>
      </c>
    </row>
    <row r="31" spans="1:4" x14ac:dyDescent="0.25">
      <c r="A31">
        <v>1</v>
      </c>
      <c r="B31" s="4">
        <v>5</v>
      </c>
      <c r="C31">
        <v>2024</v>
      </c>
      <c r="D31" s="1">
        <f t="shared" si="0"/>
        <v>45413</v>
      </c>
    </row>
    <row r="32" spans="1:4" x14ac:dyDescent="0.25">
      <c r="A32">
        <v>1</v>
      </c>
      <c r="B32" s="4">
        <v>6</v>
      </c>
      <c r="C32">
        <v>2024</v>
      </c>
      <c r="D32" s="1">
        <f t="shared" si="0"/>
        <v>45444</v>
      </c>
    </row>
    <row r="33" spans="1:4" x14ac:dyDescent="0.25">
      <c r="A33">
        <v>1</v>
      </c>
      <c r="B33" s="4">
        <v>7</v>
      </c>
      <c r="C33">
        <v>2024</v>
      </c>
      <c r="D33" s="1">
        <f t="shared" si="0"/>
        <v>45474</v>
      </c>
    </row>
    <row r="34" spans="1:4" x14ac:dyDescent="0.25">
      <c r="A34">
        <v>1</v>
      </c>
      <c r="B34" s="4">
        <v>8</v>
      </c>
      <c r="C34">
        <v>2024</v>
      </c>
      <c r="D34" s="1">
        <f t="shared" si="0"/>
        <v>45505</v>
      </c>
    </row>
    <row r="35" spans="1:4" x14ac:dyDescent="0.25">
      <c r="A35">
        <v>1</v>
      </c>
      <c r="B35" s="4">
        <v>9</v>
      </c>
      <c r="C35">
        <v>2024</v>
      </c>
      <c r="D35" s="1">
        <f t="shared" si="0"/>
        <v>45536</v>
      </c>
    </row>
    <row r="36" spans="1:4" x14ac:dyDescent="0.25">
      <c r="A36">
        <v>1</v>
      </c>
      <c r="B36" s="4">
        <v>10</v>
      </c>
      <c r="C36">
        <v>2024</v>
      </c>
      <c r="D36" s="1">
        <f t="shared" si="0"/>
        <v>45566</v>
      </c>
    </row>
    <row r="37" spans="1:4" x14ac:dyDescent="0.25">
      <c r="A37">
        <v>1</v>
      </c>
      <c r="B37" s="4">
        <v>11</v>
      </c>
      <c r="C37">
        <v>2024</v>
      </c>
      <c r="D37" s="1">
        <f t="shared" si="0"/>
        <v>45597</v>
      </c>
    </row>
    <row r="38" spans="1:4" x14ac:dyDescent="0.25">
      <c r="A38">
        <v>1</v>
      </c>
      <c r="B38" s="4">
        <v>12</v>
      </c>
      <c r="C38">
        <v>2024</v>
      </c>
      <c r="D38" s="1">
        <f t="shared" si="0"/>
        <v>45627</v>
      </c>
    </row>
    <row r="39" spans="1:4" x14ac:dyDescent="0.25">
      <c r="A39">
        <v>1</v>
      </c>
      <c r="B39" s="4">
        <v>1</v>
      </c>
      <c r="C39">
        <v>2025</v>
      </c>
      <c r="D39" s="1">
        <f t="shared" si="0"/>
        <v>45658</v>
      </c>
    </row>
    <row r="40" spans="1:4" x14ac:dyDescent="0.25">
      <c r="A40">
        <v>1</v>
      </c>
      <c r="B40" s="4">
        <v>2</v>
      </c>
      <c r="C40">
        <v>2025</v>
      </c>
      <c r="D40" s="1">
        <f t="shared" si="0"/>
        <v>45689</v>
      </c>
    </row>
    <row r="41" spans="1:4" x14ac:dyDescent="0.25">
      <c r="A41">
        <v>1</v>
      </c>
      <c r="B41" s="4">
        <v>3</v>
      </c>
      <c r="C41">
        <v>2025</v>
      </c>
      <c r="D41" s="1">
        <f t="shared" si="0"/>
        <v>45717</v>
      </c>
    </row>
    <row r="42" spans="1:4" x14ac:dyDescent="0.25">
      <c r="A42">
        <v>1</v>
      </c>
      <c r="B42" s="4">
        <v>4</v>
      </c>
      <c r="C42">
        <v>2025</v>
      </c>
      <c r="D42" s="1">
        <f t="shared" si="0"/>
        <v>45748</v>
      </c>
    </row>
    <row r="43" spans="1:4" x14ac:dyDescent="0.25">
      <c r="A43">
        <v>1</v>
      </c>
      <c r="B43" s="4">
        <v>5</v>
      </c>
      <c r="C43">
        <v>2025</v>
      </c>
      <c r="D43" s="1">
        <f t="shared" si="0"/>
        <v>45778</v>
      </c>
    </row>
    <row r="44" spans="1:4" x14ac:dyDescent="0.25">
      <c r="A44">
        <v>1</v>
      </c>
      <c r="B44" s="4">
        <v>6</v>
      </c>
      <c r="C44">
        <v>2025</v>
      </c>
      <c r="D44" s="1">
        <f t="shared" si="0"/>
        <v>45809</v>
      </c>
    </row>
    <row r="45" spans="1:4" x14ac:dyDescent="0.25">
      <c r="A45">
        <v>1</v>
      </c>
      <c r="B45" s="4">
        <v>7</v>
      </c>
      <c r="C45">
        <v>2025</v>
      </c>
      <c r="D45" s="1">
        <f t="shared" si="0"/>
        <v>45839</v>
      </c>
    </row>
    <row r="46" spans="1:4" x14ac:dyDescent="0.25">
      <c r="A46">
        <v>1</v>
      </c>
      <c r="B46" s="4">
        <v>8</v>
      </c>
      <c r="C46">
        <v>2025</v>
      </c>
      <c r="D46" s="1">
        <f t="shared" si="0"/>
        <v>45870</v>
      </c>
    </row>
    <row r="47" spans="1:4" x14ac:dyDescent="0.25">
      <c r="A47">
        <v>1</v>
      </c>
      <c r="B47" s="4">
        <v>9</v>
      </c>
      <c r="C47">
        <v>2025</v>
      </c>
      <c r="D47" s="1">
        <f t="shared" si="0"/>
        <v>45901</v>
      </c>
    </row>
    <row r="48" spans="1:4" x14ac:dyDescent="0.25">
      <c r="A48">
        <v>1</v>
      </c>
      <c r="B48" s="4">
        <v>10</v>
      </c>
      <c r="C48">
        <v>2025</v>
      </c>
      <c r="D48" s="1">
        <f t="shared" si="0"/>
        <v>45931</v>
      </c>
    </row>
    <row r="49" spans="1:4" x14ac:dyDescent="0.25">
      <c r="A49">
        <v>1</v>
      </c>
      <c r="B49" s="4">
        <v>11</v>
      </c>
      <c r="C49">
        <v>2025</v>
      </c>
      <c r="D49" s="1">
        <f t="shared" si="0"/>
        <v>45962</v>
      </c>
    </row>
    <row r="50" spans="1:4" x14ac:dyDescent="0.25">
      <c r="A50">
        <v>1</v>
      </c>
      <c r="B50" s="4">
        <v>12</v>
      </c>
      <c r="C50">
        <v>2025</v>
      </c>
      <c r="D50" s="1">
        <f t="shared" si="0"/>
        <v>45992</v>
      </c>
    </row>
    <row r="51" spans="1:4" x14ac:dyDescent="0.25">
      <c r="A51">
        <v>1</v>
      </c>
      <c r="B51" s="4">
        <v>1</v>
      </c>
      <c r="C51">
        <v>2026</v>
      </c>
      <c r="D51" s="1">
        <f t="shared" si="0"/>
        <v>46023</v>
      </c>
    </row>
    <row r="52" spans="1:4" x14ac:dyDescent="0.25">
      <c r="A52">
        <v>1</v>
      </c>
      <c r="B52" s="4">
        <v>2</v>
      </c>
      <c r="C52">
        <v>2026</v>
      </c>
      <c r="D52" s="1">
        <f t="shared" si="0"/>
        <v>46054</v>
      </c>
    </row>
    <row r="53" spans="1:4" x14ac:dyDescent="0.25">
      <c r="A53">
        <v>1</v>
      </c>
      <c r="B53" s="4">
        <v>3</v>
      </c>
      <c r="C53">
        <v>2026</v>
      </c>
      <c r="D53" s="1">
        <f t="shared" si="0"/>
        <v>46082</v>
      </c>
    </row>
    <row r="54" spans="1:4" x14ac:dyDescent="0.25">
      <c r="A54">
        <v>1</v>
      </c>
      <c r="B54" s="4">
        <v>4</v>
      </c>
      <c r="C54">
        <v>2026</v>
      </c>
      <c r="D54" s="1">
        <f t="shared" si="0"/>
        <v>46113</v>
      </c>
    </row>
    <row r="55" spans="1:4" x14ac:dyDescent="0.25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 x14ac:dyDescent="0.25">
      <c r="A56">
        <v>1</v>
      </c>
      <c r="B56" s="4">
        <v>6</v>
      </c>
      <c r="C56">
        <v>2026</v>
      </c>
      <c r="D56" s="1">
        <f t="shared" si="1"/>
        <v>46174</v>
      </c>
    </row>
    <row r="57" spans="1:4" x14ac:dyDescent="0.25">
      <c r="A57">
        <v>1</v>
      </c>
      <c r="B57" s="4">
        <v>7</v>
      </c>
      <c r="C57">
        <v>2026</v>
      </c>
      <c r="D57" s="1">
        <f t="shared" si="1"/>
        <v>46204</v>
      </c>
    </row>
    <row r="58" spans="1:4" x14ac:dyDescent="0.25">
      <c r="A58">
        <v>1</v>
      </c>
      <c r="B58" s="4">
        <v>8</v>
      </c>
      <c r="C58">
        <v>2026</v>
      </c>
      <c r="D58" s="1">
        <f t="shared" si="1"/>
        <v>46235</v>
      </c>
    </row>
    <row r="59" spans="1:4" x14ac:dyDescent="0.25">
      <c r="A59">
        <v>1</v>
      </c>
      <c r="B59" s="4">
        <v>9</v>
      </c>
      <c r="C59">
        <v>2026</v>
      </c>
      <c r="D59" s="1">
        <f t="shared" si="1"/>
        <v>46266</v>
      </c>
    </row>
    <row r="60" spans="1:4" x14ac:dyDescent="0.25">
      <c r="A60">
        <v>1</v>
      </c>
      <c r="B60" s="4">
        <v>10</v>
      </c>
      <c r="C60">
        <v>2026</v>
      </c>
      <c r="D60" s="1">
        <f t="shared" si="1"/>
        <v>46296</v>
      </c>
    </row>
    <row r="61" spans="1:4" x14ac:dyDescent="0.25">
      <c r="A61">
        <v>1</v>
      </c>
      <c r="B61" s="4">
        <v>11</v>
      </c>
      <c r="C61">
        <v>2026</v>
      </c>
      <c r="D61" s="1">
        <f t="shared" si="1"/>
        <v>46327</v>
      </c>
    </row>
    <row r="62" spans="1:4" x14ac:dyDescent="0.25">
      <c r="A62">
        <v>1</v>
      </c>
      <c r="B62" s="4">
        <v>12</v>
      </c>
      <c r="C62">
        <v>2026</v>
      </c>
      <c r="D62" s="1">
        <f t="shared" si="1"/>
        <v>46357</v>
      </c>
    </row>
    <row r="63" spans="1:4" x14ac:dyDescent="0.25">
      <c r="A63">
        <v>1</v>
      </c>
      <c r="B63" s="4">
        <v>1</v>
      </c>
      <c r="C63">
        <v>2027</v>
      </c>
      <c r="D63" s="1">
        <f t="shared" si="1"/>
        <v>46388</v>
      </c>
    </row>
    <row r="64" spans="1:4" x14ac:dyDescent="0.25">
      <c r="A64">
        <v>1</v>
      </c>
      <c r="B64" s="4">
        <v>2</v>
      </c>
      <c r="C64">
        <v>2027</v>
      </c>
      <c r="D64" s="1">
        <f t="shared" si="1"/>
        <v>46419</v>
      </c>
    </row>
    <row r="65" spans="1:4" x14ac:dyDescent="0.25">
      <c r="A65">
        <v>1</v>
      </c>
      <c r="B65" s="4">
        <v>3</v>
      </c>
      <c r="C65">
        <v>2027</v>
      </c>
      <c r="D65" s="1">
        <f t="shared" si="1"/>
        <v>46447</v>
      </c>
    </row>
    <row r="66" spans="1:4" x14ac:dyDescent="0.25">
      <c r="A66">
        <v>1</v>
      </c>
      <c r="B66" s="4">
        <v>4</v>
      </c>
      <c r="C66">
        <v>2027</v>
      </c>
      <c r="D66" s="1">
        <f t="shared" si="1"/>
        <v>46478</v>
      </c>
    </row>
    <row r="67" spans="1:4" x14ac:dyDescent="0.25">
      <c r="A67">
        <v>1</v>
      </c>
      <c r="B67" s="4">
        <v>5</v>
      </c>
      <c r="C67">
        <v>2027</v>
      </c>
      <c r="D67" s="1">
        <f t="shared" si="1"/>
        <v>46508</v>
      </c>
    </row>
    <row r="68" spans="1:4" x14ac:dyDescent="0.25">
      <c r="A68">
        <v>1</v>
      </c>
      <c r="B68" s="4">
        <v>6</v>
      </c>
      <c r="C68">
        <v>2027</v>
      </c>
      <c r="D68" s="1">
        <f t="shared" si="1"/>
        <v>46539</v>
      </c>
    </row>
    <row r="69" spans="1:4" x14ac:dyDescent="0.25">
      <c r="A69">
        <v>1</v>
      </c>
      <c r="B69" s="4">
        <v>7</v>
      </c>
      <c r="C69">
        <v>2027</v>
      </c>
      <c r="D69" s="1">
        <f t="shared" si="1"/>
        <v>46569</v>
      </c>
    </row>
    <row r="70" spans="1:4" x14ac:dyDescent="0.25">
      <c r="A70">
        <v>1</v>
      </c>
      <c r="B70" s="4">
        <v>8</v>
      </c>
      <c r="C70">
        <v>2027</v>
      </c>
      <c r="D70" s="1">
        <f t="shared" si="1"/>
        <v>46600</v>
      </c>
    </row>
    <row r="71" spans="1:4" x14ac:dyDescent="0.25">
      <c r="A71">
        <v>1</v>
      </c>
      <c r="B71" s="4">
        <v>9</v>
      </c>
      <c r="C71">
        <v>2027</v>
      </c>
      <c r="D71" s="1">
        <f t="shared" si="1"/>
        <v>46631</v>
      </c>
    </row>
    <row r="72" spans="1:4" x14ac:dyDescent="0.25">
      <c r="A72">
        <v>1</v>
      </c>
      <c r="B72" s="4">
        <v>10</v>
      </c>
      <c r="C72">
        <v>2027</v>
      </c>
      <c r="D72" s="1">
        <f t="shared" si="1"/>
        <v>46661</v>
      </c>
    </row>
    <row r="73" spans="1:4" x14ac:dyDescent="0.25">
      <c r="A73">
        <v>1</v>
      </c>
      <c r="B73" s="4">
        <v>11</v>
      </c>
      <c r="C73">
        <v>2027</v>
      </c>
      <c r="D73" s="1">
        <f t="shared" si="1"/>
        <v>46692</v>
      </c>
    </row>
    <row r="74" spans="1:4" x14ac:dyDescent="0.25">
      <c r="A74">
        <v>1</v>
      </c>
      <c r="B74" s="4">
        <v>12</v>
      </c>
      <c r="C74">
        <v>2027</v>
      </c>
      <c r="D74" s="1">
        <f t="shared" si="1"/>
        <v>46722</v>
      </c>
    </row>
    <row r="75" spans="1:4" x14ac:dyDescent="0.25">
      <c r="A75">
        <v>1</v>
      </c>
      <c r="B75" s="4">
        <v>1</v>
      </c>
      <c r="C75">
        <v>2028</v>
      </c>
      <c r="D75" s="1">
        <f t="shared" si="1"/>
        <v>46753</v>
      </c>
    </row>
    <row r="76" spans="1:4" x14ac:dyDescent="0.25">
      <c r="A76">
        <v>1</v>
      </c>
      <c r="B76" s="4">
        <v>2</v>
      </c>
      <c r="C76">
        <v>2028</v>
      </c>
      <c r="D76" s="1">
        <f t="shared" si="1"/>
        <v>46784</v>
      </c>
    </row>
    <row r="77" spans="1:4" x14ac:dyDescent="0.25">
      <c r="A77">
        <v>1</v>
      </c>
      <c r="B77" s="4">
        <v>3</v>
      </c>
      <c r="C77">
        <v>2028</v>
      </c>
      <c r="D77" s="1">
        <f t="shared" si="1"/>
        <v>46813</v>
      </c>
    </row>
    <row r="78" spans="1:4" x14ac:dyDescent="0.25">
      <c r="A78">
        <v>1</v>
      </c>
      <c r="B78" s="4">
        <v>4</v>
      </c>
      <c r="C78">
        <v>2028</v>
      </c>
      <c r="D78" s="1">
        <f t="shared" si="1"/>
        <v>46844</v>
      </c>
    </row>
    <row r="79" spans="1:4" x14ac:dyDescent="0.25">
      <c r="A79">
        <v>1</v>
      </c>
      <c r="B79" s="4">
        <v>5</v>
      </c>
      <c r="C79">
        <v>2028</v>
      </c>
      <c r="D79" s="1">
        <f t="shared" si="1"/>
        <v>46874</v>
      </c>
    </row>
    <row r="80" spans="1:4" x14ac:dyDescent="0.25">
      <c r="A80">
        <v>1</v>
      </c>
      <c r="B80" s="4">
        <v>6</v>
      </c>
      <c r="C80">
        <v>2028</v>
      </c>
      <c r="D80" s="1">
        <f t="shared" si="1"/>
        <v>46905</v>
      </c>
    </row>
    <row r="81" spans="1:4" x14ac:dyDescent="0.25">
      <c r="A81">
        <v>1</v>
      </c>
      <c r="B81" s="4">
        <v>7</v>
      </c>
      <c r="C81">
        <v>2028</v>
      </c>
      <c r="D81" s="1">
        <f t="shared" si="1"/>
        <v>46935</v>
      </c>
    </row>
    <row r="82" spans="1:4" x14ac:dyDescent="0.25">
      <c r="A82">
        <v>1</v>
      </c>
      <c r="B82" s="4">
        <v>8</v>
      </c>
      <c r="C82">
        <v>2028</v>
      </c>
      <c r="D82" s="1">
        <f t="shared" si="1"/>
        <v>46966</v>
      </c>
    </row>
    <row r="83" spans="1:4" x14ac:dyDescent="0.25">
      <c r="A83">
        <v>1</v>
      </c>
      <c r="B83" s="4">
        <v>9</v>
      </c>
      <c r="C83">
        <v>2028</v>
      </c>
      <c r="D83" s="1">
        <f t="shared" si="1"/>
        <v>46997</v>
      </c>
    </row>
    <row r="84" spans="1:4" x14ac:dyDescent="0.25">
      <c r="A84">
        <v>1</v>
      </c>
      <c r="B84" s="4">
        <v>10</v>
      </c>
      <c r="C84">
        <v>2028</v>
      </c>
      <c r="D84" s="1">
        <f t="shared" si="1"/>
        <v>47027</v>
      </c>
    </row>
    <row r="85" spans="1:4" x14ac:dyDescent="0.25">
      <c r="A85">
        <v>1</v>
      </c>
      <c r="B85" s="4">
        <v>11</v>
      </c>
      <c r="C85">
        <v>2028</v>
      </c>
      <c r="D85" s="1">
        <f t="shared" si="1"/>
        <v>47058</v>
      </c>
    </row>
    <row r="86" spans="1:4" x14ac:dyDescent="0.25">
      <c r="A86">
        <v>1</v>
      </c>
      <c r="B86" s="4">
        <v>12</v>
      </c>
      <c r="C86">
        <v>2028</v>
      </c>
      <c r="D86" s="1">
        <f t="shared" si="1"/>
        <v>47088</v>
      </c>
    </row>
    <row r="87" spans="1:4" x14ac:dyDescent="0.25">
      <c r="A87">
        <v>1</v>
      </c>
      <c r="B87" s="4">
        <v>1</v>
      </c>
      <c r="C87">
        <v>2029</v>
      </c>
      <c r="D87" s="1">
        <f t="shared" si="1"/>
        <v>47119</v>
      </c>
    </row>
    <row r="88" spans="1:4" x14ac:dyDescent="0.25">
      <c r="A88">
        <v>1</v>
      </c>
      <c r="B88" s="4">
        <v>2</v>
      </c>
      <c r="C88">
        <v>2029</v>
      </c>
      <c r="D88" s="1">
        <f t="shared" si="1"/>
        <v>47150</v>
      </c>
    </row>
    <row r="89" spans="1:4" x14ac:dyDescent="0.25">
      <c r="A89">
        <v>1</v>
      </c>
      <c r="B89" s="4">
        <v>3</v>
      </c>
      <c r="C89">
        <v>2029</v>
      </c>
      <c r="D89" s="1">
        <f t="shared" si="1"/>
        <v>47178</v>
      </c>
    </row>
    <row r="90" spans="1:4" x14ac:dyDescent="0.25">
      <c r="A90">
        <v>1</v>
      </c>
      <c r="B90" s="4">
        <v>4</v>
      </c>
      <c r="C90">
        <v>2029</v>
      </c>
      <c r="D90" s="1">
        <f t="shared" si="1"/>
        <v>47209</v>
      </c>
    </row>
    <row r="91" spans="1:4" x14ac:dyDescent="0.25">
      <c r="A91">
        <v>1</v>
      </c>
      <c r="B91" s="4">
        <v>5</v>
      </c>
      <c r="C91">
        <v>2029</v>
      </c>
      <c r="D91" s="1">
        <f t="shared" si="1"/>
        <v>47239</v>
      </c>
    </row>
    <row r="92" spans="1:4" x14ac:dyDescent="0.25">
      <c r="A92">
        <v>1</v>
      </c>
      <c r="B92" s="4">
        <v>6</v>
      </c>
      <c r="C92">
        <v>2029</v>
      </c>
      <c r="D92" s="1">
        <f t="shared" si="1"/>
        <v>47270</v>
      </c>
    </row>
    <row r="93" spans="1:4" x14ac:dyDescent="0.25">
      <c r="A93">
        <v>1</v>
      </c>
      <c r="B93" s="4">
        <v>7</v>
      </c>
      <c r="C93">
        <v>2029</v>
      </c>
      <c r="D93" s="1">
        <f t="shared" si="1"/>
        <v>47300</v>
      </c>
    </row>
    <row r="94" spans="1:4" x14ac:dyDescent="0.25">
      <c r="A94">
        <v>1</v>
      </c>
      <c r="B94" s="4">
        <v>8</v>
      </c>
      <c r="C94">
        <v>2029</v>
      </c>
      <c r="D94" s="1">
        <f t="shared" si="1"/>
        <v>47331</v>
      </c>
    </row>
    <row r="95" spans="1:4" x14ac:dyDescent="0.25">
      <c r="A95">
        <v>1</v>
      </c>
      <c r="B95" s="4">
        <v>9</v>
      </c>
      <c r="C95">
        <v>2029</v>
      </c>
      <c r="D95" s="1">
        <f t="shared" si="1"/>
        <v>47362</v>
      </c>
    </row>
    <row r="96" spans="1:4" x14ac:dyDescent="0.25">
      <c r="A96">
        <v>1</v>
      </c>
      <c r="B96" s="4">
        <v>10</v>
      </c>
      <c r="C96">
        <v>2029</v>
      </c>
      <c r="D96" s="1">
        <f t="shared" si="1"/>
        <v>47392</v>
      </c>
    </row>
    <row r="97" spans="1:4" x14ac:dyDescent="0.25">
      <c r="A97">
        <v>1</v>
      </c>
      <c r="B97" s="4">
        <v>11</v>
      </c>
      <c r="C97">
        <v>2029</v>
      </c>
      <c r="D97" s="1">
        <f t="shared" si="1"/>
        <v>47423</v>
      </c>
    </row>
    <row r="98" spans="1:4" x14ac:dyDescent="0.25">
      <c r="A98">
        <v>1</v>
      </c>
      <c r="B98" s="4">
        <v>12</v>
      </c>
      <c r="C98">
        <v>2029</v>
      </c>
      <c r="D98" s="1">
        <f t="shared" si="1"/>
        <v>47453</v>
      </c>
    </row>
    <row r="99" spans="1:4" x14ac:dyDescent="0.25">
      <c r="A99">
        <v>1</v>
      </c>
      <c r="B99" s="4">
        <v>1</v>
      </c>
      <c r="C99">
        <v>2030</v>
      </c>
      <c r="D99" s="1">
        <f t="shared" si="1"/>
        <v>47484</v>
      </c>
    </row>
    <row r="100" spans="1:4" x14ac:dyDescent="0.25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 x14ac:dyDescent="0.25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 x14ac:dyDescent="0.25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 x14ac:dyDescent="0.25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 x14ac:dyDescent="0.25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 x14ac:dyDescent="0.25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 x14ac:dyDescent="0.25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 x14ac:dyDescent="0.25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 x14ac:dyDescent="0.25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 x14ac:dyDescent="0.25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 x14ac:dyDescent="0.25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 x14ac:dyDescent="0.25">
      <c r="A111">
        <v>1</v>
      </c>
      <c r="B111" s="4">
        <v>1</v>
      </c>
      <c r="D111" s="1">
        <f t="shared" si="1"/>
        <v>1</v>
      </c>
    </row>
    <row r="112" spans="1:4" x14ac:dyDescent="0.25">
      <c r="A112">
        <v>1</v>
      </c>
      <c r="B112" s="4">
        <v>2</v>
      </c>
      <c r="D112" s="1">
        <f t="shared" si="1"/>
        <v>32</v>
      </c>
    </row>
    <row r="113" spans="1:4" x14ac:dyDescent="0.25">
      <c r="A113">
        <v>1</v>
      </c>
      <c r="B113" s="4">
        <v>3</v>
      </c>
      <c r="D113" s="1">
        <f t="shared" si="1"/>
        <v>61</v>
      </c>
    </row>
    <row r="114" spans="1:4" x14ac:dyDescent="0.25">
      <c r="A114">
        <v>1</v>
      </c>
      <c r="B114" s="4">
        <v>4</v>
      </c>
      <c r="D114" s="1">
        <f t="shared" si="1"/>
        <v>92</v>
      </c>
    </row>
    <row r="115" spans="1:4" x14ac:dyDescent="0.25">
      <c r="A115">
        <v>1</v>
      </c>
      <c r="B115" s="4">
        <v>5</v>
      </c>
      <c r="D115" s="1">
        <f t="shared" si="1"/>
        <v>122</v>
      </c>
    </row>
    <row r="116" spans="1:4" x14ac:dyDescent="0.25">
      <c r="A116">
        <v>1</v>
      </c>
      <c r="B116" s="4">
        <v>6</v>
      </c>
      <c r="D116" s="1">
        <f t="shared" si="1"/>
        <v>153</v>
      </c>
    </row>
    <row r="117" spans="1:4" x14ac:dyDescent="0.25">
      <c r="A117">
        <v>1</v>
      </c>
      <c r="B117" s="4">
        <v>7</v>
      </c>
      <c r="D117" s="1">
        <f t="shared" si="1"/>
        <v>183</v>
      </c>
    </row>
    <row r="118" spans="1:4" x14ac:dyDescent="0.25">
      <c r="A118">
        <v>1</v>
      </c>
      <c r="B118" s="4">
        <v>8</v>
      </c>
      <c r="D118" s="1">
        <f t="shared" si="1"/>
        <v>214</v>
      </c>
    </row>
    <row r="119" spans="1:4" x14ac:dyDescent="0.25">
      <c r="A119">
        <v>1</v>
      </c>
      <c r="B119" s="4">
        <v>9</v>
      </c>
      <c r="D119" s="1">
        <f t="shared" ref="D119:D182" si="2">DATE(C119,B119,1)</f>
        <v>245</v>
      </c>
    </row>
    <row r="120" spans="1:4" x14ac:dyDescent="0.25">
      <c r="A120">
        <v>1</v>
      </c>
      <c r="B120" s="4">
        <v>10</v>
      </c>
      <c r="D120" s="1">
        <f t="shared" si="2"/>
        <v>275</v>
      </c>
    </row>
    <row r="121" spans="1:4" x14ac:dyDescent="0.25">
      <c r="A121">
        <v>1</v>
      </c>
      <c r="B121" s="4">
        <v>11</v>
      </c>
      <c r="D121" s="1">
        <f t="shared" si="2"/>
        <v>306</v>
      </c>
    </row>
    <row r="122" spans="1:4" x14ac:dyDescent="0.25">
      <c r="A122">
        <v>1</v>
      </c>
      <c r="B122" s="4">
        <v>12</v>
      </c>
      <c r="D122" s="1">
        <f t="shared" si="2"/>
        <v>336</v>
      </c>
    </row>
    <row r="123" spans="1:4" x14ac:dyDescent="0.25">
      <c r="A123">
        <v>1</v>
      </c>
      <c r="B123" s="4">
        <v>1</v>
      </c>
      <c r="D123" s="1">
        <f t="shared" si="2"/>
        <v>1</v>
      </c>
    </row>
    <row r="124" spans="1:4" x14ac:dyDescent="0.25">
      <c r="A124">
        <v>1</v>
      </c>
      <c r="B124" s="4">
        <v>2</v>
      </c>
      <c r="D124" s="1">
        <f t="shared" si="2"/>
        <v>32</v>
      </c>
    </row>
    <row r="125" spans="1:4" x14ac:dyDescent="0.25">
      <c r="A125">
        <v>1</v>
      </c>
      <c r="B125" s="4">
        <v>3</v>
      </c>
      <c r="D125" s="1">
        <f t="shared" si="2"/>
        <v>61</v>
      </c>
    </row>
    <row r="126" spans="1:4" x14ac:dyDescent="0.25">
      <c r="A126">
        <v>1</v>
      </c>
      <c r="B126" s="4">
        <v>4</v>
      </c>
      <c r="D126" s="1">
        <f t="shared" si="2"/>
        <v>92</v>
      </c>
    </row>
    <row r="127" spans="1:4" x14ac:dyDescent="0.25">
      <c r="A127">
        <v>1</v>
      </c>
      <c r="B127" s="4">
        <v>5</v>
      </c>
      <c r="D127" s="1">
        <f t="shared" si="2"/>
        <v>122</v>
      </c>
    </row>
    <row r="128" spans="1:4" x14ac:dyDescent="0.25">
      <c r="A128">
        <v>1</v>
      </c>
      <c r="B128" s="4">
        <v>6</v>
      </c>
      <c r="D128" s="1">
        <f t="shared" si="2"/>
        <v>153</v>
      </c>
    </row>
    <row r="129" spans="1:4" x14ac:dyDescent="0.25">
      <c r="A129">
        <v>1</v>
      </c>
      <c r="B129" s="4">
        <v>7</v>
      </c>
      <c r="D129" s="1">
        <f t="shared" si="2"/>
        <v>183</v>
      </c>
    </row>
    <row r="130" spans="1:4" x14ac:dyDescent="0.25">
      <c r="A130">
        <v>1</v>
      </c>
      <c r="B130" s="4">
        <v>8</v>
      </c>
      <c r="D130" s="1">
        <f t="shared" si="2"/>
        <v>214</v>
      </c>
    </row>
    <row r="131" spans="1:4" x14ac:dyDescent="0.25">
      <c r="A131">
        <v>1</v>
      </c>
      <c r="B131" s="4">
        <v>9</v>
      </c>
      <c r="D131" s="1">
        <f t="shared" si="2"/>
        <v>245</v>
      </c>
    </row>
    <row r="132" spans="1:4" x14ac:dyDescent="0.25">
      <c r="A132">
        <v>1</v>
      </c>
      <c r="B132" s="4">
        <v>10</v>
      </c>
      <c r="D132" s="1">
        <f t="shared" si="2"/>
        <v>275</v>
      </c>
    </row>
    <row r="133" spans="1:4" x14ac:dyDescent="0.25">
      <c r="A133">
        <v>1</v>
      </c>
      <c r="B133" s="4">
        <v>11</v>
      </c>
      <c r="D133" s="1">
        <f t="shared" si="2"/>
        <v>306</v>
      </c>
    </row>
    <row r="134" spans="1:4" x14ac:dyDescent="0.25">
      <c r="A134">
        <v>1</v>
      </c>
      <c r="B134" s="4">
        <v>12</v>
      </c>
      <c r="D134" s="1">
        <f t="shared" si="2"/>
        <v>336</v>
      </c>
    </row>
    <row r="135" spans="1:4" x14ac:dyDescent="0.25">
      <c r="A135">
        <v>1</v>
      </c>
      <c r="B135" s="4">
        <v>1</v>
      </c>
      <c r="D135" s="1">
        <f t="shared" si="2"/>
        <v>1</v>
      </c>
    </row>
    <row r="136" spans="1:4" x14ac:dyDescent="0.25">
      <c r="A136">
        <v>1</v>
      </c>
      <c r="B136" s="4">
        <v>2</v>
      </c>
      <c r="D136" s="1">
        <f t="shared" si="2"/>
        <v>32</v>
      </c>
    </row>
    <row r="137" spans="1:4" x14ac:dyDescent="0.25">
      <c r="A137">
        <v>1</v>
      </c>
      <c r="B137" s="4">
        <v>3</v>
      </c>
      <c r="D137" s="1">
        <f t="shared" si="2"/>
        <v>61</v>
      </c>
    </row>
    <row r="138" spans="1:4" x14ac:dyDescent="0.25">
      <c r="A138">
        <v>1</v>
      </c>
      <c r="B138" s="4">
        <v>4</v>
      </c>
      <c r="D138" s="1">
        <f t="shared" si="2"/>
        <v>92</v>
      </c>
    </row>
    <row r="139" spans="1:4" x14ac:dyDescent="0.25">
      <c r="A139">
        <v>1</v>
      </c>
      <c r="B139" s="4">
        <v>5</v>
      </c>
      <c r="D139" s="1">
        <f t="shared" si="2"/>
        <v>122</v>
      </c>
    </row>
    <row r="140" spans="1:4" x14ac:dyDescent="0.25">
      <c r="A140">
        <v>1</v>
      </c>
      <c r="B140" s="4">
        <v>6</v>
      </c>
      <c r="D140" s="1">
        <f t="shared" si="2"/>
        <v>153</v>
      </c>
    </row>
    <row r="141" spans="1:4" x14ac:dyDescent="0.25">
      <c r="A141">
        <v>1</v>
      </c>
      <c r="B141" s="4">
        <v>7</v>
      </c>
      <c r="D141" s="1">
        <f t="shared" si="2"/>
        <v>183</v>
      </c>
    </row>
    <row r="142" spans="1:4" x14ac:dyDescent="0.25">
      <c r="A142">
        <v>1</v>
      </c>
      <c r="B142" s="4">
        <v>8</v>
      </c>
      <c r="D142" s="1">
        <f t="shared" si="2"/>
        <v>214</v>
      </c>
    </row>
    <row r="143" spans="1:4" x14ac:dyDescent="0.25">
      <c r="A143">
        <v>1</v>
      </c>
      <c r="B143" s="4">
        <v>9</v>
      </c>
      <c r="D143" s="1">
        <f t="shared" si="2"/>
        <v>245</v>
      </c>
    </row>
    <row r="144" spans="1:4" x14ac:dyDescent="0.25">
      <c r="A144">
        <v>1</v>
      </c>
      <c r="B144" s="4">
        <v>10</v>
      </c>
      <c r="D144" s="1">
        <f t="shared" si="2"/>
        <v>275</v>
      </c>
    </row>
    <row r="145" spans="1:4" x14ac:dyDescent="0.25">
      <c r="A145">
        <v>1</v>
      </c>
      <c r="B145" s="4">
        <v>11</v>
      </c>
      <c r="D145" s="1">
        <f t="shared" si="2"/>
        <v>306</v>
      </c>
    </row>
    <row r="146" spans="1:4" x14ac:dyDescent="0.25">
      <c r="A146">
        <v>1</v>
      </c>
      <c r="B146" s="4">
        <v>12</v>
      </c>
      <c r="D146" s="1">
        <f t="shared" si="2"/>
        <v>336</v>
      </c>
    </row>
    <row r="147" spans="1:4" x14ac:dyDescent="0.25">
      <c r="A147">
        <v>1</v>
      </c>
      <c r="B147" s="4">
        <v>1</v>
      </c>
      <c r="D147" s="1">
        <f t="shared" si="2"/>
        <v>1</v>
      </c>
    </row>
    <row r="148" spans="1:4" x14ac:dyDescent="0.25">
      <c r="A148">
        <v>1</v>
      </c>
      <c r="B148" s="4">
        <v>2</v>
      </c>
      <c r="D148" s="1">
        <f t="shared" si="2"/>
        <v>32</v>
      </c>
    </row>
    <row r="149" spans="1:4" x14ac:dyDescent="0.25">
      <c r="A149">
        <v>1</v>
      </c>
      <c r="B149" s="4">
        <v>3</v>
      </c>
      <c r="D149" s="1">
        <f t="shared" si="2"/>
        <v>61</v>
      </c>
    </row>
    <row r="150" spans="1:4" x14ac:dyDescent="0.25">
      <c r="A150">
        <v>1</v>
      </c>
      <c r="B150" s="4">
        <v>4</v>
      </c>
      <c r="D150" s="1">
        <f t="shared" si="2"/>
        <v>92</v>
      </c>
    </row>
    <row r="151" spans="1:4" x14ac:dyDescent="0.25">
      <c r="A151">
        <v>1</v>
      </c>
      <c r="B151" s="4">
        <v>5</v>
      </c>
      <c r="D151" s="1">
        <f t="shared" si="2"/>
        <v>122</v>
      </c>
    </row>
    <row r="152" spans="1:4" x14ac:dyDescent="0.25">
      <c r="A152">
        <v>1</v>
      </c>
      <c r="B152" s="4">
        <v>6</v>
      </c>
      <c r="D152" s="1">
        <f t="shared" si="2"/>
        <v>153</v>
      </c>
    </row>
    <row r="153" spans="1:4" x14ac:dyDescent="0.25">
      <c r="A153">
        <v>1</v>
      </c>
      <c r="B153" s="4">
        <v>7</v>
      </c>
      <c r="D153" s="1">
        <f t="shared" si="2"/>
        <v>183</v>
      </c>
    </row>
    <row r="154" spans="1:4" x14ac:dyDescent="0.25">
      <c r="A154">
        <v>1</v>
      </c>
      <c r="B154" s="4">
        <v>8</v>
      </c>
      <c r="D154" s="1">
        <f t="shared" si="2"/>
        <v>214</v>
      </c>
    </row>
    <row r="155" spans="1:4" x14ac:dyDescent="0.25">
      <c r="A155">
        <v>1</v>
      </c>
      <c r="B155" s="4">
        <v>9</v>
      </c>
      <c r="D155" s="1">
        <f t="shared" si="2"/>
        <v>245</v>
      </c>
    </row>
    <row r="156" spans="1:4" x14ac:dyDescent="0.25">
      <c r="A156">
        <v>1</v>
      </c>
      <c r="B156" s="4">
        <v>10</v>
      </c>
      <c r="D156" s="1">
        <f t="shared" si="2"/>
        <v>275</v>
      </c>
    </row>
    <row r="157" spans="1:4" x14ac:dyDescent="0.25">
      <c r="A157">
        <v>1</v>
      </c>
      <c r="B157" s="4">
        <v>11</v>
      </c>
      <c r="D157" s="1">
        <f t="shared" si="2"/>
        <v>306</v>
      </c>
    </row>
    <row r="158" spans="1:4" x14ac:dyDescent="0.25">
      <c r="A158">
        <v>1</v>
      </c>
      <c r="B158" s="4">
        <v>12</v>
      </c>
      <c r="D158" s="1">
        <f t="shared" si="2"/>
        <v>336</v>
      </c>
    </row>
    <row r="159" spans="1:4" x14ac:dyDescent="0.25">
      <c r="A159">
        <v>1</v>
      </c>
      <c r="B159" s="4">
        <v>1</v>
      </c>
      <c r="D159" s="1">
        <f t="shared" si="2"/>
        <v>1</v>
      </c>
    </row>
    <row r="160" spans="1:4" x14ac:dyDescent="0.25">
      <c r="A160">
        <v>1</v>
      </c>
      <c r="B160" s="4">
        <v>2</v>
      </c>
      <c r="D160" s="1">
        <f t="shared" si="2"/>
        <v>32</v>
      </c>
    </row>
    <row r="161" spans="1:4" x14ac:dyDescent="0.25">
      <c r="A161">
        <v>1</v>
      </c>
      <c r="B161" s="4">
        <v>3</v>
      </c>
      <c r="D161" s="1">
        <f t="shared" si="2"/>
        <v>61</v>
      </c>
    </row>
    <row r="162" spans="1:4" x14ac:dyDescent="0.25">
      <c r="A162">
        <v>1</v>
      </c>
      <c r="B162" s="4">
        <v>4</v>
      </c>
      <c r="D162" s="1">
        <f t="shared" si="2"/>
        <v>92</v>
      </c>
    </row>
    <row r="163" spans="1:4" x14ac:dyDescent="0.25">
      <c r="A163">
        <v>1</v>
      </c>
      <c r="B163" s="4">
        <v>5</v>
      </c>
      <c r="D163" s="1">
        <f t="shared" si="2"/>
        <v>122</v>
      </c>
    </row>
    <row r="164" spans="1:4" x14ac:dyDescent="0.25">
      <c r="A164">
        <v>1</v>
      </c>
      <c r="B164" s="4">
        <v>6</v>
      </c>
      <c r="D164" s="1">
        <f t="shared" si="2"/>
        <v>153</v>
      </c>
    </row>
    <row r="165" spans="1:4" x14ac:dyDescent="0.25">
      <c r="A165">
        <v>1</v>
      </c>
      <c r="B165" s="4">
        <v>7</v>
      </c>
      <c r="D165" s="1">
        <f t="shared" si="2"/>
        <v>183</v>
      </c>
    </row>
    <row r="166" spans="1:4" x14ac:dyDescent="0.25">
      <c r="A166">
        <v>1</v>
      </c>
      <c r="B166" s="4">
        <v>8</v>
      </c>
      <c r="D166" s="1">
        <f t="shared" si="2"/>
        <v>214</v>
      </c>
    </row>
    <row r="167" spans="1:4" x14ac:dyDescent="0.25">
      <c r="A167">
        <v>1</v>
      </c>
      <c r="B167" s="4">
        <v>9</v>
      </c>
      <c r="D167" s="1">
        <f t="shared" si="2"/>
        <v>245</v>
      </c>
    </row>
    <row r="168" spans="1:4" x14ac:dyDescent="0.25">
      <c r="A168">
        <v>1</v>
      </c>
      <c r="B168" s="4">
        <v>10</v>
      </c>
      <c r="D168" s="1">
        <f t="shared" si="2"/>
        <v>275</v>
      </c>
    </row>
    <row r="169" spans="1:4" x14ac:dyDescent="0.25">
      <c r="A169">
        <v>1</v>
      </c>
      <c r="B169" s="4">
        <v>11</v>
      </c>
      <c r="D169" s="1">
        <f t="shared" si="2"/>
        <v>306</v>
      </c>
    </row>
    <row r="170" spans="1:4" x14ac:dyDescent="0.25">
      <c r="A170">
        <v>1</v>
      </c>
      <c r="B170" s="4">
        <v>12</v>
      </c>
      <c r="D170" s="1">
        <f t="shared" si="2"/>
        <v>336</v>
      </c>
    </row>
    <row r="171" spans="1:4" x14ac:dyDescent="0.25">
      <c r="A171">
        <v>1</v>
      </c>
      <c r="B171" s="4">
        <v>1</v>
      </c>
      <c r="D171" s="1">
        <f t="shared" si="2"/>
        <v>1</v>
      </c>
    </row>
    <row r="172" spans="1:4" x14ac:dyDescent="0.25">
      <c r="A172">
        <v>1</v>
      </c>
      <c r="B172" s="4">
        <v>2</v>
      </c>
      <c r="D172" s="1">
        <f t="shared" si="2"/>
        <v>32</v>
      </c>
    </row>
    <row r="173" spans="1:4" x14ac:dyDescent="0.25">
      <c r="A173">
        <v>1</v>
      </c>
      <c r="B173" s="4">
        <v>3</v>
      </c>
      <c r="D173" s="1">
        <f t="shared" si="2"/>
        <v>61</v>
      </c>
    </row>
    <row r="174" spans="1:4" x14ac:dyDescent="0.25">
      <c r="A174">
        <v>1</v>
      </c>
      <c r="B174" s="4">
        <v>4</v>
      </c>
      <c r="D174" s="1">
        <f t="shared" si="2"/>
        <v>92</v>
      </c>
    </row>
    <row r="175" spans="1:4" x14ac:dyDescent="0.25">
      <c r="A175">
        <v>1</v>
      </c>
      <c r="B175" s="4">
        <v>5</v>
      </c>
      <c r="D175" s="1">
        <f t="shared" si="2"/>
        <v>122</v>
      </c>
    </row>
    <row r="176" spans="1:4" x14ac:dyDescent="0.25">
      <c r="A176">
        <v>1</v>
      </c>
      <c r="B176" s="4">
        <v>6</v>
      </c>
      <c r="D176" s="1">
        <f t="shared" si="2"/>
        <v>153</v>
      </c>
    </row>
    <row r="177" spans="1:4" x14ac:dyDescent="0.25">
      <c r="A177">
        <v>1</v>
      </c>
      <c r="B177" s="4">
        <v>7</v>
      </c>
      <c r="D177" s="1">
        <f t="shared" si="2"/>
        <v>183</v>
      </c>
    </row>
    <row r="178" spans="1:4" x14ac:dyDescent="0.25">
      <c r="A178">
        <v>1</v>
      </c>
      <c r="B178" s="4">
        <v>8</v>
      </c>
      <c r="D178" s="1">
        <f t="shared" si="2"/>
        <v>214</v>
      </c>
    </row>
    <row r="179" spans="1:4" x14ac:dyDescent="0.25">
      <c r="A179">
        <v>1</v>
      </c>
      <c r="B179" s="4">
        <v>9</v>
      </c>
      <c r="D179" s="1">
        <f t="shared" si="2"/>
        <v>245</v>
      </c>
    </row>
    <row r="180" spans="1:4" x14ac:dyDescent="0.25">
      <c r="A180">
        <v>1</v>
      </c>
      <c r="B180" s="4">
        <v>10</v>
      </c>
      <c r="D180" s="1">
        <f t="shared" si="2"/>
        <v>275</v>
      </c>
    </row>
    <row r="181" spans="1:4" x14ac:dyDescent="0.25">
      <c r="A181">
        <v>1</v>
      </c>
      <c r="B181" s="4">
        <v>11</v>
      </c>
      <c r="D181" s="1">
        <f t="shared" si="2"/>
        <v>306</v>
      </c>
    </row>
    <row r="182" spans="1:4" x14ac:dyDescent="0.25">
      <c r="A182">
        <v>1</v>
      </c>
      <c r="B182" s="4">
        <v>12</v>
      </c>
      <c r="D182" s="1">
        <f t="shared" si="2"/>
        <v>336</v>
      </c>
    </row>
    <row r="183" spans="1:4" x14ac:dyDescent="0.25">
      <c r="A183">
        <v>1</v>
      </c>
      <c r="B183" s="4">
        <v>1</v>
      </c>
      <c r="D183" s="1">
        <f t="shared" ref="D183:D246" si="3">DATE(C183,B183,1)</f>
        <v>1</v>
      </c>
    </row>
    <row r="184" spans="1:4" x14ac:dyDescent="0.25">
      <c r="A184">
        <v>1</v>
      </c>
      <c r="B184" s="4">
        <v>2</v>
      </c>
      <c r="D184" s="1">
        <f t="shared" si="3"/>
        <v>32</v>
      </c>
    </row>
    <row r="185" spans="1:4" x14ac:dyDescent="0.25">
      <c r="A185">
        <v>1</v>
      </c>
      <c r="B185" s="4">
        <v>3</v>
      </c>
      <c r="D185" s="1">
        <f t="shared" si="3"/>
        <v>61</v>
      </c>
    </row>
    <row r="186" spans="1:4" x14ac:dyDescent="0.25">
      <c r="A186">
        <v>1</v>
      </c>
      <c r="B186" s="4">
        <v>4</v>
      </c>
      <c r="D186" s="1">
        <f t="shared" si="3"/>
        <v>92</v>
      </c>
    </row>
    <row r="187" spans="1:4" x14ac:dyDescent="0.25">
      <c r="A187">
        <v>1</v>
      </c>
      <c r="B187" s="4">
        <v>5</v>
      </c>
      <c r="D187" s="1">
        <f t="shared" si="3"/>
        <v>122</v>
      </c>
    </row>
    <row r="188" spans="1:4" x14ac:dyDescent="0.25">
      <c r="A188">
        <v>1</v>
      </c>
      <c r="B188" s="4">
        <v>6</v>
      </c>
      <c r="D188" s="1">
        <f t="shared" si="3"/>
        <v>153</v>
      </c>
    </row>
    <row r="189" spans="1:4" x14ac:dyDescent="0.25">
      <c r="A189">
        <v>1</v>
      </c>
      <c r="B189" s="4">
        <v>7</v>
      </c>
      <c r="D189" s="1">
        <f t="shared" si="3"/>
        <v>183</v>
      </c>
    </row>
    <row r="190" spans="1:4" x14ac:dyDescent="0.25">
      <c r="A190">
        <v>1</v>
      </c>
      <c r="B190" s="4">
        <v>8</v>
      </c>
      <c r="D190" s="1">
        <f t="shared" si="3"/>
        <v>214</v>
      </c>
    </row>
    <row r="191" spans="1:4" x14ac:dyDescent="0.25">
      <c r="A191">
        <v>1</v>
      </c>
      <c r="B191" s="4">
        <v>9</v>
      </c>
      <c r="D191" s="1">
        <f t="shared" si="3"/>
        <v>245</v>
      </c>
    </row>
    <row r="192" spans="1:4" x14ac:dyDescent="0.25">
      <c r="A192">
        <v>1</v>
      </c>
      <c r="B192" s="4">
        <v>10</v>
      </c>
      <c r="D192" s="1">
        <f t="shared" si="3"/>
        <v>275</v>
      </c>
    </row>
    <row r="193" spans="1:4" x14ac:dyDescent="0.25">
      <c r="A193">
        <v>1</v>
      </c>
      <c r="B193" s="4">
        <v>11</v>
      </c>
      <c r="D193" s="1">
        <f t="shared" si="3"/>
        <v>306</v>
      </c>
    </row>
    <row r="194" spans="1:4" x14ac:dyDescent="0.25">
      <c r="A194">
        <v>1</v>
      </c>
      <c r="B194" s="4">
        <v>12</v>
      </c>
      <c r="D194" s="1">
        <f t="shared" si="3"/>
        <v>336</v>
      </c>
    </row>
    <row r="195" spans="1:4" x14ac:dyDescent="0.25">
      <c r="A195">
        <v>1</v>
      </c>
      <c r="B195" s="4">
        <v>1</v>
      </c>
      <c r="D195" s="1">
        <f t="shared" si="3"/>
        <v>1</v>
      </c>
    </row>
    <row r="196" spans="1:4" x14ac:dyDescent="0.25">
      <c r="A196">
        <v>1</v>
      </c>
      <c r="B196" s="4">
        <v>2</v>
      </c>
      <c r="D196" s="1">
        <f t="shared" si="3"/>
        <v>32</v>
      </c>
    </row>
    <row r="197" spans="1:4" x14ac:dyDescent="0.25">
      <c r="A197">
        <v>1</v>
      </c>
      <c r="B197" s="4">
        <v>3</v>
      </c>
      <c r="D197" s="1">
        <f t="shared" si="3"/>
        <v>61</v>
      </c>
    </row>
    <row r="198" spans="1:4" x14ac:dyDescent="0.25">
      <c r="A198">
        <v>1</v>
      </c>
      <c r="B198" s="4">
        <v>4</v>
      </c>
      <c r="D198" s="1">
        <f t="shared" si="3"/>
        <v>92</v>
      </c>
    </row>
    <row r="199" spans="1:4" x14ac:dyDescent="0.25">
      <c r="A199">
        <v>1</v>
      </c>
      <c r="B199" s="4">
        <v>5</v>
      </c>
      <c r="D199" s="1">
        <f t="shared" si="3"/>
        <v>122</v>
      </c>
    </row>
    <row r="200" spans="1:4" x14ac:dyDescent="0.25">
      <c r="A200">
        <v>1</v>
      </c>
      <c r="B200" s="4">
        <v>6</v>
      </c>
      <c r="D200" s="1">
        <f t="shared" si="3"/>
        <v>153</v>
      </c>
    </row>
    <row r="201" spans="1:4" x14ac:dyDescent="0.25">
      <c r="A201">
        <v>1</v>
      </c>
      <c r="B201" s="4">
        <v>7</v>
      </c>
      <c r="D201" s="1">
        <f t="shared" si="3"/>
        <v>183</v>
      </c>
    </row>
    <row r="202" spans="1:4" x14ac:dyDescent="0.25">
      <c r="A202">
        <v>1</v>
      </c>
      <c r="B202" s="4">
        <v>8</v>
      </c>
      <c r="D202" s="1">
        <f t="shared" si="3"/>
        <v>214</v>
      </c>
    </row>
    <row r="203" spans="1:4" x14ac:dyDescent="0.25">
      <c r="A203">
        <v>1</v>
      </c>
      <c r="B203" s="4">
        <v>9</v>
      </c>
      <c r="D203" s="1">
        <f t="shared" si="3"/>
        <v>245</v>
      </c>
    </row>
    <row r="204" spans="1:4" x14ac:dyDescent="0.25">
      <c r="A204">
        <v>1</v>
      </c>
      <c r="B204" s="4">
        <v>10</v>
      </c>
      <c r="D204" s="1">
        <f t="shared" si="3"/>
        <v>275</v>
      </c>
    </row>
    <row r="205" spans="1:4" x14ac:dyDescent="0.25">
      <c r="A205">
        <v>1</v>
      </c>
      <c r="B205" s="4">
        <v>11</v>
      </c>
      <c r="D205" s="1">
        <f t="shared" si="3"/>
        <v>306</v>
      </c>
    </row>
    <row r="206" spans="1:4" x14ac:dyDescent="0.25">
      <c r="A206">
        <v>1</v>
      </c>
      <c r="B206" s="4">
        <v>12</v>
      </c>
      <c r="D206" s="1">
        <f t="shared" si="3"/>
        <v>336</v>
      </c>
    </row>
    <row r="207" spans="1:4" x14ac:dyDescent="0.25">
      <c r="A207">
        <v>1</v>
      </c>
      <c r="B207" s="4">
        <v>1</v>
      </c>
      <c r="D207" s="1">
        <f t="shared" si="3"/>
        <v>1</v>
      </c>
    </row>
    <row r="208" spans="1:4" x14ac:dyDescent="0.25">
      <c r="A208">
        <v>1</v>
      </c>
      <c r="B208" s="4">
        <v>2</v>
      </c>
      <c r="D208" s="1">
        <f t="shared" si="3"/>
        <v>32</v>
      </c>
    </row>
    <row r="209" spans="1:4" x14ac:dyDescent="0.25">
      <c r="A209">
        <v>1</v>
      </c>
      <c r="B209" s="4">
        <v>3</v>
      </c>
      <c r="D209" s="1">
        <f t="shared" si="3"/>
        <v>61</v>
      </c>
    </row>
    <row r="210" spans="1:4" x14ac:dyDescent="0.25">
      <c r="A210">
        <v>1</v>
      </c>
      <c r="B210" s="4">
        <v>4</v>
      </c>
      <c r="D210" s="1">
        <f t="shared" si="3"/>
        <v>92</v>
      </c>
    </row>
    <row r="211" spans="1:4" x14ac:dyDescent="0.25">
      <c r="A211">
        <v>1</v>
      </c>
      <c r="B211" s="4">
        <v>5</v>
      </c>
      <c r="D211" s="1">
        <f t="shared" si="3"/>
        <v>122</v>
      </c>
    </row>
    <row r="212" spans="1:4" x14ac:dyDescent="0.25">
      <c r="A212">
        <v>1</v>
      </c>
      <c r="B212" s="4">
        <v>6</v>
      </c>
      <c r="D212" s="1">
        <f t="shared" si="3"/>
        <v>153</v>
      </c>
    </row>
    <row r="213" spans="1:4" x14ac:dyDescent="0.25">
      <c r="A213">
        <v>1</v>
      </c>
      <c r="B213" s="4">
        <v>7</v>
      </c>
      <c r="D213" s="1">
        <f t="shared" si="3"/>
        <v>183</v>
      </c>
    </row>
    <row r="214" spans="1:4" x14ac:dyDescent="0.25">
      <c r="A214">
        <v>1</v>
      </c>
      <c r="B214" s="4">
        <v>8</v>
      </c>
      <c r="D214" s="1">
        <f t="shared" si="3"/>
        <v>214</v>
      </c>
    </row>
    <row r="215" spans="1:4" x14ac:dyDescent="0.25">
      <c r="A215">
        <v>1</v>
      </c>
      <c r="B215" s="4">
        <v>9</v>
      </c>
      <c r="D215" s="1">
        <f t="shared" si="3"/>
        <v>245</v>
      </c>
    </row>
    <row r="216" spans="1:4" x14ac:dyDescent="0.25">
      <c r="A216">
        <v>1</v>
      </c>
      <c r="B216" s="4">
        <v>10</v>
      </c>
      <c r="D216" s="1">
        <f t="shared" si="3"/>
        <v>275</v>
      </c>
    </row>
    <row r="217" spans="1:4" x14ac:dyDescent="0.25">
      <c r="A217">
        <v>1</v>
      </c>
      <c r="B217" s="4">
        <v>11</v>
      </c>
      <c r="D217" s="1">
        <f t="shared" si="3"/>
        <v>306</v>
      </c>
    </row>
    <row r="218" spans="1:4" x14ac:dyDescent="0.25">
      <c r="A218">
        <v>1</v>
      </c>
      <c r="B218" s="4">
        <v>12</v>
      </c>
      <c r="D218" s="1">
        <f t="shared" si="3"/>
        <v>336</v>
      </c>
    </row>
    <row r="219" spans="1:4" x14ac:dyDescent="0.25">
      <c r="A219">
        <v>1</v>
      </c>
      <c r="B219" s="4">
        <v>1</v>
      </c>
      <c r="D219" s="1">
        <f t="shared" si="3"/>
        <v>1</v>
      </c>
    </row>
    <row r="220" spans="1:4" x14ac:dyDescent="0.25">
      <c r="A220">
        <v>1</v>
      </c>
      <c r="B220" s="4">
        <v>2</v>
      </c>
      <c r="D220" s="1">
        <f t="shared" si="3"/>
        <v>32</v>
      </c>
    </row>
    <row r="221" spans="1:4" x14ac:dyDescent="0.25">
      <c r="A221">
        <v>1</v>
      </c>
      <c r="B221" s="4">
        <v>3</v>
      </c>
      <c r="D221" s="1">
        <f t="shared" si="3"/>
        <v>61</v>
      </c>
    </row>
    <row r="222" spans="1:4" x14ac:dyDescent="0.25">
      <c r="A222">
        <v>1</v>
      </c>
      <c r="B222" s="4">
        <v>4</v>
      </c>
      <c r="D222" s="1">
        <f t="shared" si="3"/>
        <v>92</v>
      </c>
    </row>
    <row r="223" spans="1:4" x14ac:dyDescent="0.25">
      <c r="A223">
        <v>1</v>
      </c>
      <c r="B223" s="4">
        <v>5</v>
      </c>
      <c r="D223" s="1">
        <f t="shared" si="3"/>
        <v>122</v>
      </c>
    </row>
    <row r="224" spans="1:4" x14ac:dyDescent="0.25">
      <c r="A224">
        <v>1</v>
      </c>
      <c r="B224" s="4">
        <v>6</v>
      </c>
      <c r="D224" s="1">
        <f t="shared" si="3"/>
        <v>153</v>
      </c>
    </row>
    <row r="225" spans="1:4" x14ac:dyDescent="0.25">
      <c r="A225">
        <v>1</v>
      </c>
      <c r="B225" s="4">
        <v>7</v>
      </c>
      <c r="D225" s="1">
        <f t="shared" si="3"/>
        <v>183</v>
      </c>
    </row>
    <row r="226" spans="1:4" x14ac:dyDescent="0.25">
      <c r="A226">
        <v>1</v>
      </c>
      <c r="B226" s="4">
        <v>8</v>
      </c>
      <c r="D226" s="1">
        <f t="shared" si="3"/>
        <v>214</v>
      </c>
    </row>
    <row r="227" spans="1:4" x14ac:dyDescent="0.25">
      <c r="A227">
        <v>1</v>
      </c>
      <c r="B227" s="4">
        <v>9</v>
      </c>
      <c r="D227" s="1">
        <f t="shared" si="3"/>
        <v>245</v>
      </c>
    </row>
    <row r="228" spans="1:4" x14ac:dyDescent="0.25">
      <c r="A228">
        <v>1</v>
      </c>
      <c r="B228" s="4">
        <v>10</v>
      </c>
      <c r="D228" s="1">
        <f t="shared" si="3"/>
        <v>275</v>
      </c>
    </row>
    <row r="229" spans="1:4" x14ac:dyDescent="0.25">
      <c r="A229">
        <v>1</v>
      </c>
      <c r="B229" s="4">
        <v>11</v>
      </c>
      <c r="D229" s="1">
        <f t="shared" si="3"/>
        <v>306</v>
      </c>
    </row>
    <row r="230" spans="1:4" x14ac:dyDescent="0.25">
      <c r="A230">
        <v>1</v>
      </c>
      <c r="B230" s="4">
        <v>12</v>
      </c>
      <c r="D230" s="1">
        <f t="shared" si="3"/>
        <v>336</v>
      </c>
    </row>
    <row r="231" spans="1:4" x14ac:dyDescent="0.25">
      <c r="A231">
        <v>1</v>
      </c>
      <c r="B231" s="4">
        <v>1</v>
      </c>
      <c r="D231" s="1">
        <f t="shared" si="3"/>
        <v>1</v>
      </c>
    </row>
    <row r="232" spans="1:4" x14ac:dyDescent="0.25">
      <c r="A232">
        <v>1</v>
      </c>
      <c r="B232" s="4">
        <v>2</v>
      </c>
      <c r="D232" s="1">
        <f t="shared" si="3"/>
        <v>32</v>
      </c>
    </row>
    <row r="233" spans="1:4" x14ac:dyDescent="0.25">
      <c r="A233">
        <v>1</v>
      </c>
      <c r="B233" s="4">
        <v>3</v>
      </c>
      <c r="D233" s="1">
        <f t="shared" si="3"/>
        <v>61</v>
      </c>
    </row>
    <row r="234" spans="1:4" x14ac:dyDescent="0.25">
      <c r="A234">
        <v>1</v>
      </c>
      <c r="B234" s="4">
        <v>4</v>
      </c>
      <c r="D234" s="1">
        <f t="shared" si="3"/>
        <v>92</v>
      </c>
    </row>
    <row r="235" spans="1:4" x14ac:dyDescent="0.25">
      <c r="A235">
        <v>1</v>
      </c>
      <c r="B235" s="4">
        <v>5</v>
      </c>
      <c r="D235" s="1">
        <f t="shared" si="3"/>
        <v>122</v>
      </c>
    </row>
    <row r="236" spans="1:4" x14ac:dyDescent="0.25">
      <c r="A236">
        <v>1</v>
      </c>
      <c r="B236" s="4">
        <v>6</v>
      </c>
      <c r="D236" s="1">
        <f t="shared" si="3"/>
        <v>153</v>
      </c>
    </row>
    <row r="237" spans="1:4" x14ac:dyDescent="0.25">
      <c r="A237">
        <v>1</v>
      </c>
      <c r="B237" s="4">
        <v>7</v>
      </c>
      <c r="D237" s="1">
        <f t="shared" si="3"/>
        <v>183</v>
      </c>
    </row>
    <row r="238" spans="1:4" x14ac:dyDescent="0.25">
      <c r="A238">
        <v>1</v>
      </c>
      <c r="B238" s="4">
        <v>8</v>
      </c>
      <c r="D238" s="1">
        <f t="shared" si="3"/>
        <v>214</v>
      </c>
    </row>
    <row r="239" spans="1:4" x14ac:dyDescent="0.25">
      <c r="A239">
        <v>1</v>
      </c>
      <c r="B239" s="4">
        <v>9</v>
      </c>
      <c r="D239" s="1">
        <f t="shared" si="3"/>
        <v>245</v>
      </c>
    </row>
    <row r="240" spans="1:4" x14ac:dyDescent="0.25">
      <c r="A240">
        <v>1</v>
      </c>
      <c r="B240" s="4">
        <v>10</v>
      </c>
      <c r="D240" s="1">
        <f t="shared" si="3"/>
        <v>275</v>
      </c>
    </row>
    <row r="241" spans="1:4" x14ac:dyDescent="0.25">
      <c r="A241">
        <v>1</v>
      </c>
      <c r="B241" s="4">
        <v>11</v>
      </c>
      <c r="D241" s="1">
        <f t="shared" si="3"/>
        <v>306</v>
      </c>
    </row>
    <row r="242" spans="1:4" x14ac:dyDescent="0.25">
      <c r="A242">
        <v>1</v>
      </c>
      <c r="B242" s="4">
        <v>12</v>
      </c>
      <c r="D242" s="1">
        <f t="shared" si="3"/>
        <v>336</v>
      </c>
    </row>
    <row r="243" spans="1:4" x14ac:dyDescent="0.25">
      <c r="A243">
        <v>1</v>
      </c>
      <c r="B243" s="4">
        <v>1</v>
      </c>
      <c r="D243" s="1">
        <f t="shared" si="3"/>
        <v>1</v>
      </c>
    </row>
    <row r="244" spans="1:4" x14ac:dyDescent="0.25">
      <c r="A244">
        <v>1</v>
      </c>
      <c r="B244" s="4">
        <v>2</v>
      </c>
      <c r="D244" s="1">
        <f t="shared" si="3"/>
        <v>32</v>
      </c>
    </row>
    <row r="245" spans="1:4" x14ac:dyDescent="0.25">
      <c r="A245">
        <v>1</v>
      </c>
      <c r="B245" s="4">
        <v>3</v>
      </c>
      <c r="D245" s="1">
        <f t="shared" si="3"/>
        <v>61</v>
      </c>
    </row>
    <row r="246" spans="1:4" x14ac:dyDescent="0.25">
      <c r="A246">
        <v>1</v>
      </c>
      <c r="B246" s="4">
        <v>4</v>
      </c>
      <c r="D246" s="1">
        <f t="shared" si="3"/>
        <v>92</v>
      </c>
    </row>
    <row r="247" spans="1:4" x14ac:dyDescent="0.25">
      <c r="A247">
        <v>1</v>
      </c>
      <c r="B247" s="4">
        <v>5</v>
      </c>
      <c r="D247" s="1">
        <f t="shared" ref="D247:D310" si="4">DATE(C247,B247,1)</f>
        <v>122</v>
      </c>
    </row>
    <row r="248" spans="1:4" x14ac:dyDescent="0.25">
      <c r="A248">
        <v>1</v>
      </c>
      <c r="B248" s="4">
        <v>6</v>
      </c>
      <c r="D248" s="1">
        <f t="shared" si="4"/>
        <v>153</v>
      </c>
    </row>
    <row r="249" spans="1:4" x14ac:dyDescent="0.25">
      <c r="A249">
        <v>1</v>
      </c>
      <c r="B249" s="4">
        <v>7</v>
      </c>
      <c r="D249" s="1">
        <f t="shared" si="4"/>
        <v>183</v>
      </c>
    </row>
    <row r="250" spans="1:4" x14ac:dyDescent="0.25">
      <c r="A250">
        <v>1</v>
      </c>
      <c r="B250" s="4">
        <v>8</v>
      </c>
      <c r="D250" s="1">
        <f t="shared" si="4"/>
        <v>214</v>
      </c>
    </row>
    <row r="251" spans="1:4" x14ac:dyDescent="0.25">
      <c r="A251">
        <v>1</v>
      </c>
      <c r="B251" s="4">
        <v>9</v>
      </c>
      <c r="D251" s="1">
        <f t="shared" si="4"/>
        <v>245</v>
      </c>
    </row>
    <row r="252" spans="1:4" x14ac:dyDescent="0.25">
      <c r="A252">
        <v>1</v>
      </c>
      <c r="B252" s="4">
        <v>10</v>
      </c>
      <c r="D252" s="1">
        <f t="shared" si="4"/>
        <v>275</v>
      </c>
    </row>
    <row r="253" spans="1:4" x14ac:dyDescent="0.25">
      <c r="A253">
        <v>1</v>
      </c>
      <c r="B253" s="4">
        <v>11</v>
      </c>
      <c r="D253" s="1">
        <f t="shared" si="4"/>
        <v>306</v>
      </c>
    </row>
    <row r="254" spans="1:4" x14ac:dyDescent="0.25">
      <c r="A254">
        <v>1</v>
      </c>
      <c r="B254" s="4">
        <v>12</v>
      </c>
      <c r="D254" s="1">
        <f t="shared" si="4"/>
        <v>336</v>
      </c>
    </row>
    <row r="255" spans="1:4" x14ac:dyDescent="0.25">
      <c r="A255">
        <v>1</v>
      </c>
      <c r="B255" s="4">
        <v>1</v>
      </c>
      <c r="D255" s="1">
        <f t="shared" si="4"/>
        <v>1</v>
      </c>
    </row>
    <row r="256" spans="1:4" x14ac:dyDescent="0.25">
      <c r="A256">
        <v>1</v>
      </c>
      <c r="B256" s="4">
        <v>2</v>
      </c>
      <c r="D256" s="1">
        <f t="shared" si="4"/>
        <v>32</v>
      </c>
    </row>
    <row r="257" spans="1:4" x14ac:dyDescent="0.25">
      <c r="A257">
        <v>1</v>
      </c>
      <c r="B257" s="4">
        <v>3</v>
      </c>
      <c r="D257" s="1">
        <f t="shared" si="4"/>
        <v>61</v>
      </c>
    </row>
    <row r="258" spans="1:4" x14ac:dyDescent="0.25">
      <c r="A258">
        <v>1</v>
      </c>
      <c r="B258" s="4">
        <v>4</v>
      </c>
      <c r="D258" s="1">
        <f t="shared" si="4"/>
        <v>92</v>
      </c>
    </row>
    <row r="259" spans="1:4" x14ac:dyDescent="0.25">
      <c r="A259">
        <v>1</v>
      </c>
      <c r="B259" s="4">
        <v>5</v>
      </c>
      <c r="D259" s="1">
        <f t="shared" si="4"/>
        <v>122</v>
      </c>
    </row>
    <row r="260" spans="1:4" x14ac:dyDescent="0.25">
      <c r="A260">
        <v>1</v>
      </c>
      <c r="B260" s="4">
        <v>6</v>
      </c>
      <c r="D260" s="1">
        <f t="shared" si="4"/>
        <v>153</v>
      </c>
    </row>
    <row r="261" spans="1:4" x14ac:dyDescent="0.25">
      <c r="A261">
        <v>1</v>
      </c>
      <c r="B261" s="4">
        <v>7</v>
      </c>
      <c r="D261" s="1">
        <f t="shared" si="4"/>
        <v>183</v>
      </c>
    </row>
    <row r="262" spans="1:4" x14ac:dyDescent="0.25">
      <c r="A262">
        <v>1</v>
      </c>
      <c r="B262" s="4">
        <v>8</v>
      </c>
      <c r="D262" s="1">
        <f t="shared" si="4"/>
        <v>214</v>
      </c>
    </row>
    <row r="263" spans="1:4" x14ac:dyDescent="0.25">
      <c r="A263">
        <v>1</v>
      </c>
      <c r="B263" s="4">
        <v>9</v>
      </c>
      <c r="D263" s="1">
        <f t="shared" si="4"/>
        <v>245</v>
      </c>
    </row>
    <row r="264" spans="1:4" x14ac:dyDescent="0.25">
      <c r="A264">
        <v>1</v>
      </c>
      <c r="B264" s="4">
        <v>10</v>
      </c>
      <c r="D264" s="1">
        <f t="shared" si="4"/>
        <v>275</v>
      </c>
    </row>
    <row r="265" spans="1:4" x14ac:dyDescent="0.25">
      <c r="A265">
        <v>1</v>
      </c>
      <c r="B265" s="4">
        <v>11</v>
      </c>
      <c r="D265" s="1">
        <f t="shared" si="4"/>
        <v>306</v>
      </c>
    </row>
    <row r="266" spans="1:4" x14ac:dyDescent="0.25">
      <c r="A266">
        <v>1</v>
      </c>
      <c r="B266" s="4">
        <v>12</v>
      </c>
      <c r="D266" s="1">
        <f t="shared" si="4"/>
        <v>336</v>
      </c>
    </row>
    <row r="267" spans="1:4" x14ac:dyDescent="0.25">
      <c r="A267">
        <v>1</v>
      </c>
      <c r="B267" s="4">
        <v>1</v>
      </c>
      <c r="D267" s="1">
        <f t="shared" si="4"/>
        <v>1</v>
      </c>
    </row>
    <row r="268" spans="1:4" x14ac:dyDescent="0.25">
      <c r="A268">
        <v>1</v>
      </c>
      <c r="B268" s="4">
        <v>2</v>
      </c>
      <c r="D268" s="1">
        <f t="shared" si="4"/>
        <v>32</v>
      </c>
    </row>
    <row r="269" spans="1:4" x14ac:dyDescent="0.25">
      <c r="A269">
        <v>1</v>
      </c>
      <c r="B269" s="4">
        <v>3</v>
      </c>
      <c r="D269" s="1">
        <f t="shared" si="4"/>
        <v>61</v>
      </c>
    </row>
    <row r="270" spans="1:4" x14ac:dyDescent="0.25">
      <c r="A270">
        <v>1</v>
      </c>
      <c r="B270" s="4">
        <v>4</v>
      </c>
      <c r="D270" s="1">
        <f t="shared" si="4"/>
        <v>92</v>
      </c>
    </row>
    <row r="271" spans="1:4" x14ac:dyDescent="0.25">
      <c r="A271">
        <v>1</v>
      </c>
      <c r="B271" s="4">
        <v>5</v>
      </c>
      <c r="D271" s="1">
        <f t="shared" si="4"/>
        <v>122</v>
      </c>
    </row>
    <row r="272" spans="1:4" x14ac:dyDescent="0.25">
      <c r="A272">
        <v>1</v>
      </c>
      <c r="B272" s="4">
        <v>6</v>
      </c>
      <c r="D272" s="1">
        <f t="shared" si="4"/>
        <v>153</v>
      </c>
    </row>
    <row r="273" spans="1:4" x14ac:dyDescent="0.25">
      <c r="A273">
        <v>1</v>
      </c>
      <c r="B273" s="4">
        <v>7</v>
      </c>
      <c r="D273" s="1">
        <f t="shared" si="4"/>
        <v>183</v>
      </c>
    </row>
    <row r="274" spans="1:4" x14ac:dyDescent="0.25">
      <c r="A274">
        <v>1</v>
      </c>
      <c r="B274" s="4">
        <v>8</v>
      </c>
      <c r="D274" s="1">
        <f t="shared" si="4"/>
        <v>214</v>
      </c>
    </row>
    <row r="275" spans="1:4" x14ac:dyDescent="0.25">
      <c r="A275">
        <v>1</v>
      </c>
      <c r="B275" s="4">
        <v>9</v>
      </c>
      <c r="D275" s="1">
        <f t="shared" si="4"/>
        <v>245</v>
      </c>
    </row>
    <row r="276" spans="1:4" x14ac:dyDescent="0.25">
      <c r="A276">
        <v>1</v>
      </c>
      <c r="B276" s="4">
        <v>10</v>
      </c>
      <c r="D276" s="1">
        <f t="shared" si="4"/>
        <v>275</v>
      </c>
    </row>
    <row r="277" spans="1:4" x14ac:dyDescent="0.25">
      <c r="A277">
        <v>1</v>
      </c>
      <c r="B277" s="4">
        <v>11</v>
      </c>
      <c r="D277" s="1">
        <f t="shared" si="4"/>
        <v>306</v>
      </c>
    </row>
    <row r="278" spans="1:4" x14ac:dyDescent="0.25">
      <c r="A278">
        <v>1</v>
      </c>
      <c r="B278" s="4">
        <v>12</v>
      </c>
      <c r="D278" s="1">
        <f t="shared" si="4"/>
        <v>336</v>
      </c>
    </row>
    <row r="279" spans="1:4" x14ac:dyDescent="0.25">
      <c r="A279">
        <v>1</v>
      </c>
      <c r="B279" s="4">
        <v>1</v>
      </c>
      <c r="D279" s="1">
        <f t="shared" si="4"/>
        <v>1</v>
      </c>
    </row>
    <row r="280" spans="1:4" x14ac:dyDescent="0.25">
      <c r="A280">
        <v>1</v>
      </c>
      <c r="B280" s="4">
        <v>2</v>
      </c>
      <c r="D280" s="1">
        <f t="shared" si="4"/>
        <v>32</v>
      </c>
    </row>
    <row r="281" spans="1:4" x14ac:dyDescent="0.25">
      <c r="A281">
        <v>1</v>
      </c>
      <c r="B281" s="4">
        <v>3</v>
      </c>
      <c r="D281" s="1">
        <f t="shared" si="4"/>
        <v>61</v>
      </c>
    </row>
    <row r="282" spans="1:4" x14ac:dyDescent="0.25">
      <c r="A282">
        <v>1</v>
      </c>
      <c r="B282" s="4">
        <v>4</v>
      </c>
      <c r="D282" s="1">
        <f t="shared" si="4"/>
        <v>92</v>
      </c>
    </row>
    <row r="283" spans="1:4" x14ac:dyDescent="0.25">
      <c r="A283">
        <v>1</v>
      </c>
      <c r="B283" s="4">
        <v>5</v>
      </c>
      <c r="D283" s="1">
        <f t="shared" si="4"/>
        <v>122</v>
      </c>
    </row>
    <row r="284" spans="1:4" x14ac:dyDescent="0.25">
      <c r="A284">
        <v>1</v>
      </c>
      <c r="B284" s="4">
        <v>6</v>
      </c>
      <c r="D284" s="1">
        <f t="shared" si="4"/>
        <v>153</v>
      </c>
    </row>
    <row r="285" spans="1:4" x14ac:dyDescent="0.25">
      <c r="A285">
        <v>1</v>
      </c>
      <c r="B285" s="4">
        <v>7</v>
      </c>
      <c r="D285" s="1">
        <f t="shared" si="4"/>
        <v>183</v>
      </c>
    </row>
    <row r="286" spans="1:4" x14ac:dyDescent="0.25">
      <c r="A286">
        <v>1</v>
      </c>
      <c r="B286" s="4">
        <v>8</v>
      </c>
      <c r="D286" s="1">
        <f t="shared" si="4"/>
        <v>214</v>
      </c>
    </row>
    <row r="287" spans="1:4" x14ac:dyDescent="0.25">
      <c r="A287">
        <v>1</v>
      </c>
      <c r="B287" s="4">
        <v>9</v>
      </c>
      <c r="D287" s="1">
        <f t="shared" si="4"/>
        <v>245</v>
      </c>
    </row>
    <row r="288" spans="1:4" x14ac:dyDescent="0.25">
      <c r="A288">
        <v>1</v>
      </c>
      <c r="B288" s="4">
        <v>10</v>
      </c>
      <c r="D288" s="1">
        <f t="shared" si="4"/>
        <v>275</v>
      </c>
    </row>
    <row r="289" spans="1:4" x14ac:dyDescent="0.25">
      <c r="A289">
        <v>1</v>
      </c>
      <c r="B289" s="4">
        <v>11</v>
      </c>
      <c r="D289" s="1">
        <f t="shared" si="4"/>
        <v>306</v>
      </c>
    </row>
    <row r="290" spans="1:4" x14ac:dyDescent="0.25">
      <c r="A290">
        <v>1</v>
      </c>
      <c r="B290" s="4">
        <v>12</v>
      </c>
      <c r="D290" s="1">
        <f t="shared" si="4"/>
        <v>336</v>
      </c>
    </row>
    <row r="291" spans="1:4" x14ac:dyDescent="0.25">
      <c r="A291">
        <v>1</v>
      </c>
      <c r="B291" s="4">
        <v>1</v>
      </c>
      <c r="D291" s="1">
        <f t="shared" si="4"/>
        <v>1</v>
      </c>
    </row>
    <row r="292" spans="1:4" x14ac:dyDescent="0.25">
      <c r="A292">
        <v>1</v>
      </c>
      <c r="B292" s="4">
        <v>2</v>
      </c>
      <c r="D292" s="1">
        <f t="shared" si="4"/>
        <v>32</v>
      </c>
    </row>
    <row r="293" spans="1:4" x14ac:dyDescent="0.25">
      <c r="A293">
        <v>1</v>
      </c>
      <c r="B293" s="4">
        <v>3</v>
      </c>
      <c r="D293" s="1">
        <f t="shared" si="4"/>
        <v>61</v>
      </c>
    </row>
    <row r="294" spans="1:4" x14ac:dyDescent="0.25">
      <c r="A294">
        <v>1</v>
      </c>
      <c r="B294" s="4">
        <v>4</v>
      </c>
      <c r="D294" s="1">
        <f t="shared" si="4"/>
        <v>92</v>
      </c>
    </row>
    <row r="295" spans="1:4" x14ac:dyDescent="0.25">
      <c r="A295">
        <v>1</v>
      </c>
      <c r="B295" s="4">
        <v>5</v>
      </c>
      <c r="D295" s="1">
        <f t="shared" si="4"/>
        <v>122</v>
      </c>
    </row>
    <row r="296" spans="1:4" x14ac:dyDescent="0.25">
      <c r="A296">
        <v>1</v>
      </c>
      <c r="B296" s="4">
        <v>6</v>
      </c>
      <c r="D296" s="1">
        <f t="shared" si="4"/>
        <v>153</v>
      </c>
    </row>
    <row r="297" spans="1:4" x14ac:dyDescent="0.25">
      <c r="A297">
        <v>1</v>
      </c>
      <c r="B297" s="4">
        <v>7</v>
      </c>
      <c r="D297" s="1">
        <f t="shared" si="4"/>
        <v>183</v>
      </c>
    </row>
    <row r="298" spans="1:4" x14ac:dyDescent="0.25">
      <c r="A298">
        <v>1</v>
      </c>
      <c r="B298" s="4">
        <v>8</v>
      </c>
      <c r="D298" s="1">
        <f t="shared" si="4"/>
        <v>214</v>
      </c>
    </row>
    <row r="299" spans="1:4" x14ac:dyDescent="0.25">
      <c r="A299">
        <v>1</v>
      </c>
      <c r="B299" s="4">
        <v>9</v>
      </c>
      <c r="D299" s="1">
        <f t="shared" si="4"/>
        <v>245</v>
      </c>
    </row>
    <row r="300" spans="1:4" x14ac:dyDescent="0.25">
      <c r="A300">
        <v>1</v>
      </c>
      <c r="B300" s="4">
        <v>10</v>
      </c>
      <c r="D300" s="1">
        <f t="shared" si="4"/>
        <v>275</v>
      </c>
    </row>
    <row r="301" spans="1:4" x14ac:dyDescent="0.25">
      <c r="A301">
        <v>1</v>
      </c>
      <c r="B301" s="4">
        <v>11</v>
      </c>
      <c r="D301" s="1">
        <f t="shared" si="4"/>
        <v>306</v>
      </c>
    </row>
    <row r="302" spans="1:4" x14ac:dyDescent="0.25">
      <c r="A302">
        <v>1</v>
      </c>
      <c r="B302" s="4">
        <v>12</v>
      </c>
      <c r="D302" s="1">
        <f t="shared" si="4"/>
        <v>336</v>
      </c>
    </row>
    <row r="303" spans="1:4" x14ac:dyDescent="0.25">
      <c r="A303">
        <v>1</v>
      </c>
      <c r="B303" s="4">
        <v>1</v>
      </c>
      <c r="D303" s="1">
        <f t="shared" si="4"/>
        <v>1</v>
      </c>
    </row>
    <row r="304" spans="1:4" x14ac:dyDescent="0.25">
      <c r="A304">
        <v>1</v>
      </c>
      <c r="B304" s="4">
        <v>2</v>
      </c>
      <c r="D304" s="1">
        <f t="shared" si="4"/>
        <v>32</v>
      </c>
    </row>
    <row r="305" spans="1:4" x14ac:dyDescent="0.25">
      <c r="A305">
        <v>1</v>
      </c>
      <c r="B305" s="4">
        <v>3</v>
      </c>
      <c r="D305" s="1">
        <f t="shared" si="4"/>
        <v>61</v>
      </c>
    </row>
    <row r="306" spans="1:4" x14ac:dyDescent="0.25">
      <c r="A306">
        <v>1</v>
      </c>
      <c r="B306" s="4">
        <v>4</v>
      </c>
      <c r="D306" s="1">
        <f t="shared" si="4"/>
        <v>92</v>
      </c>
    </row>
    <row r="307" spans="1:4" x14ac:dyDescent="0.25">
      <c r="A307">
        <v>1</v>
      </c>
      <c r="B307" s="4">
        <v>5</v>
      </c>
      <c r="D307" s="1">
        <f t="shared" si="4"/>
        <v>122</v>
      </c>
    </row>
    <row r="308" spans="1:4" x14ac:dyDescent="0.25">
      <c r="A308">
        <v>1</v>
      </c>
      <c r="B308" s="4">
        <v>6</v>
      </c>
      <c r="D308" s="1">
        <f t="shared" si="4"/>
        <v>153</v>
      </c>
    </row>
    <row r="309" spans="1:4" x14ac:dyDescent="0.25">
      <c r="A309">
        <v>1</v>
      </c>
      <c r="B309" s="4">
        <v>7</v>
      </c>
      <c r="D309" s="1">
        <f t="shared" si="4"/>
        <v>183</v>
      </c>
    </row>
    <row r="310" spans="1:4" x14ac:dyDescent="0.25">
      <c r="A310">
        <v>1</v>
      </c>
      <c r="B310" s="4">
        <v>8</v>
      </c>
      <c r="D310" s="1">
        <f t="shared" si="4"/>
        <v>214</v>
      </c>
    </row>
    <row r="311" spans="1:4" x14ac:dyDescent="0.25">
      <c r="A311">
        <v>1</v>
      </c>
      <c r="B311" s="4">
        <v>9</v>
      </c>
      <c r="D311" s="1">
        <f t="shared" ref="D311:D374" si="5">DATE(C311,B311,1)</f>
        <v>245</v>
      </c>
    </row>
    <row r="312" spans="1:4" x14ac:dyDescent="0.25">
      <c r="A312">
        <v>1</v>
      </c>
      <c r="B312" s="4">
        <v>10</v>
      </c>
      <c r="D312" s="1">
        <f t="shared" si="5"/>
        <v>275</v>
      </c>
    </row>
    <row r="313" spans="1:4" x14ac:dyDescent="0.25">
      <c r="A313">
        <v>1</v>
      </c>
      <c r="B313" s="4">
        <v>11</v>
      </c>
      <c r="D313" s="1">
        <f t="shared" si="5"/>
        <v>306</v>
      </c>
    </row>
    <row r="314" spans="1:4" x14ac:dyDescent="0.25">
      <c r="A314">
        <v>1</v>
      </c>
      <c r="B314" s="4">
        <v>12</v>
      </c>
      <c r="D314" s="1">
        <f t="shared" si="5"/>
        <v>336</v>
      </c>
    </row>
    <row r="315" spans="1:4" x14ac:dyDescent="0.25">
      <c r="A315">
        <v>1</v>
      </c>
      <c r="B315" s="4">
        <v>1</v>
      </c>
      <c r="D315" s="1">
        <f t="shared" si="5"/>
        <v>1</v>
      </c>
    </row>
    <row r="316" spans="1:4" x14ac:dyDescent="0.25">
      <c r="A316">
        <v>1</v>
      </c>
      <c r="B316" s="4">
        <v>2</v>
      </c>
      <c r="D316" s="1">
        <f t="shared" si="5"/>
        <v>32</v>
      </c>
    </row>
    <row r="317" spans="1:4" x14ac:dyDescent="0.25">
      <c r="A317">
        <v>1</v>
      </c>
      <c r="B317" s="4">
        <v>3</v>
      </c>
      <c r="D317" s="1">
        <f t="shared" si="5"/>
        <v>61</v>
      </c>
    </row>
    <row r="318" spans="1:4" x14ac:dyDescent="0.25">
      <c r="A318">
        <v>1</v>
      </c>
      <c r="B318" s="4">
        <v>4</v>
      </c>
      <c r="D318" s="1">
        <f t="shared" si="5"/>
        <v>92</v>
      </c>
    </row>
    <row r="319" spans="1:4" x14ac:dyDescent="0.25">
      <c r="A319">
        <v>1</v>
      </c>
      <c r="B319" s="4">
        <v>5</v>
      </c>
      <c r="D319" s="1">
        <f t="shared" si="5"/>
        <v>122</v>
      </c>
    </row>
    <row r="320" spans="1:4" x14ac:dyDescent="0.25">
      <c r="A320">
        <v>1</v>
      </c>
      <c r="B320" s="4">
        <v>6</v>
      </c>
      <c r="D320" s="1">
        <f t="shared" si="5"/>
        <v>153</v>
      </c>
    </row>
    <row r="321" spans="1:4" x14ac:dyDescent="0.25">
      <c r="A321">
        <v>1</v>
      </c>
      <c r="B321" s="4">
        <v>7</v>
      </c>
      <c r="D321" s="1">
        <f t="shared" si="5"/>
        <v>183</v>
      </c>
    </row>
    <row r="322" spans="1:4" x14ac:dyDescent="0.25">
      <c r="A322">
        <v>1</v>
      </c>
      <c r="B322" s="4">
        <v>8</v>
      </c>
      <c r="D322" s="1">
        <f t="shared" si="5"/>
        <v>214</v>
      </c>
    </row>
    <row r="323" spans="1:4" x14ac:dyDescent="0.25">
      <c r="A323">
        <v>1</v>
      </c>
      <c r="B323" s="4">
        <v>9</v>
      </c>
      <c r="D323" s="1">
        <f t="shared" si="5"/>
        <v>245</v>
      </c>
    </row>
    <row r="324" spans="1:4" x14ac:dyDescent="0.25">
      <c r="A324">
        <v>1</v>
      </c>
      <c r="B324" s="4">
        <v>10</v>
      </c>
      <c r="D324" s="1">
        <f t="shared" si="5"/>
        <v>275</v>
      </c>
    </row>
    <row r="325" spans="1:4" x14ac:dyDescent="0.25">
      <c r="A325">
        <v>1</v>
      </c>
      <c r="B325" s="4">
        <v>11</v>
      </c>
      <c r="D325" s="1">
        <f t="shared" si="5"/>
        <v>306</v>
      </c>
    </row>
    <row r="326" spans="1:4" x14ac:dyDescent="0.25">
      <c r="A326">
        <v>1</v>
      </c>
      <c r="B326" s="4">
        <v>12</v>
      </c>
      <c r="D326" s="1">
        <f t="shared" si="5"/>
        <v>336</v>
      </c>
    </row>
    <row r="327" spans="1:4" x14ac:dyDescent="0.25">
      <c r="A327">
        <v>1</v>
      </c>
      <c r="B327" s="4">
        <v>1</v>
      </c>
      <c r="D327" s="1">
        <f t="shared" si="5"/>
        <v>1</v>
      </c>
    </row>
    <row r="328" spans="1:4" x14ac:dyDescent="0.25">
      <c r="A328">
        <v>1</v>
      </c>
      <c r="B328" s="4">
        <v>2</v>
      </c>
      <c r="D328" s="1">
        <f t="shared" si="5"/>
        <v>32</v>
      </c>
    </row>
    <row r="329" spans="1:4" x14ac:dyDescent="0.25">
      <c r="A329">
        <v>1</v>
      </c>
      <c r="B329" s="4">
        <v>3</v>
      </c>
      <c r="D329" s="1">
        <f t="shared" si="5"/>
        <v>61</v>
      </c>
    </row>
    <row r="330" spans="1:4" x14ac:dyDescent="0.25">
      <c r="A330">
        <v>1</v>
      </c>
      <c r="B330" s="4">
        <v>4</v>
      </c>
      <c r="D330" s="1">
        <f t="shared" si="5"/>
        <v>92</v>
      </c>
    </row>
    <row r="331" spans="1:4" x14ac:dyDescent="0.25">
      <c r="A331">
        <v>1</v>
      </c>
      <c r="B331" s="4">
        <v>5</v>
      </c>
      <c r="D331" s="1">
        <f t="shared" si="5"/>
        <v>122</v>
      </c>
    </row>
    <row r="332" spans="1:4" x14ac:dyDescent="0.25">
      <c r="A332">
        <v>1</v>
      </c>
      <c r="B332" s="4">
        <v>6</v>
      </c>
      <c r="D332" s="1">
        <f t="shared" si="5"/>
        <v>153</v>
      </c>
    </row>
    <row r="333" spans="1:4" x14ac:dyDescent="0.25">
      <c r="A333">
        <v>1</v>
      </c>
      <c r="B333" s="4">
        <v>7</v>
      </c>
      <c r="D333" s="1">
        <f t="shared" si="5"/>
        <v>183</v>
      </c>
    </row>
    <row r="334" spans="1:4" x14ac:dyDescent="0.25">
      <c r="A334">
        <v>1</v>
      </c>
      <c r="B334" s="4">
        <v>8</v>
      </c>
      <c r="D334" s="1">
        <f t="shared" si="5"/>
        <v>214</v>
      </c>
    </row>
    <row r="335" spans="1:4" x14ac:dyDescent="0.25">
      <c r="A335">
        <v>1</v>
      </c>
      <c r="B335" s="4">
        <v>9</v>
      </c>
      <c r="D335" s="1">
        <f t="shared" si="5"/>
        <v>245</v>
      </c>
    </row>
    <row r="336" spans="1:4" x14ac:dyDescent="0.25">
      <c r="A336">
        <v>1</v>
      </c>
      <c r="B336" s="4">
        <v>10</v>
      </c>
      <c r="D336" s="1">
        <f t="shared" si="5"/>
        <v>275</v>
      </c>
    </row>
    <row r="337" spans="1:4" x14ac:dyDescent="0.25">
      <c r="A337">
        <v>1</v>
      </c>
      <c r="B337" s="4">
        <v>11</v>
      </c>
      <c r="D337" s="1">
        <f t="shared" si="5"/>
        <v>306</v>
      </c>
    </row>
    <row r="338" spans="1:4" x14ac:dyDescent="0.25">
      <c r="A338">
        <v>1</v>
      </c>
      <c r="B338" s="4">
        <v>12</v>
      </c>
      <c r="D338" s="1">
        <f t="shared" si="5"/>
        <v>336</v>
      </c>
    </row>
    <row r="339" spans="1:4" x14ac:dyDescent="0.25">
      <c r="A339">
        <v>1</v>
      </c>
      <c r="B339" s="4">
        <v>1</v>
      </c>
      <c r="D339" s="1">
        <f t="shared" si="5"/>
        <v>1</v>
      </c>
    </row>
    <row r="340" spans="1:4" x14ac:dyDescent="0.25">
      <c r="A340">
        <v>1</v>
      </c>
      <c r="B340" s="4">
        <v>2</v>
      </c>
      <c r="D340" s="1">
        <f t="shared" si="5"/>
        <v>32</v>
      </c>
    </row>
    <row r="341" spans="1:4" x14ac:dyDescent="0.25">
      <c r="A341">
        <v>1</v>
      </c>
      <c r="B341" s="4">
        <v>3</v>
      </c>
      <c r="D341" s="1">
        <f t="shared" si="5"/>
        <v>61</v>
      </c>
    </row>
    <row r="342" spans="1:4" x14ac:dyDescent="0.25">
      <c r="A342">
        <v>1</v>
      </c>
      <c r="B342" s="4">
        <v>4</v>
      </c>
      <c r="D342" s="1">
        <f t="shared" si="5"/>
        <v>92</v>
      </c>
    </row>
    <row r="343" spans="1:4" x14ac:dyDescent="0.25">
      <c r="A343">
        <v>1</v>
      </c>
      <c r="B343" s="4">
        <v>5</v>
      </c>
      <c r="D343" s="1">
        <f t="shared" si="5"/>
        <v>122</v>
      </c>
    </row>
    <row r="344" spans="1:4" x14ac:dyDescent="0.25">
      <c r="A344">
        <v>1</v>
      </c>
      <c r="B344" s="4">
        <v>6</v>
      </c>
      <c r="D344" s="1">
        <f t="shared" si="5"/>
        <v>153</v>
      </c>
    </row>
    <row r="345" spans="1:4" x14ac:dyDescent="0.25">
      <c r="A345">
        <v>1</v>
      </c>
      <c r="B345" s="4">
        <v>7</v>
      </c>
      <c r="D345" s="1">
        <f t="shared" si="5"/>
        <v>183</v>
      </c>
    </row>
    <row r="346" spans="1:4" x14ac:dyDescent="0.25">
      <c r="A346">
        <v>1</v>
      </c>
      <c r="B346" s="4">
        <v>8</v>
      </c>
      <c r="D346" s="1">
        <f t="shared" si="5"/>
        <v>214</v>
      </c>
    </row>
    <row r="347" spans="1:4" x14ac:dyDescent="0.25">
      <c r="A347">
        <v>1</v>
      </c>
      <c r="B347" s="4">
        <v>9</v>
      </c>
      <c r="D347" s="1">
        <f t="shared" si="5"/>
        <v>245</v>
      </c>
    </row>
    <row r="348" spans="1:4" x14ac:dyDescent="0.25">
      <c r="A348">
        <v>1</v>
      </c>
      <c r="B348" s="4">
        <v>10</v>
      </c>
      <c r="D348" s="1">
        <f t="shared" si="5"/>
        <v>275</v>
      </c>
    </row>
    <row r="349" spans="1:4" x14ac:dyDescent="0.25">
      <c r="A349">
        <v>1</v>
      </c>
      <c r="B349" s="4">
        <v>11</v>
      </c>
      <c r="D349" s="1">
        <f t="shared" si="5"/>
        <v>306</v>
      </c>
    </row>
    <row r="350" spans="1:4" x14ac:dyDescent="0.25">
      <c r="A350">
        <v>1</v>
      </c>
      <c r="B350" s="4">
        <v>12</v>
      </c>
      <c r="D350" s="1">
        <f t="shared" si="5"/>
        <v>336</v>
      </c>
    </row>
    <row r="351" spans="1:4" x14ac:dyDescent="0.25">
      <c r="A351">
        <v>1</v>
      </c>
      <c r="B351" s="4">
        <v>1</v>
      </c>
      <c r="D351" s="1">
        <f t="shared" si="5"/>
        <v>1</v>
      </c>
    </row>
    <row r="352" spans="1:4" x14ac:dyDescent="0.25">
      <c r="A352">
        <v>1</v>
      </c>
      <c r="B352" s="4">
        <v>2</v>
      </c>
      <c r="D352" s="1">
        <f t="shared" si="5"/>
        <v>32</v>
      </c>
    </row>
    <row r="353" spans="1:4" x14ac:dyDescent="0.25">
      <c r="A353">
        <v>1</v>
      </c>
      <c r="B353" s="4">
        <v>3</v>
      </c>
      <c r="D353" s="1">
        <f t="shared" si="5"/>
        <v>61</v>
      </c>
    </row>
    <row r="354" spans="1:4" x14ac:dyDescent="0.25">
      <c r="A354">
        <v>1</v>
      </c>
      <c r="B354" s="4">
        <v>4</v>
      </c>
      <c r="D354" s="1">
        <f t="shared" si="5"/>
        <v>92</v>
      </c>
    </row>
    <row r="355" spans="1:4" x14ac:dyDescent="0.25">
      <c r="A355">
        <v>1</v>
      </c>
      <c r="B355" s="4">
        <v>5</v>
      </c>
      <c r="D355" s="1">
        <f t="shared" si="5"/>
        <v>122</v>
      </c>
    </row>
    <row r="356" spans="1:4" x14ac:dyDescent="0.25">
      <c r="A356">
        <v>1</v>
      </c>
      <c r="B356" s="4">
        <v>6</v>
      </c>
      <c r="D356" s="1">
        <f t="shared" si="5"/>
        <v>153</v>
      </c>
    </row>
    <row r="357" spans="1:4" x14ac:dyDescent="0.25">
      <c r="A357">
        <v>1</v>
      </c>
      <c r="B357" s="4">
        <v>7</v>
      </c>
      <c r="D357" s="1">
        <f t="shared" si="5"/>
        <v>183</v>
      </c>
    </row>
    <row r="358" spans="1:4" x14ac:dyDescent="0.25">
      <c r="A358">
        <v>1</v>
      </c>
      <c r="B358" s="4">
        <v>8</v>
      </c>
      <c r="D358" s="1">
        <f t="shared" si="5"/>
        <v>214</v>
      </c>
    </row>
    <row r="359" spans="1:4" x14ac:dyDescent="0.25">
      <c r="A359">
        <v>1</v>
      </c>
      <c r="B359" s="4">
        <v>9</v>
      </c>
      <c r="D359" s="1">
        <f t="shared" si="5"/>
        <v>245</v>
      </c>
    </row>
    <row r="360" spans="1:4" x14ac:dyDescent="0.25">
      <c r="A360">
        <v>1</v>
      </c>
      <c r="B360" s="4">
        <v>10</v>
      </c>
      <c r="D360" s="1">
        <f t="shared" si="5"/>
        <v>275</v>
      </c>
    </row>
    <row r="361" spans="1:4" x14ac:dyDescent="0.25">
      <c r="A361">
        <v>1</v>
      </c>
      <c r="B361" s="4">
        <v>11</v>
      </c>
      <c r="D361" s="1">
        <f t="shared" si="5"/>
        <v>306</v>
      </c>
    </row>
    <row r="362" spans="1:4" x14ac:dyDescent="0.25">
      <c r="A362">
        <v>1</v>
      </c>
      <c r="B362" s="4">
        <v>12</v>
      </c>
      <c r="D362" s="1">
        <f t="shared" si="5"/>
        <v>336</v>
      </c>
    </row>
    <row r="363" spans="1:4" x14ac:dyDescent="0.25">
      <c r="A363">
        <v>1</v>
      </c>
      <c r="B363" s="4">
        <v>1</v>
      </c>
      <c r="D363" s="1">
        <f t="shared" si="5"/>
        <v>1</v>
      </c>
    </row>
    <row r="364" spans="1:4" x14ac:dyDescent="0.25">
      <c r="A364">
        <v>1</v>
      </c>
      <c r="B364" s="4">
        <v>2</v>
      </c>
      <c r="D364" s="1">
        <f t="shared" si="5"/>
        <v>32</v>
      </c>
    </row>
    <row r="365" spans="1:4" x14ac:dyDescent="0.25">
      <c r="A365">
        <v>1</v>
      </c>
      <c r="B365" s="4">
        <v>3</v>
      </c>
      <c r="D365" s="1">
        <f t="shared" si="5"/>
        <v>61</v>
      </c>
    </row>
    <row r="366" spans="1:4" x14ac:dyDescent="0.25">
      <c r="A366">
        <v>1</v>
      </c>
      <c r="B366" s="4">
        <v>4</v>
      </c>
      <c r="D366" s="1">
        <f t="shared" si="5"/>
        <v>92</v>
      </c>
    </row>
    <row r="367" spans="1:4" x14ac:dyDescent="0.25">
      <c r="A367">
        <v>1</v>
      </c>
      <c r="B367" s="4">
        <v>5</v>
      </c>
      <c r="D367" s="1">
        <f t="shared" si="5"/>
        <v>122</v>
      </c>
    </row>
    <row r="368" spans="1:4" x14ac:dyDescent="0.25">
      <c r="A368">
        <v>1</v>
      </c>
      <c r="B368" s="4">
        <v>6</v>
      </c>
      <c r="D368" s="1">
        <f t="shared" si="5"/>
        <v>153</v>
      </c>
    </row>
    <row r="369" spans="1:4" x14ac:dyDescent="0.25">
      <c r="A369">
        <v>1</v>
      </c>
      <c r="B369" s="4">
        <v>7</v>
      </c>
      <c r="D369" s="1">
        <f t="shared" si="5"/>
        <v>183</v>
      </c>
    </row>
    <row r="370" spans="1:4" x14ac:dyDescent="0.25">
      <c r="A370">
        <v>1</v>
      </c>
      <c r="B370" s="4">
        <v>8</v>
      </c>
      <c r="D370" s="1">
        <f t="shared" si="5"/>
        <v>214</v>
      </c>
    </row>
    <row r="371" spans="1:4" x14ac:dyDescent="0.25">
      <c r="A371">
        <v>1</v>
      </c>
      <c r="B371" s="4">
        <v>9</v>
      </c>
      <c r="D371" s="1">
        <f t="shared" si="5"/>
        <v>245</v>
      </c>
    </row>
    <row r="372" spans="1:4" x14ac:dyDescent="0.25">
      <c r="A372">
        <v>1</v>
      </c>
      <c r="B372" s="4">
        <v>10</v>
      </c>
      <c r="D372" s="1">
        <f t="shared" si="5"/>
        <v>275</v>
      </c>
    </row>
    <row r="373" spans="1:4" x14ac:dyDescent="0.25">
      <c r="A373">
        <v>1</v>
      </c>
      <c r="B373" s="4">
        <v>11</v>
      </c>
      <c r="D373" s="1">
        <f t="shared" si="5"/>
        <v>306</v>
      </c>
    </row>
    <row r="374" spans="1:4" x14ac:dyDescent="0.25">
      <c r="A374">
        <v>1</v>
      </c>
      <c r="B374" s="4">
        <v>12</v>
      </c>
      <c r="D374" s="1">
        <f t="shared" si="5"/>
        <v>336</v>
      </c>
    </row>
    <row r="375" spans="1:4" x14ac:dyDescent="0.25">
      <c r="A375">
        <v>1</v>
      </c>
      <c r="B375" s="4">
        <v>1</v>
      </c>
      <c r="D375" s="1">
        <f t="shared" ref="D375:D438" si="6">DATE(C375,B375,1)</f>
        <v>1</v>
      </c>
    </row>
    <row r="376" spans="1:4" x14ac:dyDescent="0.25">
      <c r="A376">
        <v>1</v>
      </c>
      <c r="B376" s="4">
        <v>2</v>
      </c>
      <c r="D376" s="1">
        <f t="shared" si="6"/>
        <v>32</v>
      </c>
    </row>
    <row r="377" spans="1:4" x14ac:dyDescent="0.25">
      <c r="A377">
        <v>1</v>
      </c>
      <c r="B377" s="4">
        <v>3</v>
      </c>
      <c r="D377" s="1">
        <f t="shared" si="6"/>
        <v>61</v>
      </c>
    </row>
    <row r="378" spans="1:4" x14ac:dyDescent="0.25">
      <c r="A378">
        <v>1</v>
      </c>
      <c r="B378" s="4">
        <v>4</v>
      </c>
      <c r="D378" s="1">
        <f t="shared" si="6"/>
        <v>92</v>
      </c>
    </row>
    <row r="379" spans="1:4" x14ac:dyDescent="0.25">
      <c r="A379">
        <v>1</v>
      </c>
      <c r="B379" s="4">
        <v>5</v>
      </c>
      <c r="D379" s="1">
        <f t="shared" si="6"/>
        <v>122</v>
      </c>
    </row>
    <row r="380" spans="1:4" x14ac:dyDescent="0.25">
      <c r="A380">
        <v>1</v>
      </c>
      <c r="B380" s="4">
        <v>6</v>
      </c>
      <c r="D380" s="1">
        <f t="shared" si="6"/>
        <v>153</v>
      </c>
    </row>
    <row r="381" spans="1:4" x14ac:dyDescent="0.25">
      <c r="A381">
        <v>1</v>
      </c>
      <c r="B381" s="4">
        <v>7</v>
      </c>
      <c r="D381" s="1">
        <f t="shared" si="6"/>
        <v>183</v>
      </c>
    </row>
    <row r="382" spans="1:4" x14ac:dyDescent="0.25">
      <c r="A382">
        <v>1</v>
      </c>
      <c r="B382" s="4">
        <v>8</v>
      </c>
      <c r="D382" s="1">
        <f t="shared" si="6"/>
        <v>214</v>
      </c>
    </row>
    <row r="383" spans="1:4" x14ac:dyDescent="0.25">
      <c r="A383">
        <v>1</v>
      </c>
      <c r="B383" s="4">
        <v>9</v>
      </c>
      <c r="D383" s="1">
        <f t="shared" si="6"/>
        <v>245</v>
      </c>
    </row>
    <row r="384" spans="1:4" x14ac:dyDescent="0.25">
      <c r="A384">
        <v>1</v>
      </c>
      <c r="B384" s="4">
        <v>10</v>
      </c>
      <c r="D384" s="1">
        <f t="shared" si="6"/>
        <v>275</v>
      </c>
    </row>
    <row r="385" spans="1:4" x14ac:dyDescent="0.25">
      <c r="A385">
        <v>1</v>
      </c>
      <c r="B385" s="4">
        <v>11</v>
      </c>
      <c r="D385" s="1">
        <f t="shared" si="6"/>
        <v>306</v>
      </c>
    </row>
    <row r="386" spans="1:4" x14ac:dyDescent="0.25">
      <c r="A386">
        <v>1</v>
      </c>
      <c r="B386" s="4">
        <v>12</v>
      </c>
      <c r="D386" s="1">
        <f t="shared" si="6"/>
        <v>336</v>
      </c>
    </row>
    <row r="387" spans="1:4" x14ac:dyDescent="0.25">
      <c r="A387">
        <v>1</v>
      </c>
      <c r="B387" s="4">
        <v>1</v>
      </c>
      <c r="D387" s="1">
        <f t="shared" si="6"/>
        <v>1</v>
      </c>
    </row>
    <row r="388" spans="1:4" x14ac:dyDescent="0.25">
      <c r="A388">
        <v>1</v>
      </c>
      <c r="B388" s="4">
        <v>2</v>
      </c>
      <c r="D388" s="1">
        <f t="shared" si="6"/>
        <v>32</v>
      </c>
    </row>
    <row r="389" spans="1:4" x14ac:dyDescent="0.25">
      <c r="A389">
        <v>1</v>
      </c>
      <c r="B389" s="4">
        <v>3</v>
      </c>
      <c r="D389" s="1">
        <f t="shared" si="6"/>
        <v>61</v>
      </c>
    </row>
    <row r="390" spans="1:4" x14ac:dyDescent="0.25">
      <c r="A390">
        <v>1</v>
      </c>
      <c r="B390" s="4">
        <v>4</v>
      </c>
      <c r="D390" s="1">
        <f t="shared" si="6"/>
        <v>92</v>
      </c>
    </row>
    <row r="391" spans="1:4" x14ac:dyDescent="0.25">
      <c r="A391">
        <v>1</v>
      </c>
      <c r="B391" s="4">
        <v>5</v>
      </c>
      <c r="D391" s="1">
        <f t="shared" si="6"/>
        <v>122</v>
      </c>
    </row>
    <row r="392" spans="1:4" x14ac:dyDescent="0.25">
      <c r="A392">
        <v>1</v>
      </c>
      <c r="B392" s="4">
        <v>6</v>
      </c>
      <c r="D392" s="1">
        <f t="shared" si="6"/>
        <v>153</v>
      </c>
    </row>
    <row r="393" spans="1:4" x14ac:dyDescent="0.25">
      <c r="A393">
        <v>1</v>
      </c>
      <c r="B393" s="4">
        <v>7</v>
      </c>
      <c r="D393" s="1">
        <f t="shared" si="6"/>
        <v>183</v>
      </c>
    </row>
    <row r="394" spans="1:4" x14ac:dyDescent="0.25">
      <c r="A394">
        <v>1</v>
      </c>
      <c r="B394" s="4">
        <v>8</v>
      </c>
      <c r="D394" s="1">
        <f t="shared" si="6"/>
        <v>214</v>
      </c>
    </row>
    <row r="395" spans="1:4" x14ac:dyDescent="0.25">
      <c r="A395">
        <v>1</v>
      </c>
      <c r="B395" s="4">
        <v>9</v>
      </c>
      <c r="D395" s="1">
        <f t="shared" si="6"/>
        <v>245</v>
      </c>
    </row>
    <row r="396" spans="1:4" x14ac:dyDescent="0.25">
      <c r="A396">
        <v>1</v>
      </c>
      <c r="B396" s="4">
        <v>10</v>
      </c>
      <c r="D396" s="1">
        <f t="shared" si="6"/>
        <v>275</v>
      </c>
    </row>
    <row r="397" spans="1:4" x14ac:dyDescent="0.25">
      <c r="A397">
        <v>1</v>
      </c>
      <c r="B397" s="4">
        <v>11</v>
      </c>
      <c r="D397" s="1">
        <f t="shared" si="6"/>
        <v>306</v>
      </c>
    </row>
    <row r="398" spans="1:4" x14ac:dyDescent="0.25">
      <c r="A398">
        <v>1</v>
      </c>
      <c r="B398" s="4">
        <v>12</v>
      </c>
      <c r="D398" s="1">
        <f t="shared" si="6"/>
        <v>336</v>
      </c>
    </row>
    <row r="399" spans="1:4" x14ac:dyDescent="0.25">
      <c r="A399">
        <v>1</v>
      </c>
      <c r="B399" s="4">
        <v>1</v>
      </c>
      <c r="D399" s="1">
        <f t="shared" si="6"/>
        <v>1</v>
      </c>
    </row>
    <row r="400" spans="1:4" x14ac:dyDescent="0.25">
      <c r="A400">
        <v>1</v>
      </c>
      <c r="B400" s="4">
        <v>2</v>
      </c>
      <c r="D400" s="1">
        <f t="shared" si="6"/>
        <v>32</v>
      </c>
    </row>
    <row r="401" spans="1:4" x14ac:dyDescent="0.25">
      <c r="A401">
        <v>1</v>
      </c>
      <c r="B401" s="4">
        <v>3</v>
      </c>
      <c r="D401" s="1">
        <f t="shared" si="6"/>
        <v>61</v>
      </c>
    </row>
    <row r="402" spans="1:4" x14ac:dyDescent="0.25">
      <c r="A402">
        <v>1</v>
      </c>
      <c r="B402" s="4">
        <v>4</v>
      </c>
      <c r="D402" s="1">
        <f t="shared" si="6"/>
        <v>92</v>
      </c>
    </row>
    <row r="403" spans="1:4" x14ac:dyDescent="0.25">
      <c r="A403">
        <v>1</v>
      </c>
      <c r="B403" s="4">
        <v>5</v>
      </c>
      <c r="D403" s="1">
        <f t="shared" si="6"/>
        <v>122</v>
      </c>
    </row>
    <row r="404" spans="1:4" x14ac:dyDescent="0.25">
      <c r="A404">
        <v>1</v>
      </c>
      <c r="B404" s="4">
        <v>6</v>
      </c>
      <c r="D404" s="1">
        <f t="shared" si="6"/>
        <v>153</v>
      </c>
    </row>
    <row r="405" spans="1:4" x14ac:dyDescent="0.25">
      <c r="A405">
        <v>1</v>
      </c>
      <c r="B405" s="4">
        <v>7</v>
      </c>
      <c r="D405" s="1">
        <f t="shared" si="6"/>
        <v>183</v>
      </c>
    </row>
    <row r="406" spans="1:4" x14ac:dyDescent="0.25">
      <c r="A406">
        <v>1</v>
      </c>
      <c r="B406" s="4">
        <v>8</v>
      </c>
      <c r="D406" s="1">
        <f t="shared" si="6"/>
        <v>214</v>
      </c>
    </row>
    <row r="407" spans="1:4" x14ac:dyDescent="0.25">
      <c r="A407">
        <v>1</v>
      </c>
      <c r="B407" s="4">
        <v>9</v>
      </c>
      <c r="D407" s="1">
        <f t="shared" si="6"/>
        <v>245</v>
      </c>
    </row>
    <row r="408" spans="1:4" x14ac:dyDescent="0.25">
      <c r="A408">
        <v>1</v>
      </c>
      <c r="B408" s="4">
        <v>10</v>
      </c>
      <c r="D408" s="1">
        <f t="shared" si="6"/>
        <v>275</v>
      </c>
    </row>
    <row r="409" spans="1:4" x14ac:dyDescent="0.25">
      <c r="A409">
        <v>1</v>
      </c>
      <c r="B409" s="4">
        <v>11</v>
      </c>
      <c r="D409" s="1">
        <f t="shared" si="6"/>
        <v>306</v>
      </c>
    </row>
    <row r="410" spans="1:4" x14ac:dyDescent="0.25">
      <c r="A410">
        <v>1</v>
      </c>
      <c r="B410" s="4">
        <v>12</v>
      </c>
      <c r="D410" s="1">
        <f t="shared" si="6"/>
        <v>336</v>
      </c>
    </row>
    <row r="411" spans="1:4" x14ac:dyDescent="0.25">
      <c r="A411">
        <v>1</v>
      </c>
      <c r="B411" s="4">
        <v>1</v>
      </c>
      <c r="D411" s="1">
        <f t="shared" si="6"/>
        <v>1</v>
      </c>
    </row>
    <row r="412" spans="1:4" x14ac:dyDescent="0.25">
      <c r="A412">
        <v>1</v>
      </c>
      <c r="B412" s="4">
        <v>2</v>
      </c>
      <c r="D412" s="1">
        <f t="shared" si="6"/>
        <v>32</v>
      </c>
    </row>
    <row r="413" spans="1:4" x14ac:dyDescent="0.25">
      <c r="A413">
        <v>1</v>
      </c>
      <c r="B413" s="4">
        <v>3</v>
      </c>
      <c r="D413" s="1">
        <f t="shared" si="6"/>
        <v>61</v>
      </c>
    </row>
    <row r="414" spans="1:4" x14ac:dyDescent="0.25">
      <c r="A414">
        <v>1</v>
      </c>
      <c r="B414" s="4">
        <v>4</v>
      </c>
      <c r="D414" s="1">
        <f t="shared" si="6"/>
        <v>92</v>
      </c>
    </row>
    <row r="415" spans="1:4" x14ac:dyDescent="0.25">
      <c r="A415">
        <v>1</v>
      </c>
      <c r="B415" s="4">
        <v>5</v>
      </c>
      <c r="D415" s="1">
        <f t="shared" si="6"/>
        <v>122</v>
      </c>
    </row>
    <row r="416" spans="1:4" x14ac:dyDescent="0.25">
      <c r="A416">
        <v>1</v>
      </c>
      <c r="B416" s="4">
        <v>6</v>
      </c>
      <c r="D416" s="1">
        <f t="shared" si="6"/>
        <v>153</v>
      </c>
    </row>
    <row r="417" spans="1:4" x14ac:dyDescent="0.25">
      <c r="A417">
        <v>1</v>
      </c>
      <c r="B417" s="4">
        <v>7</v>
      </c>
      <c r="D417" s="1">
        <f t="shared" si="6"/>
        <v>183</v>
      </c>
    </row>
    <row r="418" spans="1:4" x14ac:dyDescent="0.25">
      <c r="A418">
        <v>1</v>
      </c>
      <c r="B418" s="4">
        <v>8</v>
      </c>
      <c r="D418" s="1">
        <f t="shared" si="6"/>
        <v>214</v>
      </c>
    </row>
    <row r="419" spans="1:4" x14ac:dyDescent="0.25">
      <c r="A419">
        <v>1</v>
      </c>
      <c r="B419" s="4">
        <v>9</v>
      </c>
      <c r="D419" s="1">
        <f t="shared" si="6"/>
        <v>245</v>
      </c>
    </row>
    <row r="420" spans="1:4" x14ac:dyDescent="0.25">
      <c r="A420">
        <v>1</v>
      </c>
      <c r="B420" s="4">
        <v>10</v>
      </c>
      <c r="D420" s="1">
        <f t="shared" si="6"/>
        <v>275</v>
      </c>
    </row>
    <row r="421" spans="1:4" x14ac:dyDescent="0.25">
      <c r="A421">
        <v>1</v>
      </c>
      <c r="B421" s="4">
        <v>11</v>
      </c>
      <c r="D421" s="1">
        <f t="shared" si="6"/>
        <v>306</v>
      </c>
    </row>
    <row r="422" spans="1:4" x14ac:dyDescent="0.25">
      <c r="A422">
        <v>1</v>
      </c>
      <c r="B422" s="4">
        <v>12</v>
      </c>
      <c r="D422" s="1">
        <f t="shared" si="6"/>
        <v>336</v>
      </c>
    </row>
    <row r="423" spans="1:4" x14ac:dyDescent="0.25">
      <c r="A423">
        <v>1</v>
      </c>
      <c r="B423" s="4">
        <v>1</v>
      </c>
      <c r="D423" s="1">
        <f t="shared" si="6"/>
        <v>1</v>
      </c>
    </row>
    <row r="424" spans="1:4" x14ac:dyDescent="0.25">
      <c r="A424">
        <v>1</v>
      </c>
      <c r="B424" s="4">
        <v>2</v>
      </c>
      <c r="D424" s="1">
        <f t="shared" si="6"/>
        <v>32</v>
      </c>
    </row>
    <row r="425" spans="1:4" x14ac:dyDescent="0.25">
      <c r="A425">
        <v>1</v>
      </c>
      <c r="B425" s="4">
        <v>3</v>
      </c>
      <c r="D425" s="1">
        <f t="shared" si="6"/>
        <v>61</v>
      </c>
    </row>
    <row r="426" spans="1:4" x14ac:dyDescent="0.25">
      <c r="A426">
        <v>1</v>
      </c>
      <c r="B426" s="4">
        <v>4</v>
      </c>
      <c r="D426" s="1">
        <f t="shared" si="6"/>
        <v>92</v>
      </c>
    </row>
    <row r="427" spans="1:4" x14ac:dyDescent="0.25">
      <c r="A427">
        <v>1</v>
      </c>
      <c r="B427" s="4">
        <v>5</v>
      </c>
      <c r="D427" s="1">
        <f t="shared" si="6"/>
        <v>122</v>
      </c>
    </row>
    <row r="428" spans="1:4" x14ac:dyDescent="0.25">
      <c r="A428">
        <v>1</v>
      </c>
      <c r="B428" s="4">
        <v>6</v>
      </c>
      <c r="D428" s="1">
        <f t="shared" si="6"/>
        <v>153</v>
      </c>
    </row>
    <row r="429" spans="1:4" x14ac:dyDescent="0.25">
      <c r="A429">
        <v>1</v>
      </c>
      <c r="B429" s="4">
        <v>7</v>
      </c>
      <c r="D429" s="1">
        <f t="shared" si="6"/>
        <v>183</v>
      </c>
    </row>
    <row r="430" spans="1:4" x14ac:dyDescent="0.25">
      <c r="A430">
        <v>1</v>
      </c>
      <c r="B430" s="4">
        <v>8</v>
      </c>
      <c r="D430" s="1">
        <f t="shared" si="6"/>
        <v>214</v>
      </c>
    </row>
    <row r="431" spans="1:4" x14ac:dyDescent="0.25">
      <c r="A431">
        <v>1</v>
      </c>
      <c r="B431" s="4">
        <v>9</v>
      </c>
      <c r="D431" s="1">
        <f t="shared" si="6"/>
        <v>245</v>
      </c>
    </row>
    <row r="432" spans="1:4" x14ac:dyDescent="0.25">
      <c r="A432">
        <v>1</v>
      </c>
      <c r="B432" s="4">
        <v>10</v>
      </c>
      <c r="D432" s="1">
        <f t="shared" si="6"/>
        <v>275</v>
      </c>
    </row>
    <row r="433" spans="1:4" x14ac:dyDescent="0.25">
      <c r="A433">
        <v>1</v>
      </c>
      <c r="B433" s="4">
        <v>11</v>
      </c>
      <c r="D433" s="1">
        <f t="shared" si="6"/>
        <v>306</v>
      </c>
    </row>
    <row r="434" spans="1:4" x14ac:dyDescent="0.25">
      <c r="A434">
        <v>1</v>
      </c>
      <c r="B434" s="4">
        <v>12</v>
      </c>
      <c r="D434" s="1">
        <f t="shared" si="6"/>
        <v>336</v>
      </c>
    </row>
    <row r="435" spans="1:4" x14ac:dyDescent="0.25">
      <c r="A435">
        <v>1</v>
      </c>
      <c r="B435" s="4">
        <v>1</v>
      </c>
      <c r="D435" s="1">
        <f t="shared" si="6"/>
        <v>1</v>
      </c>
    </row>
    <row r="436" spans="1:4" x14ac:dyDescent="0.25">
      <c r="A436">
        <v>1</v>
      </c>
      <c r="B436" s="4">
        <v>2</v>
      </c>
      <c r="D436" s="1">
        <f t="shared" si="6"/>
        <v>32</v>
      </c>
    </row>
    <row r="437" spans="1:4" x14ac:dyDescent="0.25">
      <c r="A437">
        <v>1</v>
      </c>
      <c r="B437" s="4">
        <v>3</v>
      </c>
      <c r="D437" s="1">
        <f t="shared" si="6"/>
        <v>61</v>
      </c>
    </row>
    <row r="438" spans="1:4" x14ac:dyDescent="0.25">
      <c r="A438">
        <v>1</v>
      </c>
      <c r="B438" s="4">
        <v>4</v>
      </c>
      <c r="D438" s="1">
        <f t="shared" si="6"/>
        <v>92</v>
      </c>
    </row>
    <row r="439" spans="1:4" x14ac:dyDescent="0.25">
      <c r="A439">
        <v>1</v>
      </c>
      <c r="B439" s="4">
        <v>5</v>
      </c>
      <c r="D439" s="1">
        <f t="shared" ref="D439:D502" si="7">DATE(C439,B439,1)</f>
        <v>122</v>
      </c>
    </row>
    <row r="440" spans="1:4" x14ac:dyDescent="0.25">
      <c r="A440">
        <v>1</v>
      </c>
      <c r="B440" s="4">
        <v>6</v>
      </c>
      <c r="D440" s="1">
        <f t="shared" si="7"/>
        <v>153</v>
      </c>
    </row>
    <row r="441" spans="1:4" x14ac:dyDescent="0.25">
      <c r="A441">
        <v>1</v>
      </c>
      <c r="B441" s="4">
        <v>7</v>
      </c>
      <c r="D441" s="1">
        <f t="shared" si="7"/>
        <v>183</v>
      </c>
    </row>
    <row r="442" spans="1:4" x14ac:dyDescent="0.25">
      <c r="A442">
        <v>1</v>
      </c>
      <c r="B442" s="4">
        <v>8</v>
      </c>
      <c r="D442" s="1">
        <f t="shared" si="7"/>
        <v>214</v>
      </c>
    </row>
    <row r="443" spans="1:4" x14ac:dyDescent="0.25">
      <c r="A443">
        <v>1</v>
      </c>
      <c r="B443" s="4">
        <v>9</v>
      </c>
      <c r="D443" s="1">
        <f t="shared" si="7"/>
        <v>245</v>
      </c>
    </row>
    <row r="444" spans="1:4" x14ac:dyDescent="0.25">
      <c r="A444">
        <v>1</v>
      </c>
      <c r="B444" s="4">
        <v>10</v>
      </c>
      <c r="D444" s="1">
        <f t="shared" si="7"/>
        <v>275</v>
      </c>
    </row>
    <row r="445" spans="1:4" x14ac:dyDescent="0.25">
      <c r="A445">
        <v>1</v>
      </c>
      <c r="B445" s="4">
        <v>11</v>
      </c>
      <c r="D445" s="1">
        <f t="shared" si="7"/>
        <v>306</v>
      </c>
    </row>
    <row r="446" spans="1:4" x14ac:dyDescent="0.25">
      <c r="A446">
        <v>1</v>
      </c>
      <c r="B446" s="4">
        <v>12</v>
      </c>
      <c r="D446" s="1">
        <f t="shared" si="7"/>
        <v>336</v>
      </c>
    </row>
    <row r="447" spans="1:4" x14ac:dyDescent="0.25">
      <c r="A447">
        <v>1</v>
      </c>
      <c r="B447" s="4">
        <v>1</v>
      </c>
      <c r="D447" s="1">
        <f t="shared" si="7"/>
        <v>1</v>
      </c>
    </row>
    <row r="448" spans="1:4" x14ac:dyDescent="0.25">
      <c r="A448">
        <v>1</v>
      </c>
      <c r="B448" s="4">
        <v>2</v>
      </c>
      <c r="D448" s="1">
        <f t="shared" si="7"/>
        <v>32</v>
      </c>
    </row>
    <row r="449" spans="1:4" x14ac:dyDescent="0.25">
      <c r="A449">
        <v>1</v>
      </c>
      <c r="B449" s="4">
        <v>3</v>
      </c>
      <c r="D449" s="1">
        <f t="shared" si="7"/>
        <v>61</v>
      </c>
    </row>
    <row r="450" spans="1:4" x14ac:dyDescent="0.25">
      <c r="A450">
        <v>1</v>
      </c>
      <c r="B450" s="4">
        <v>4</v>
      </c>
      <c r="D450" s="1">
        <f t="shared" si="7"/>
        <v>92</v>
      </c>
    </row>
    <row r="451" spans="1:4" x14ac:dyDescent="0.25">
      <c r="A451">
        <v>1</v>
      </c>
      <c r="B451" s="4">
        <v>5</v>
      </c>
      <c r="D451" s="1">
        <f t="shared" si="7"/>
        <v>122</v>
      </c>
    </row>
    <row r="452" spans="1:4" x14ac:dyDescent="0.25">
      <c r="A452">
        <v>1</v>
      </c>
      <c r="B452" s="4">
        <v>6</v>
      </c>
      <c r="D452" s="1">
        <f t="shared" si="7"/>
        <v>153</v>
      </c>
    </row>
    <row r="453" spans="1:4" x14ac:dyDescent="0.25">
      <c r="A453">
        <v>1</v>
      </c>
      <c r="B453" s="4">
        <v>7</v>
      </c>
      <c r="D453" s="1">
        <f t="shared" si="7"/>
        <v>183</v>
      </c>
    </row>
    <row r="454" spans="1:4" x14ac:dyDescent="0.25">
      <c r="A454">
        <v>1</v>
      </c>
      <c r="B454" s="4">
        <v>8</v>
      </c>
      <c r="D454" s="1">
        <f t="shared" si="7"/>
        <v>214</v>
      </c>
    </row>
    <row r="455" spans="1:4" x14ac:dyDescent="0.25">
      <c r="A455">
        <v>1</v>
      </c>
      <c r="B455" s="4">
        <v>9</v>
      </c>
      <c r="D455" s="1">
        <f t="shared" si="7"/>
        <v>245</v>
      </c>
    </row>
    <row r="456" spans="1:4" x14ac:dyDescent="0.25">
      <c r="A456">
        <v>1</v>
      </c>
      <c r="B456" s="4">
        <v>10</v>
      </c>
      <c r="D456" s="1">
        <f t="shared" si="7"/>
        <v>275</v>
      </c>
    </row>
    <row r="457" spans="1:4" x14ac:dyDescent="0.25">
      <c r="A457">
        <v>1</v>
      </c>
      <c r="B457" s="4">
        <v>11</v>
      </c>
      <c r="D457" s="1">
        <f t="shared" si="7"/>
        <v>306</v>
      </c>
    </row>
    <row r="458" spans="1:4" x14ac:dyDescent="0.25">
      <c r="A458">
        <v>1</v>
      </c>
      <c r="B458" s="4">
        <v>12</v>
      </c>
      <c r="D458" s="1">
        <f t="shared" si="7"/>
        <v>336</v>
      </c>
    </row>
    <row r="459" spans="1:4" x14ac:dyDescent="0.25">
      <c r="A459">
        <v>1</v>
      </c>
      <c r="B459" s="4"/>
      <c r="D459" s="1" t="e">
        <f t="shared" si="7"/>
        <v>#NUM!</v>
      </c>
    </row>
    <row r="460" spans="1:4" x14ac:dyDescent="0.25">
      <c r="A460">
        <v>1</v>
      </c>
      <c r="B460" s="4"/>
      <c r="D460" s="1" t="e">
        <f t="shared" si="7"/>
        <v>#NUM!</v>
      </c>
    </row>
    <row r="461" spans="1:4" x14ac:dyDescent="0.25">
      <c r="A461">
        <v>1</v>
      </c>
      <c r="B461" s="4"/>
      <c r="D461" s="1" t="e">
        <f t="shared" si="7"/>
        <v>#NUM!</v>
      </c>
    </row>
    <row r="462" spans="1:4" x14ac:dyDescent="0.25">
      <c r="A462">
        <v>1</v>
      </c>
      <c r="B462" s="4"/>
      <c r="D462" s="1" t="e">
        <f t="shared" si="7"/>
        <v>#NUM!</v>
      </c>
    </row>
    <row r="463" spans="1:4" x14ac:dyDescent="0.25">
      <c r="A463">
        <v>1</v>
      </c>
      <c r="B463" s="4"/>
      <c r="D463" s="1" t="e">
        <f t="shared" si="7"/>
        <v>#NUM!</v>
      </c>
    </row>
    <row r="464" spans="1:4" x14ac:dyDescent="0.25">
      <c r="A464">
        <v>1</v>
      </c>
      <c r="B464" s="4"/>
      <c r="D464" s="1" t="e">
        <f t="shared" si="7"/>
        <v>#NUM!</v>
      </c>
    </row>
    <row r="465" spans="1:4" x14ac:dyDescent="0.25">
      <c r="A465">
        <v>1</v>
      </c>
      <c r="B465" s="4"/>
      <c r="D465" s="1" t="e">
        <f t="shared" si="7"/>
        <v>#NUM!</v>
      </c>
    </row>
    <row r="466" spans="1:4" x14ac:dyDescent="0.25">
      <c r="A466">
        <v>1</v>
      </c>
      <c r="B466" s="4"/>
      <c r="D466" s="1" t="e">
        <f t="shared" si="7"/>
        <v>#NUM!</v>
      </c>
    </row>
    <row r="467" spans="1:4" x14ac:dyDescent="0.25">
      <c r="A467">
        <v>1</v>
      </c>
      <c r="B467" s="4"/>
      <c r="D467" s="1" t="e">
        <f t="shared" si="7"/>
        <v>#NUM!</v>
      </c>
    </row>
    <row r="468" spans="1:4" x14ac:dyDescent="0.25">
      <c r="A468">
        <v>1</v>
      </c>
      <c r="B468" s="4"/>
      <c r="D468" s="1" t="e">
        <f t="shared" si="7"/>
        <v>#NUM!</v>
      </c>
    </row>
    <row r="469" spans="1:4" x14ac:dyDescent="0.25">
      <c r="A469">
        <v>1</v>
      </c>
      <c r="B469" s="4"/>
      <c r="D469" s="1" t="e">
        <f t="shared" si="7"/>
        <v>#NUM!</v>
      </c>
    </row>
    <row r="470" spans="1:4" x14ac:dyDescent="0.25">
      <c r="A470">
        <v>1</v>
      </c>
      <c r="B470" s="4"/>
      <c r="D470" s="1" t="e">
        <f t="shared" si="7"/>
        <v>#NUM!</v>
      </c>
    </row>
    <row r="471" spans="1:4" x14ac:dyDescent="0.25">
      <c r="A471">
        <v>1</v>
      </c>
      <c r="B471" s="4"/>
      <c r="D471" s="1" t="e">
        <f t="shared" si="7"/>
        <v>#NUM!</v>
      </c>
    </row>
    <row r="472" spans="1:4" x14ac:dyDescent="0.25">
      <c r="A472">
        <v>1</v>
      </c>
      <c r="B472" s="4"/>
      <c r="D472" s="1" t="e">
        <f t="shared" si="7"/>
        <v>#NUM!</v>
      </c>
    </row>
    <row r="473" spans="1:4" x14ac:dyDescent="0.25">
      <c r="A473">
        <v>1</v>
      </c>
      <c r="B473" s="4"/>
      <c r="D473" s="1" t="e">
        <f t="shared" si="7"/>
        <v>#NUM!</v>
      </c>
    </row>
    <row r="474" spans="1:4" x14ac:dyDescent="0.25">
      <c r="A474">
        <v>1</v>
      </c>
      <c r="B474" s="4"/>
      <c r="D474" s="1" t="e">
        <f t="shared" si="7"/>
        <v>#NUM!</v>
      </c>
    </row>
    <row r="475" spans="1:4" x14ac:dyDescent="0.25">
      <c r="A475">
        <v>1</v>
      </c>
      <c r="B475" s="4"/>
      <c r="D475" s="1" t="e">
        <f t="shared" si="7"/>
        <v>#NUM!</v>
      </c>
    </row>
    <row r="476" spans="1:4" x14ac:dyDescent="0.25">
      <c r="A476">
        <v>1</v>
      </c>
      <c r="B476" s="4"/>
      <c r="D476" s="1" t="e">
        <f t="shared" si="7"/>
        <v>#NUM!</v>
      </c>
    </row>
    <row r="477" spans="1:4" x14ac:dyDescent="0.25">
      <c r="A477">
        <v>1</v>
      </c>
      <c r="B477" s="4"/>
      <c r="D477" s="1" t="e">
        <f t="shared" si="7"/>
        <v>#NUM!</v>
      </c>
    </row>
    <row r="478" spans="1:4" x14ac:dyDescent="0.25">
      <c r="A478">
        <v>1</v>
      </c>
      <c r="B478" s="4"/>
      <c r="D478" s="1" t="e">
        <f t="shared" si="7"/>
        <v>#NUM!</v>
      </c>
    </row>
    <row r="479" spans="1:4" x14ac:dyDescent="0.25">
      <c r="A479">
        <v>1</v>
      </c>
      <c r="B479" s="4"/>
      <c r="D479" s="1" t="e">
        <f t="shared" si="7"/>
        <v>#NUM!</v>
      </c>
    </row>
    <row r="480" spans="1:4" x14ac:dyDescent="0.25">
      <c r="A480">
        <v>1</v>
      </c>
      <c r="B480" s="4"/>
      <c r="D480" s="1" t="e">
        <f t="shared" si="7"/>
        <v>#NUM!</v>
      </c>
    </row>
    <row r="481" spans="1:4" x14ac:dyDescent="0.25">
      <c r="A481">
        <v>1</v>
      </c>
      <c r="B481" s="4"/>
      <c r="D481" s="1" t="e">
        <f t="shared" si="7"/>
        <v>#NUM!</v>
      </c>
    </row>
    <row r="482" spans="1:4" x14ac:dyDescent="0.25">
      <c r="A482">
        <v>1</v>
      </c>
      <c r="B482" s="4"/>
      <c r="D482" s="1" t="e">
        <f t="shared" si="7"/>
        <v>#NUM!</v>
      </c>
    </row>
    <row r="483" spans="1:4" x14ac:dyDescent="0.25">
      <c r="A483">
        <v>1</v>
      </c>
      <c r="B483" s="4"/>
      <c r="D483" s="1" t="e">
        <f t="shared" si="7"/>
        <v>#NUM!</v>
      </c>
    </row>
    <row r="484" spans="1:4" x14ac:dyDescent="0.25">
      <c r="A484">
        <v>1</v>
      </c>
      <c r="B484" s="4"/>
      <c r="D484" s="1" t="e">
        <f t="shared" si="7"/>
        <v>#NUM!</v>
      </c>
    </row>
    <row r="485" spans="1:4" x14ac:dyDescent="0.25">
      <c r="A485">
        <v>1</v>
      </c>
      <c r="B485" s="4"/>
      <c r="D485" s="1" t="e">
        <f t="shared" si="7"/>
        <v>#NUM!</v>
      </c>
    </row>
    <row r="486" spans="1:4" x14ac:dyDescent="0.25">
      <c r="A486">
        <v>1</v>
      </c>
      <c r="B486" s="4"/>
      <c r="D486" s="1" t="e">
        <f t="shared" si="7"/>
        <v>#NUM!</v>
      </c>
    </row>
    <row r="487" spans="1:4" x14ac:dyDescent="0.25">
      <c r="A487">
        <v>1</v>
      </c>
      <c r="B487" s="4"/>
      <c r="D487" s="1" t="e">
        <f t="shared" si="7"/>
        <v>#NUM!</v>
      </c>
    </row>
    <row r="488" spans="1:4" x14ac:dyDescent="0.25">
      <c r="A488">
        <v>1</v>
      </c>
      <c r="B488" s="4"/>
      <c r="D488" s="1" t="e">
        <f t="shared" si="7"/>
        <v>#NUM!</v>
      </c>
    </row>
    <row r="489" spans="1:4" x14ac:dyDescent="0.25">
      <c r="A489">
        <v>1</v>
      </c>
      <c r="B489" s="4"/>
      <c r="D489" s="1" t="e">
        <f t="shared" si="7"/>
        <v>#NUM!</v>
      </c>
    </row>
    <row r="490" spans="1:4" x14ac:dyDescent="0.25">
      <c r="A490">
        <v>1</v>
      </c>
      <c r="B490" s="4"/>
      <c r="D490" s="1" t="e">
        <f t="shared" si="7"/>
        <v>#NUM!</v>
      </c>
    </row>
    <row r="491" spans="1:4" x14ac:dyDescent="0.25">
      <c r="A491">
        <v>1</v>
      </c>
      <c r="B491" s="4"/>
      <c r="D491" s="1" t="e">
        <f t="shared" si="7"/>
        <v>#NUM!</v>
      </c>
    </row>
    <row r="492" spans="1:4" x14ac:dyDescent="0.25">
      <c r="A492">
        <v>1</v>
      </c>
      <c r="B492" s="4"/>
      <c r="D492" s="1" t="e">
        <f t="shared" si="7"/>
        <v>#NUM!</v>
      </c>
    </row>
    <row r="493" spans="1:4" x14ac:dyDescent="0.25">
      <c r="A493">
        <v>1</v>
      </c>
      <c r="B493" s="4"/>
      <c r="D493" s="1" t="e">
        <f t="shared" si="7"/>
        <v>#NUM!</v>
      </c>
    </row>
    <row r="494" spans="1:4" x14ac:dyDescent="0.25">
      <c r="A494">
        <v>1</v>
      </c>
      <c r="B494" s="4"/>
      <c r="D494" s="1" t="e">
        <f t="shared" si="7"/>
        <v>#NUM!</v>
      </c>
    </row>
    <row r="495" spans="1:4" x14ac:dyDescent="0.25">
      <c r="A495">
        <v>1</v>
      </c>
      <c r="B495" s="4"/>
      <c r="D495" s="1" t="e">
        <f t="shared" si="7"/>
        <v>#NUM!</v>
      </c>
    </row>
    <row r="496" spans="1:4" x14ac:dyDescent="0.25">
      <c r="A496">
        <v>1</v>
      </c>
      <c r="B496" s="4"/>
      <c r="D496" s="1" t="e">
        <f t="shared" si="7"/>
        <v>#NUM!</v>
      </c>
    </row>
    <row r="497" spans="1:4" x14ac:dyDescent="0.25">
      <c r="A497">
        <v>1</v>
      </c>
      <c r="B497" s="4"/>
      <c r="D497" s="1" t="e">
        <f t="shared" si="7"/>
        <v>#NUM!</v>
      </c>
    </row>
    <row r="498" spans="1:4" x14ac:dyDescent="0.25">
      <c r="A498">
        <v>1</v>
      </c>
      <c r="B498" s="4"/>
      <c r="D498" s="1" t="e">
        <f t="shared" si="7"/>
        <v>#NUM!</v>
      </c>
    </row>
    <row r="499" spans="1:4" x14ac:dyDescent="0.25">
      <c r="A499">
        <v>1</v>
      </c>
      <c r="B499" s="4"/>
      <c r="D499" s="1" t="e">
        <f t="shared" si="7"/>
        <v>#NUM!</v>
      </c>
    </row>
    <row r="500" spans="1:4" x14ac:dyDescent="0.25">
      <c r="A500">
        <v>1</v>
      </c>
      <c r="B500" s="4"/>
      <c r="D500" s="1" t="e">
        <f t="shared" si="7"/>
        <v>#NUM!</v>
      </c>
    </row>
    <row r="501" spans="1:4" x14ac:dyDescent="0.25">
      <c r="A501">
        <v>1</v>
      </c>
      <c r="B501" s="4"/>
      <c r="D501" s="1" t="e">
        <f t="shared" si="7"/>
        <v>#NUM!</v>
      </c>
    </row>
    <row r="502" spans="1:4" x14ac:dyDescent="0.25">
      <c r="A502">
        <v>1</v>
      </c>
      <c r="B502" s="4"/>
      <c r="D502" s="1" t="e">
        <f t="shared" si="7"/>
        <v>#NUM!</v>
      </c>
    </row>
    <row r="503" spans="1:4" x14ac:dyDescent="0.25">
      <c r="A503">
        <v>1</v>
      </c>
      <c r="B503" s="4"/>
      <c r="D503" s="1" t="e">
        <f t="shared" ref="D503:D566" si="8">DATE(C503,B503,1)</f>
        <v>#NUM!</v>
      </c>
    </row>
    <row r="504" spans="1:4" x14ac:dyDescent="0.25">
      <c r="A504">
        <v>1</v>
      </c>
      <c r="B504" s="4"/>
      <c r="D504" s="1" t="e">
        <f t="shared" si="8"/>
        <v>#NUM!</v>
      </c>
    </row>
    <row r="505" spans="1:4" x14ac:dyDescent="0.25">
      <c r="A505">
        <v>1</v>
      </c>
      <c r="B505" s="4"/>
      <c r="D505" s="1" t="e">
        <f t="shared" si="8"/>
        <v>#NUM!</v>
      </c>
    </row>
    <row r="506" spans="1:4" x14ac:dyDescent="0.25">
      <c r="A506">
        <v>1</v>
      </c>
      <c r="B506" s="4"/>
      <c r="D506" s="1" t="e">
        <f t="shared" si="8"/>
        <v>#NUM!</v>
      </c>
    </row>
    <row r="507" spans="1:4" x14ac:dyDescent="0.25">
      <c r="A507">
        <v>1</v>
      </c>
      <c r="B507" s="4"/>
      <c r="D507" s="1" t="e">
        <f t="shared" si="8"/>
        <v>#NUM!</v>
      </c>
    </row>
    <row r="508" spans="1:4" x14ac:dyDescent="0.25">
      <c r="A508">
        <v>1</v>
      </c>
      <c r="B508" s="4"/>
      <c r="D508" s="1" t="e">
        <f t="shared" si="8"/>
        <v>#NUM!</v>
      </c>
    </row>
    <row r="509" spans="1:4" x14ac:dyDescent="0.25">
      <c r="A509">
        <v>1</v>
      </c>
      <c r="B509" s="4"/>
      <c r="D509" s="1" t="e">
        <f t="shared" si="8"/>
        <v>#NUM!</v>
      </c>
    </row>
    <row r="510" spans="1:4" x14ac:dyDescent="0.25">
      <c r="A510">
        <v>1</v>
      </c>
      <c r="B510" s="4"/>
      <c r="D510" s="1" t="e">
        <f t="shared" si="8"/>
        <v>#NUM!</v>
      </c>
    </row>
    <row r="511" spans="1:4" x14ac:dyDescent="0.25">
      <c r="A511">
        <v>1</v>
      </c>
      <c r="B511" s="4"/>
      <c r="D511" s="1" t="e">
        <f t="shared" si="8"/>
        <v>#NUM!</v>
      </c>
    </row>
    <row r="512" spans="1:4" x14ac:dyDescent="0.25">
      <c r="A512">
        <v>1</v>
      </c>
      <c r="B512" s="4"/>
      <c r="D512" s="1" t="e">
        <f t="shared" si="8"/>
        <v>#NUM!</v>
      </c>
    </row>
    <row r="513" spans="1:4" x14ac:dyDescent="0.25">
      <c r="A513">
        <v>1</v>
      </c>
      <c r="B513" s="4"/>
      <c r="D513" s="1" t="e">
        <f t="shared" si="8"/>
        <v>#NUM!</v>
      </c>
    </row>
    <row r="514" spans="1:4" x14ac:dyDescent="0.25">
      <c r="A514">
        <v>1</v>
      </c>
      <c r="B514" s="4"/>
      <c r="D514" s="1" t="e">
        <f t="shared" si="8"/>
        <v>#NUM!</v>
      </c>
    </row>
    <row r="515" spans="1:4" x14ac:dyDescent="0.25">
      <c r="A515">
        <v>1</v>
      </c>
      <c r="B515" s="4"/>
      <c r="D515" s="1" t="e">
        <f t="shared" si="8"/>
        <v>#NUM!</v>
      </c>
    </row>
    <row r="516" spans="1:4" x14ac:dyDescent="0.25">
      <c r="A516">
        <v>1</v>
      </c>
      <c r="B516" s="4"/>
      <c r="D516" s="1" t="e">
        <f t="shared" si="8"/>
        <v>#NUM!</v>
      </c>
    </row>
    <row r="517" spans="1:4" x14ac:dyDescent="0.25">
      <c r="A517">
        <v>1</v>
      </c>
      <c r="B517" s="4"/>
      <c r="D517" s="1" t="e">
        <f t="shared" si="8"/>
        <v>#NUM!</v>
      </c>
    </row>
    <row r="518" spans="1:4" x14ac:dyDescent="0.25">
      <c r="A518">
        <v>1</v>
      </c>
      <c r="B518" s="4"/>
      <c r="D518" s="1" t="e">
        <f t="shared" si="8"/>
        <v>#NUM!</v>
      </c>
    </row>
    <row r="519" spans="1:4" x14ac:dyDescent="0.25">
      <c r="A519">
        <v>1</v>
      </c>
      <c r="B519" s="4"/>
      <c r="D519" s="1" t="e">
        <f t="shared" si="8"/>
        <v>#NUM!</v>
      </c>
    </row>
    <row r="520" spans="1:4" x14ac:dyDescent="0.25">
      <c r="A520">
        <v>1</v>
      </c>
      <c r="B520" s="4"/>
      <c r="D520" s="1" t="e">
        <f t="shared" si="8"/>
        <v>#NUM!</v>
      </c>
    </row>
    <row r="521" spans="1:4" x14ac:dyDescent="0.25">
      <c r="A521">
        <v>1</v>
      </c>
      <c r="B521" s="4"/>
      <c r="D521" s="1" t="e">
        <f t="shared" si="8"/>
        <v>#NUM!</v>
      </c>
    </row>
    <row r="522" spans="1:4" x14ac:dyDescent="0.25">
      <c r="A522">
        <v>1</v>
      </c>
      <c r="B522" s="4"/>
      <c r="D522" s="1" t="e">
        <f t="shared" si="8"/>
        <v>#NUM!</v>
      </c>
    </row>
    <row r="523" spans="1:4" x14ac:dyDescent="0.25">
      <c r="A523">
        <v>1</v>
      </c>
      <c r="B523" s="4"/>
      <c r="D523" s="1" t="e">
        <f t="shared" si="8"/>
        <v>#NUM!</v>
      </c>
    </row>
    <row r="524" spans="1:4" x14ac:dyDescent="0.25">
      <c r="A524">
        <v>1</v>
      </c>
      <c r="B524" s="4"/>
      <c r="D524" s="1" t="e">
        <f t="shared" si="8"/>
        <v>#NUM!</v>
      </c>
    </row>
    <row r="525" spans="1:4" x14ac:dyDescent="0.25">
      <c r="A525">
        <v>1</v>
      </c>
      <c r="B525" s="4"/>
      <c r="D525" s="1" t="e">
        <f t="shared" si="8"/>
        <v>#NUM!</v>
      </c>
    </row>
    <row r="526" spans="1:4" x14ac:dyDescent="0.25">
      <c r="A526">
        <v>1</v>
      </c>
      <c r="B526" s="4"/>
      <c r="D526" s="1" t="e">
        <f t="shared" si="8"/>
        <v>#NUM!</v>
      </c>
    </row>
    <row r="527" spans="1:4" x14ac:dyDescent="0.25">
      <c r="A527">
        <v>1</v>
      </c>
      <c r="B527" s="4"/>
      <c r="D527" s="1" t="e">
        <f t="shared" si="8"/>
        <v>#NUM!</v>
      </c>
    </row>
    <row r="528" spans="1:4" x14ac:dyDescent="0.25">
      <c r="A528">
        <v>1</v>
      </c>
      <c r="B528" s="4"/>
      <c r="D528" s="1" t="e">
        <f t="shared" si="8"/>
        <v>#NUM!</v>
      </c>
    </row>
    <row r="529" spans="1:4" x14ac:dyDescent="0.25">
      <c r="A529">
        <v>1</v>
      </c>
      <c r="B529" s="4"/>
      <c r="D529" s="1" t="e">
        <f t="shared" si="8"/>
        <v>#NUM!</v>
      </c>
    </row>
    <row r="530" spans="1:4" x14ac:dyDescent="0.25">
      <c r="A530">
        <v>1</v>
      </c>
      <c r="B530" s="4"/>
      <c r="D530" s="1" t="e">
        <f t="shared" si="8"/>
        <v>#NUM!</v>
      </c>
    </row>
    <row r="531" spans="1:4" x14ac:dyDescent="0.25">
      <c r="A531">
        <v>1</v>
      </c>
      <c r="B531" s="4"/>
      <c r="D531" s="1" t="e">
        <f t="shared" si="8"/>
        <v>#NUM!</v>
      </c>
    </row>
    <row r="532" spans="1:4" x14ac:dyDescent="0.25">
      <c r="A532">
        <v>1</v>
      </c>
      <c r="B532" s="4"/>
      <c r="D532" s="1" t="e">
        <f t="shared" si="8"/>
        <v>#NUM!</v>
      </c>
    </row>
    <row r="533" spans="1:4" x14ac:dyDescent="0.25">
      <c r="A533">
        <v>1</v>
      </c>
      <c r="B533" s="4"/>
      <c r="D533" s="1" t="e">
        <f t="shared" si="8"/>
        <v>#NUM!</v>
      </c>
    </row>
    <row r="534" spans="1:4" x14ac:dyDescent="0.25">
      <c r="A534">
        <v>1</v>
      </c>
      <c r="B534" s="4"/>
      <c r="D534" s="1" t="e">
        <f t="shared" si="8"/>
        <v>#NUM!</v>
      </c>
    </row>
    <row r="535" spans="1:4" x14ac:dyDescent="0.25">
      <c r="A535">
        <v>1</v>
      </c>
      <c r="B535" s="4"/>
      <c r="D535" s="1" t="e">
        <f t="shared" si="8"/>
        <v>#NUM!</v>
      </c>
    </row>
    <row r="536" spans="1:4" x14ac:dyDescent="0.25">
      <c r="A536">
        <v>1</v>
      </c>
      <c r="B536" s="4"/>
      <c r="D536" s="1" t="e">
        <f t="shared" si="8"/>
        <v>#NUM!</v>
      </c>
    </row>
    <row r="537" spans="1:4" x14ac:dyDescent="0.25">
      <c r="A537">
        <v>1</v>
      </c>
      <c r="B537" s="4"/>
      <c r="D537" s="1" t="e">
        <f t="shared" si="8"/>
        <v>#NUM!</v>
      </c>
    </row>
    <row r="538" spans="1:4" x14ac:dyDescent="0.25">
      <c r="A538">
        <v>1</v>
      </c>
      <c r="B538" s="4"/>
      <c r="D538" s="1" t="e">
        <f t="shared" si="8"/>
        <v>#NUM!</v>
      </c>
    </row>
    <row r="539" spans="1:4" x14ac:dyDescent="0.25">
      <c r="A539">
        <v>1</v>
      </c>
      <c r="B539" s="4"/>
      <c r="D539" s="1" t="e">
        <f t="shared" si="8"/>
        <v>#NUM!</v>
      </c>
    </row>
    <row r="540" spans="1:4" x14ac:dyDescent="0.25">
      <c r="A540">
        <v>1</v>
      </c>
      <c r="B540" s="4"/>
      <c r="D540" s="1" t="e">
        <f t="shared" si="8"/>
        <v>#NUM!</v>
      </c>
    </row>
    <row r="541" spans="1:4" x14ac:dyDescent="0.25">
      <c r="A541">
        <v>1</v>
      </c>
      <c r="B541" s="4"/>
      <c r="D541" s="1" t="e">
        <f t="shared" si="8"/>
        <v>#NUM!</v>
      </c>
    </row>
    <row r="542" spans="1:4" x14ac:dyDescent="0.25">
      <c r="A542">
        <v>1</v>
      </c>
      <c r="B542" s="4"/>
      <c r="D542" s="1" t="e">
        <f t="shared" si="8"/>
        <v>#NUM!</v>
      </c>
    </row>
    <row r="543" spans="1:4" x14ac:dyDescent="0.25">
      <c r="A543">
        <v>1</v>
      </c>
      <c r="B543" s="4"/>
      <c r="D543" s="1" t="e">
        <f t="shared" si="8"/>
        <v>#NUM!</v>
      </c>
    </row>
    <row r="544" spans="1:4" x14ac:dyDescent="0.25">
      <c r="A544">
        <v>1</v>
      </c>
      <c r="B544" s="4"/>
      <c r="D544" s="1" t="e">
        <f t="shared" si="8"/>
        <v>#NUM!</v>
      </c>
    </row>
    <row r="545" spans="1:4" x14ac:dyDescent="0.25">
      <c r="A545">
        <v>1</v>
      </c>
      <c r="B545" s="4"/>
      <c r="D545" s="1" t="e">
        <f t="shared" si="8"/>
        <v>#NUM!</v>
      </c>
    </row>
    <row r="546" spans="1:4" x14ac:dyDescent="0.25">
      <c r="A546">
        <v>1</v>
      </c>
      <c r="B546" s="4"/>
      <c r="D546" s="1" t="e">
        <f t="shared" si="8"/>
        <v>#NUM!</v>
      </c>
    </row>
    <row r="547" spans="1:4" x14ac:dyDescent="0.25">
      <c r="A547">
        <v>1</v>
      </c>
      <c r="B547" s="4"/>
      <c r="D547" s="1" t="e">
        <f t="shared" si="8"/>
        <v>#NUM!</v>
      </c>
    </row>
    <row r="548" spans="1:4" x14ac:dyDescent="0.25">
      <c r="A548">
        <v>1</v>
      </c>
      <c r="B548" s="4"/>
      <c r="D548" s="1" t="e">
        <f t="shared" si="8"/>
        <v>#NUM!</v>
      </c>
    </row>
    <row r="549" spans="1:4" x14ac:dyDescent="0.25">
      <c r="A549">
        <v>1</v>
      </c>
      <c r="B549" s="4"/>
      <c r="D549" s="1" t="e">
        <f t="shared" si="8"/>
        <v>#NUM!</v>
      </c>
    </row>
    <row r="550" spans="1:4" x14ac:dyDescent="0.25">
      <c r="A550">
        <v>1</v>
      </c>
      <c r="B550" s="4"/>
      <c r="D550" s="1" t="e">
        <f t="shared" si="8"/>
        <v>#NUM!</v>
      </c>
    </row>
    <row r="551" spans="1:4" x14ac:dyDescent="0.25">
      <c r="A551">
        <v>1</v>
      </c>
      <c r="B551" s="4"/>
      <c r="D551" s="1" t="e">
        <f t="shared" si="8"/>
        <v>#NUM!</v>
      </c>
    </row>
    <row r="552" spans="1:4" x14ac:dyDescent="0.25">
      <c r="A552">
        <v>1</v>
      </c>
      <c r="B552" s="4"/>
      <c r="D552" s="1" t="e">
        <f t="shared" si="8"/>
        <v>#NUM!</v>
      </c>
    </row>
    <row r="553" spans="1:4" x14ac:dyDescent="0.25">
      <c r="A553">
        <v>1</v>
      </c>
      <c r="B553" s="4"/>
      <c r="D553" s="1" t="e">
        <f t="shared" si="8"/>
        <v>#NUM!</v>
      </c>
    </row>
    <row r="554" spans="1:4" x14ac:dyDescent="0.25">
      <c r="A554">
        <v>1</v>
      </c>
      <c r="B554" s="4"/>
      <c r="D554" s="1" t="e">
        <f t="shared" si="8"/>
        <v>#NUM!</v>
      </c>
    </row>
    <row r="555" spans="1:4" x14ac:dyDescent="0.25">
      <c r="A555">
        <v>1</v>
      </c>
      <c r="B555" s="4"/>
      <c r="D555" s="1" t="e">
        <f t="shared" si="8"/>
        <v>#NUM!</v>
      </c>
    </row>
    <row r="556" spans="1:4" x14ac:dyDescent="0.25">
      <c r="A556">
        <v>1</v>
      </c>
      <c r="B556" s="4"/>
      <c r="D556" s="1" t="e">
        <f t="shared" si="8"/>
        <v>#NUM!</v>
      </c>
    </row>
    <row r="557" spans="1:4" x14ac:dyDescent="0.25">
      <c r="A557">
        <v>1</v>
      </c>
      <c r="B557" s="4"/>
      <c r="D557" s="1" t="e">
        <f t="shared" si="8"/>
        <v>#NUM!</v>
      </c>
    </row>
    <row r="558" spans="1:4" x14ac:dyDescent="0.25">
      <c r="A558">
        <v>1</v>
      </c>
      <c r="B558" s="4"/>
      <c r="D558" s="1" t="e">
        <f t="shared" si="8"/>
        <v>#NUM!</v>
      </c>
    </row>
    <row r="559" spans="1:4" x14ac:dyDescent="0.25">
      <c r="A559">
        <v>1</v>
      </c>
      <c r="B559" s="4"/>
      <c r="D559" s="1" t="e">
        <f t="shared" si="8"/>
        <v>#NUM!</v>
      </c>
    </row>
    <row r="560" spans="1:4" x14ac:dyDescent="0.25">
      <c r="A560">
        <v>1</v>
      </c>
      <c r="B560" s="4"/>
      <c r="D560" s="1" t="e">
        <f t="shared" si="8"/>
        <v>#NUM!</v>
      </c>
    </row>
    <row r="561" spans="1:4" x14ac:dyDescent="0.25">
      <c r="A561">
        <v>1</v>
      </c>
      <c r="B561" s="4"/>
      <c r="D561" s="1" t="e">
        <f t="shared" si="8"/>
        <v>#NUM!</v>
      </c>
    </row>
    <row r="562" spans="1:4" x14ac:dyDescent="0.25">
      <c r="A562">
        <v>1</v>
      </c>
      <c r="B562" s="4"/>
      <c r="D562" s="1" t="e">
        <f t="shared" si="8"/>
        <v>#NUM!</v>
      </c>
    </row>
    <row r="563" spans="1:4" x14ac:dyDescent="0.25">
      <c r="A563">
        <v>1</v>
      </c>
      <c r="B563" s="4"/>
      <c r="D563" s="1" t="e">
        <f t="shared" si="8"/>
        <v>#NUM!</v>
      </c>
    </row>
    <row r="564" spans="1:4" x14ac:dyDescent="0.25">
      <c r="A564">
        <v>1</v>
      </c>
      <c r="B564" s="4"/>
      <c r="D564" s="1" t="e">
        <f t="shared" si="8"/>
        <v>#NUM!</v>
      </c>
    </row>
    <row r="565" spans="1:4" x14ac:dyDescent="0.25">
      <c r="A565">
        <v>1</v>
      </c>
      <c r="B565" s="4"/>
      <c r="D565" s="1" t="e">
        <f t="shared" si="8"/>
        <v>#NUM!</v>
      </c>
    </row>
    <row r="566" spans="1:4" x14ac:dyDescent="0.25">
      <c r="A566">
        <v>1</v>
      </c>
      <c r="B566" s="4"/>
      <c r="D566" s="1" t="e">
        <f t="shared" si="8"/>
        <v>#NUM!</v>
      </c>
    </row>
    <row r="567" spans="1:4" x14ac:dyDescent="0.25">
      <c r="A567">
        <v>1</v>
      </c>
      <c r="B567" s="4"/>
      <c r="D567" s="1" t="e">
        <f t="shared" ref="D567:D630" si="9">DATE(C567,B567,1)</f>
        <v>#NUM!</v>
      </c>
    </row>
    <row r="568" spans="1:4" x14ac:dyDescent="0.25">
      <c r="A568">
        <v>1</v>
      </c>
      <c r="B568" s="4"/>
      <c r="D568" s="1" t="e">
        <f t="shared" si="9"/>
        <v>#NUM!</v>
      </c>
    </row>
    <row r="569" spans="1:4" x14ac:dyDescent="0.25">
      <c r="A569">
        <v>1</v>
      </c>
      <c r="B569" s="4"/>
      <c r="D569" s="1" t="e">
        <f t="shared" si="9"/>
        <v>#NUM!</v>
      </c>
    </row>
    <row r="570" spans="1:4" x14ac:dyDescent="0.25">
      <c r="A570">
        <v>1</v>
      </c>
      <c r="B570" s="4"/>
      <c r="D570" s="1" t="e">
        <f t="shared" si="9"/>
        <v>#NUM!</v>
      </c>
    </row>
    <row r="571" spans="1:4" x14ac:dyDescent="0.25">
      <c r="A571">
        <v>1</v>
      </c>
      <c r="B571" s="4"/>
      <c r="D571" s="1" t="e">
        <f t="shared" si="9"/>
        <v>#NUM!</v>
      </c>
    </row>
    <row r="572" spans="1:4" x14ac:dyDescent="0.25">
      <c r="A572">
        <v>1</v>
      </c>
      <c r="B572" s="4"/>
      <c r="D572" s="1" t="e">
        <f t="shared" si="9"/>
        <v>#NUM!</v>
      </c>
    </row>
    <row r="573" spans="1:4" x14ac:dyDescent="0.25">
      <c r="A573">
        <v>1</v>
      </c>
      <c r="B573" s="4"/>
      <c r="D573" s="1" t="e">
        <f t="shared" si="9"/>
        <v>#NUM!</v>
      </c>
    </row>
    <row r="574" spans="1:4" x14ac:dyDescent="0.25">
      <c r="A574">
        <v>1</v>
      </c>
      <c r="B574" s="4"/>
      <c r="D574" s="1" t="e">
        <f t="shared" si="9"/>
        <v>#NUM!</v>
      </c>
    </row>
    <row r="575" spans="1:4" x14ac:dyDescent="0.25">
      <c r="A575">
        <v>1</v>
      </c>
      <c r="B575" s="4"/>
      <c r="D575" s="1" t="e">
        <f t="shared" si="9"/>
        <v>#NUM!</v>
      </c>
    </row>
    <row r="576" spans="1:4" x14ac:dyDescent="0.25">
      <c r="A576">
        <v>1</v>
      </c>
      <c r="B576" s="4"/>
      <c r="D576" s="1" t="e">
        <f t="shared" si="9"/>
        <v>#NUM!</v>
      </c>
    </row>
    <row r="577" spans="1:4" x14ac:dyDescent="0.25">
      <c r="A577">
        <v>1</v>
      </c>
      <c r="B577" s="4"/>
      <c r="D577" s="1" t="e">
        <f t="shared" si="9"/>
        <v>#NUM!</v>
      </c>
    </row>
    <row r="578" spans="1:4" x14ac:dyDescent="0.25">
      <c r="A578">
        <v>1</v>
      </c>
      <c r="B578" s="4"/>
      <c r="D578" s="1" t="e">
        <f t="shared" si="9"/>
        <v>#NUM!</v>
      </c>
    </row>
    <row r="579" spans="1:4" x14ac:dyDescent="0.25">
      <c r="A579">
        <v>1</v>
      </c>
      <c r="B579" s="4"/>
      <c r="D579" s="1" t="e">
        <f t="shared" si="9"/>
        <v>#NUM!</v>
      </c>
    </row>
    <row r="580" spans="1:4" x14ac:dyDescent="0.25">
      <c r="A580">
        <v>1</v>
      </c>
      <c r="B580" s="4"/>
      <c r="D580" s="1" t="e">
        <f t="shared" si="9"/>
        <v>#NUM!</v>
      </c>
    </row>
    <row r="581" spans="1:4" x14ac:dyDescent="0.25">
      <c r="A581">
        <v>1</v>
      </c>
      <c r="B581" s="4"/>
      <c r="D581" s="1" t="e">
        <f t="shared" si="9"/>
        <v>#NUM!</v>
      </c>
    </row>
    <row r="582" spans="1:4" x14ac:dyDescent="0.25">
      <c r="A582">
        <v>1</v>
      </c>
      <c r="B582" s="4"/>
      <c r="D582" s="1" t="e">
        <f t="shared" si="9"/>
        <v>#NUM!</v>
      </c>
    </row>
    <row r="583" spans="1:4" x14ac:dyDescent="0.25">
      <c r="A583">
        <v>1</v>
      </c>
      <c r="B583" s="4"/>
      <c r="D583" s="1" t="e">
        <f t="shared" si="9"/>
        <v>#NUM!</v>
      </c>
    </row>
    <row r="584" spans="1:4" x14ac:dyDescent="0.25">
      <c r="A584">
        <v>1</v>
      </c>
      <c r="B584" s="4"/>
      <c r="D584" s="1" t="e">
        <f t="shared" si="9"/>
        <v>#NUM!</v>
      </c>
    </row>
    <row r="585" spans="1:4" x14ac:dyDescent="0.25">
      <c r="A585">
        <v>1</v>
      </c>
      <c r="B585" s="4"/>
      <c r="D585" s="1" t="e">
        <f t="shared" si="9"/>
        <v>#NUM!</v>
      </c>
    </row>
    <row r="586" spans="1:4" x14ac:dyDescent="0.25">
      <c r="A586">
        <v>1</v>
      </c>
      <c r="B586" s="4"/>
      <c r="D586" s="1" t="e">
        <f t="shared" si="9"/>
        <v>#NUM!</v>
      </c>
    </row>
    <row r="587" spans="1:4" x14ac:dyDescent="0.25">
      <c r="A587">
        <v>1</v>
      </c>
      <c r="B587" s="4"/>
      <c r="D587" s="1" t="e">
        <f t="shared" si="9"/>
        <v>#NUM!</v>
      </c>
    </row>
    <row r="588" spans="1:4" x14ac:dyDescent="0.25">
      <c r="A588">
        <v>1</v>
      </c>
      <c r="B588" s="4"/>
      <c r="D588" s="1" t="e">
        <f t="shared" si="9"/>
        <v>#NUM!</v>
      </c>
    </row>
    <row r="589" spans="1:4" x14ac:dyDescent="0.25">
      <c r="A589">
        <v>1</v>
      </c>
      <c r="B589" s="4"/>
      <c r="D589" s="1" t="e">
        <f t="shared" si="9"/>
        <v>#NUM!</v>
      </c>
    </row>
    <row r="590" spans="1:4" x14ac:dyDescent="0.25">
      <c r="A590">
        <v>1</v>
      </c>
      <c r="B590" s="4"/>
      <c r="D590" s="1" t="e">
        <f t="shared" si="9"/>
        <v>#NUM!</v>
      </c>
    </row>
    <row r="591" spans="1:4" x14ac:dyDescent="0.25">
      <c r="A591">
        <v>1</v>
      </c>
      <c r="B591" s="4"/>
      <c r="D591" s="1" t="e">
        <f t="shared" si="9"/>
        <v>#NUM!</v>
      </c>
    </row>
    <row r="592" spans="1:4" x14ac:dyDescent="0.25">
      <c r="A592">
        <v>1</v>
      </c>
      <c r="B592" s="4"/>
      <c r="D592" s="1" t="e">
        <f t="shared" si="9"/>
        <v>#NUM!</v>
      </c>
    </row>
    <row r="593" spans="1:4" x14ac:dyDescent="0.25">
      <c r="A593">
        <v>1</v>
      </c>
      <c r="B593" s="4"/>
      <c r="D593" s="1" t="e">
        <f t="shared" si="9"/>
        <v>#NUM!</v>
      </c>
    </row>
    <row r="594" spans="1:4" x14ac:dyDescent="0.25">
      <c r="A594">
        <v>1</v>
      </c>
      <c r="B594" s="4"/>
      <c r="D594" s="1" t="e">
        <f t="shared" si="9"/>
        <v>#NUM!</v>
      </c>
    </row>
    <row r="595" spans="1:4" x14ac:dyDescent="0.25">
      <c r="A595">
        <v>1</v>
      </c>
      <c r="B595" s="4"/>
      <c r="D595" s="1" t="e">
        <f t="shared" si="9"/>
        <v>#NUM!</v>
      </c>
    </row>
    <row r="596" spans="1:4" x14ac:dyDescent="0.25">
      <c r="A596">
        <v>1</v>
      </c>
      <c r="B596" s="4"/>
      <c r="D596" s="1" t="e">
        <f t="shared" si="9"/>
        <v>#NUM!</v>
      </c>
    </row>
    <row r="597" spans="1:4" x14ac:dyDescent="0.25">
      <c r="A597">
        <v>1</v>
      </c>
      <c r="B597" s="4"/>
      <c r="D597" s="1" t="e">
        <f t="shared" si="9"/>
        <v>#NUM!</v>
      </c>
    </row>
    <row r="598" spans="1:4" x14ac:dyDescent="0.25">
      <c r="A598">
        <v>1</v>
      </c>
      <c r="B598" s="4"/>
      <c r="D598" s="1" t="e">
        <f t="shared" si="9"/>
        <v>#NUM!</v>
      </c>
    </row>
    <row r="599" spans="1:4" x14ac:dyDescent="0.25">
      <c r="A599">
        <v>1</v>
      </c>
      <c r="B599" s="4"/>
      <c r="D599" s="1" t="e">
        <f t="shared" si="9"/>
        <v>#NUM!</v>
      </c>
    </row>
    <row r="600" spans="1:4" x14ac:dyDescent="0.25">
      <c r="A600">
        <v>1</v>
      </c>
      <c r="B600" s="4"/>
      <c r="D600" s="1" t="e">
        <f t="shared" si="9"/>
        <v>#NUM!</v>
      </c>
    </row>
    <row r="601" spans="1:4" x14ac:dyDescent="0.25">
      <c r="A601">
        <v>1</v>
      </c>
      <c r="B601" s="4"/>
      <c r="D601" s="1" t="e">
        <f t="shared" si="9"/>
        <v>#NUM!</v>
      </c>
    </row>
    <row r="602" spans="1:4" x14ac:dyDescent="0.25">
      <c r="A602">
        <v>1</v>
      </c>
      <c r="B602" s="4"/>
      <c r="D602" s="1" t="e">
        <f t="shared" si="9"/>
        <v>#NUM!</v>
      </c>
    </row>
    <row r="603" spans="1:4" x14ac:dyDescent="0.25">
      <c r="A603">
        <v>1</v>
      </c>
      <c r="B603" s="4"/>
      <c r="D603" s="1" t="e">
        <f t="shared" si="9"/>
        <v>#NUM!</v>
      </c>
    </row>
    <row r="604" spans="1:4" x14ac:dyDescent="0.25">
      <c r="A604">
        <v>1</v>
      </c>
      <c r="B604" s="4"/>
      <c r="D604" s="1" t="e">
        <f t="shared" si="9"/>
        <v>#NUM!</v>
      </c>
    </row>
    <row r="605" spans="1:4" x14ac:dyDescent="0.25">
      <c r="A605">
        <v>1</v>
      </c>
      <c r="B605" s="4"/>
      <c r="D605" s="1" t="e">
        <f t="shared" si="9"/>
        <v>#NUM!</v>
      </c>
    </row>
    <row r="606" spans="1:4" x14ac:dyDescent="0.25">
      <c r="A606">
        <v>1</v>
      </c>
      <c r="B606" s="4"/>
      <c r="D606" s="1" t="e">
        <f t="shared" si="9"/>
        <v>#NUM!</v>
      </c>
    </row>
    <row r="607" spans="1:4" x14ac:dyDescent="0.25">
      <c r="A607">
        <v>1</v>
      </c>
      <c r="B607" s="4"/>
      <c r="D607" s="1" t="e">
        <f t="shared" si="9"/>
        <v>#NUM!</v>
      </c>
    </row>
    <row r="608" spans="1:4" x14ac:dyDescent="0.25">
      <c r="A608">
        <v>1</v>
      </c>
      <c r="B608" s="4"/>
      <c r="D608" s="1" t="e">
        <f t="shared" si="9"/>
        <v>#NUM!</v>
      </c>
    </row>
    <row r="609" spans="1:4" x14ac:dyDescent="0.25">
      <c r="A609">
        <v>1</v>
      </c>
      <c r="B609" s="4"/>
      <c r="D609" s="1" t="e">
        <f t="shared" si="9"/>
        <v>#NUM!</v>
      </c>
    </row>
    <row r="610" spans="1:4" x14ac:dyDescent="0.25">
      <c r="A610">
        <v>1</v>
      </c>
      <c r="B610" s="4"/>
      <c r="D610" s="1" t="e">
        <f t="shared" si="9"/>
        <v>#NUM!</v>
      </c>
    </row>
    <row r="611" spans="1:4" x14ac:dyDescent="0.25">
      <c r="A611">
        <v>1</v>
      </c>
      <c r="B611" s="4"/>
      <c r="D611" s="1" t="e">
        <f t="shared" si="9"/>
        <v>#NUM!</v>
      </c>
    </row>
    <row r="612" spans="1:4" x14ac:dyDescent="0.25">
      <c r="A612">
        <v>1</v>
      </c>
      <c r="B612" s="4"/>
      <c r="D612" s="1" t="e">
        <f t="shared" si="9"/>
        <v>#NUM!</v>
      </c>
    </row>
    <row r="613" spans="1:4" x14ac:dyDescent="0.25">
      <c r="A613">
        <v>1</v>
      </c>
      <c r="B613" s="4"/>
      <c r="D613" s="1" t="e">
        <f t="shared" si="9"/>
        <v>#NUM!</v>
      </c>
    </row>
    <row r="614" spans="1:4" x14ac:dyDescent="0.25">
      <c r="A614">
        <v>1</v>
      </c>
      <c r="B614" s="4"/>
      <c r="D614" s="1" t="e">
        <f t="shared" si="9"/>
        <v>#NUM!</v>
      </c>
    </row>
    <row r="615" spans="1:4" x14ac:dyDescent="0.25">
      <c r="A615">
        <v>1</v>
      </c>
      <c r="B615" s="4"/>
      <c r="D615" s="1" t="e">
        <f t="shared" si="9"/>
        <v>#NUM!</v>
      </c>
    </row>
    <row r="616" spans="1:4" x14ac:dyDescent="0.25">
      <c r="A616">
        <v>1</v>
      </c>
      <c r="B616" s="4"/>
      <c r="D616" s="1" t="e">
        <f t="shared" si="9"/>
        <v>#NUM!</v>
      </c>
    </row>
    <row r="617" spans="1:4" x14ac:dyDescent="0.25">
      <c r="A617">
        <v>1</v>
      </c>
      <c r="B617" s="4"/>
      <c r="D617" s="1" t="e">
        <f t="shared" si="9"/>
        <v>#NUM!</v>
      </c>
    </row>
    <row r="618" spans="1:4" x14ac:dyDescent="0.25">
      <c r="A618">
        <v>1</v>
      </c>
      <c r="B618" s="4"/>
      <c r="D618" s="1" t="e">
        <f t="shared" si="9"/>
        <v>#NUM!</v>
      </c>
    </row>
    <row r="619" spans="1:4" x14ac:dyDescent="0.25">
      <c r="A619">
        <v>1</v>
      </c>
      <c r="B619" s="4"/>
      <c r="D619" s="1" t="e">
        <f t="shared" si="9"/>
        <v>#NUM!</v>
      </c>
    </row>
    <row r="620" spans="1:4" x14ac:dyDescent="0.25">
      <c r="A620">
        <v>1</v>
      </c>
      <c r="B620" s="4"/>
      <c r="D620" s="1" t="e">
        <f t="shared" si="9"/>
        <v>#NUM!</v>
      </c>
    </row>
    <row r="621" spans="1:4" x14ac:dyDescent="0.25">
      <c r="A621">
        <v>1</v>
      </c>
      <c r="B621" s="4"/>
      <c r="D621" s="1" t="e">
        <f t="shared" si="9"/>
        <v>#NUM!</v>
      </c>
    </row>
    <row r="622" spans="1:4" x14ac:dyDescent="0.25">
      <c r="A622">
        <v>1</v>
      </c>
      <c r="B622" s="4"/>
      <c r="D622" s="1" t="e">
        <f t="shared" si="9"/>
        <v>#NUM!</v>
      </c>
    </row>
    <row r="623" spans="1:4" x14ac:dyDescent="0.25">
      <c r="A623">
        <v>1</v>
      </c>
      <c r="B623" s="4"/>
      <c r="D623" s="1" t="e">
        <f t="shared" si="9"/>
        <v>#NUM!</v>
      </c>
    </row>
    <row r="624" spans="1:4" x14ac:dyDescent="0.25">
      <c r="A624">
        <v>1</v>
      </c>
      <c r="B624" s="4"/>
      <c r="D624" s="1" t="e">
        <f t="shared" si="9"/>
        <v>#NUM!</v>
      </c>
    </row>
    <row r="625" spans="1:4" x14ac:dyDescent="0.25">
      <c r="A625">
        <v>1</v>
      </c>
      <c r="B625" s="4"/>
      <c r="D625" s="1" t="e">
        <f t="shared" si="9"/>
        <v>#NUM!</v>
      </c>
    </row>
    <row r="626" spans="1:4" x14ac:dyDescent="0.25">
      <c r="A626">
        <v>1</v>
      </c>
      <c r="B626" s="4"/>
      <c r="D626" s="1" t="e">
        <f t="shared" si="9"/>
        <v>#NUM!</v>
      </c>
    </row>
    <row r="627" spans="1:4" x14ac:dyDescent="0.25">
      <c r="A627">
        <v>1</v>
      </c>
      <c r="B627" s="4"/>
      <c r="D627" s="1" t="e">
        <f t="shared" si="9"/>
        <v>#NUM!</v>
      </c>
    </row>
    <row r="628" spans="1:4" x14ac:dyDescent="0.25">
      <c r="A628">
        <v>1</v>
      </c>
      <c r="B628" s="4"/>
      <c r="D628" s="1" t="e">
        <f t="shared" si="9"/>
        <v>#NUM!</v>
      </c>
    </row>
    <row r="629" spans="1:4" x14ac:dyDescent="0.25">
      <c r="A629">
        <v>1</v>
      </c>
      <c r="B629" s="4"/>
      <c r="D629" s="1" t="e">
        <f t="shared" si="9"/>
        <v>#NUM!</v>
      </c>
    </row>
    <row r="630" spans="1:4" x14ac:dyDescent="0.25">
      <c r="A630">
        <v>1</v>
      </c>
      <c r="B630" s="4"/>
      <c r="D630" s="1" t="e">
        <f t="shared" si="9"/>
        <v>#NUM!</v>
      </c>
    </row>
    <row r="631" spans="1:4" x14ac:dyDescent="0.25">
      <c r="A631">
        <v>1</v>
      </c>
      <c r="B631" s="4"/>
      <c r="D631" s="1" t="e">
        <f t="shared" ref="D631:D694" si="10">DATE(C631,B631,1)</f>
        <v>#NUM!</v>
      </c>
    </row>
    <row r="632" spans="1:4" x14ac:dyDescent="0.25">
      <c r="A632">
        <v>1</v>
      </c>
      <c r="B632" s="4"/>
      <c r="D632" s="1" t="e">
        <f t="shared" si="10"/>
        <v>#NUM!</v>
      </c>
    </row>
    <row r="633" spans="1:4" x14ac:dyDescent="0.25">
      <c r="A633">
        <v>1</v>
      </c>
      <c r="B633" s="4"/>
      <c r="D633" s="1" t="e">
        <f t="shared" si="10"/>
        <v>#NUM!</v>
      </c>
    </row>
    <row r="634" spans="1:4" x14ac:dyDescent="0.25">
      <c r="A634">
        <v>1</v>
      </c>
      <c r="B634" s="4"/>
      <c r="D634" s="1" t="e">
        <f t="shared" si="10"/>
        <v>#NUM!</v>
      </c>
    </row>
    <row r="635" spans="1:4" x14ac:dyDescent="0.25">
      <c r="A635">
        <v>1</v>
      </c>
      <c r="B635" s="4"/>
      <c r="D635" s="1" t="e">
        <f t="shared" si="10"/>
        <v>#NUM!</v>
      </c>
    </row>
    <row r="636" spans="1:4" x14ac:dyDescent="0.25">
      <c r="A636">
        <v>1</v>
      </c>
      <c r="B636" s="4"/>
      <c r="D636" s="1" t="e">
        <f t="shared" si="10"/>
        <v>#NUM!</v>
      </c>
    </row>
    <row r="637" spans="1:4" x14ac:dyDescent="0.25">
      <c r="A637">
        <v>1</v>
      </c>
      <c r="B637" s="4"/>
      <c r="D637" s="1" t="e">
        <f t="shared" si="10"/>
        <v>#NUM!</v>
      </c>
    </row>
    <row r="638" spans="1:4" x14ac:dyDescent="0.25">
      <c r="A638">
        <v>1</v>
      </c>
      <c r="B638" s="4"/>
      <c r="D638" s="1" t="e">
        <f t="shared" si="10"/>
        <v>#NUM!</v>
      </c>
    </row>
    <row r="639" spans="1:4" x14ac:dyDescent="0.25">
      <c r="A639">
        <v>1</v>
      </c>
      <c r="B639" s="4"/>
      <c r="D639" s="1" t="e">
        <f t="shared" si="10"/>
        <v>#NUM!</v>
      </c>
    </row>
    <row r="640" spans="1:4" x14ac:dyDescent="0.25">
      <c r="A640">
        <v>1</v>
      </c>
      <c r="B640" s="4"/>
      <c r="D640" s="1" t="e">
        <f t="shared" si="10"/>
        <v>#NUM!</v>
      </c>
    </row>
    <row r="641" spans="1:4" x14ac:dyDescent="0.25">
      <c r="A641">
        <v>1</v>
      </c>
      <c r="B641" s="4"/>
      <c r="D641" s="1" t="e">
        <f t="shared" si="10"/>
        <v>#NUM!</v>
      </c>
    </row>
    <row r="642" spans="1:4" x14ac:dyDescent="0.25">
      <c r="A642">
        <v>1</v>
      </c>
      <c r="B642" s="4"/>
      <c r="D642" s="1" t="e">
        <f t="shared" si="10"/>
        <v>#NUM!</v>
      </c>
    </row>
    <row r="643" spans="1:4" x14ac:dyDescent="0.25">
      <c r="A643">
        <v>1</v>
      </c>
      <c r="B643" s="4"/>
      <c r="D643" s="1" t="e">
        <f t="shared" si="10"/>
        <v>#NUM!</v>
      </c>
    </row>
    <row r="644" spans="1:4" x14ac:dyDescent="0.25">
      <c r="A644">
        <v>1</v>
      </c>
      <c r="B644" s="4"/>
      <c r="D644" s="1" t="e">
        <f t="shared" si="10"/>
        <v>#NUM!</v>
      </c>
    </row>
    <row r="645" spans="1:4" x14ac:dyDescent="0.25">
      <c r="A645">
        <v>1</v>
      </c>
      <c r="B645" s="4"/>
      <c r="D645" s="1" t="e">
        <f t="shared" si="10"/>
        <v>#NUM!</v>
      </c>
    </row>
    <row r="646" spans="1:4" x14ac:dyDescent="0.25">
      <c r="A646">
        <v>1</v>
      </c>
      <c r="B646" s="4"/>
      <c r="D646" s="1" t="e">
        <f t="shared" si="10"/>
        <v>#NUM!</v>
      </c>
    </row>
    <row r="647" spans="1:4" x14ac:dyDescent="0.25">
      <c r="A647">
        <v>1</v>
      </c>
      <c r="B647" s="4"/>
      <c r="D647" s="1" t="e">
        <f t="shared" si="10"/>
        <v>#NUM!</v>
      </c>
    </row>
    <row r="648" spans="1:4" x14ac:dyDescent="0.25">
      <c r="A648">
        <v>1</v>
      </c>
      <c r="B648" s="4"/>
      <c r="D648" s="1" t="e">
        <f t="shared" si="10"/>
        <v>#NUM!</v>
      </c>
    </row>
    <row r="649" spans="1:4" x14ac:dyDescent="0.25">
      <c r="A649">
        <v>1</v>
      </c>
      <c r="B649" s="4"/>
      <c r="D649" s="1" t="e">
        <f t="shared" si="10"/>
        <v>#NUM!</v>
      </c>
    </row>
    <row r="650" spans="1:4" x14ac:dyDescent="0.25">
      <c r="A650">
        <v>1</v>
      </c>
      <c r="B650" s="4"/>
      <c r="D650" s="1" t="e">
        <f t="shared" si="10"/>
        <v>#NUM!</v>
      </c>
    </row>
    <row r="651" spans="1:4" x14ac:dyDescent="0.25">
      <c r="A651">
        <v>1</v>
      </c>
      <c r="B651" s="4"/>
      <c r="D651" s="1" t="e">
        <f t="shared" si="10"/>
        <v>#NUM!</v>
      </c>
    </row>
    <row r="652" spans="1:4" x14ac:dyDescent="0.25">
      <c r="A652">
        <v>1</v>
      </c>
      <c r="B652" s="4"/>
      <c r="D652" s="1" t="e">
        <f t="shared" si="10"/>
        <v>#NUM!</v>
      </c>
    </row>
    <row r="653" spans="1:4" x14ac:dyDescent="0.25">
      <c r="A653">
        <v>1</v>
      </c>
      <c r="B653" s="4"/>
      <c r="D653" s="1" t="e">
        <f t="shared" si="10"/>
        <v>#NUM!</v>
      </c>
    </row>
    <row r="654" spans="1:4" x14ac:dyDescent="0.25">
      <c r="A654">
        <v>1</v>
      </c>
      <c r="B654" s="4"/>
      <c r="D654" s="1" t="e">
        <f t="shared" si="10"/>
        <v>#NUM!</v>
      </c>
    </row>
    <row r="655" spans="1:4" x14ac:dyDescent="0.25">
      <c r="A655">
        <v>1</v>
      </c>
      <c r="B655" s="4"/>
      <c r="D655" s="1" t="e">
        <f t="shared" si="10"/>
        <v>#NUM!</v>
      </c>
    </row>
    <row r="656" spans="1:4" x14ac:dyDescent="0.25">
      <c r="A656">
        <v>1</v>
      </c>
      <c r="B656" s="4"/>
      <c r="D656" s="1" t="e">
        <f t="shared" si="10"/>
        <v>#NUM!</v>
      </c>
    </row>
    <row r="657" spans="1:4" x14ac:dyDescent="0.25">
      <c r="A657">
        <v>1</v>
      </c>
      <c r="B657" s="4"/>
      <c r="D657" s="1" t="e">
        <f t="shared" si="10"/>
        <v>#NUM!</v>
      </c>
    </row>
    <row r="658" spans="1:4" x14ac:dyDescent="0.25">
      <c r="A658">
        <v>1</v>
      </c>
      <c r="B658" s="4"/>
      <c r="D658" s="1" t="e">
        <f t="shared" si="10"/>
        <v>#NUM!</v>
      </c>
    </row>
    <row r="659" spans="1:4" x14ac:dyDescent="0.25">
      <c r="A659">
        <v>1</v>
      </c>
      <c r="B659" s="4"/>
      <c r="D659" s="1" t="e">
        <f t="shared" si="10"/>
        <v>#NUM!</v>
      </c>
    </row>
    <row r="660" spans="1:4" x14ac:dyDescent="0.25">
      <c r="A660">
        <v>1</v>
      </c>
      <c r="B660" s="4"/>
      <c r="D660" s="1" t="e">
        <f t="shared" si="10"/>
        <v>#NUM!</v>
      </c>
    </row>
    <row r="661" spans="1:4" x14ac:dyDescent="0.25">
      <c r="A661">
        <v>1</v>
      </c>
      <c r="B661" s="4"/>
      <c r="D661" s="1" t="e">
        <f t="shared" si="10"/>
        <v>#NUM!</v>
      </c>
    </row>
    <row r="662" spans="1:4" x14ac:dyDescent="0.25">
      <c r="A662">
        <v>1</v>
      </c>
      <c r="B662" s="4"/>
      <c r="D662" s="1" t="e">
        <f t="shared" si="10"/>
        <v>#NUM!</v>
      </c>
    </row>
    <row r="663" spans="1:4" x14ac:dyDescent="0.25">
      <c r="A663">
        <v>1</v>
      </c>
      <c r="B663" s="4"/>
      <c r="D663" s="1" t="e">
        <f t="shared" si="10"/>
        <v>#NUM!</v>
      </c>
    </row>
    <row r="664" spans="1:4" x14ac:dyDescent="0.25">
      <c r="A664">
        <v>1</v>
      </c>
      <c r="B664" s="4"/>
      <c r="D664" s="1" t="e">
        <f t="shared" si="10"/>
        <v>#NUM!</v>
      </c>
    </row>
    <row r="665" spans="1:4" x14ac:dyDescent="0.25">
      <c r="A665">
        <v>1</v>
      </c>
      <c r="B665" s="4"/>
      <c r="D665" s="1" t="e">
        <f t="shared" si="10"/>
        <v>#NUM!</v>
      </c>
    </row>
    <row r="666" spans="1:4" x14ac:dyDescent="0.25">
      <c r="A666">
        <v>1</v>
      </c>
      <c r="B666" s="4"/>
      <c r="D666" s="1" t="e">
        <f t="shared" si="10"/>
        <v>#NUM!</v>
      </c>
    </row>
    <row r="667" spans="1:4" x14ac:dyDescent="0.25">
      <c r="A667">
        <v>1</v>
      </c>
      <c r="B667" s="4"/>
      <c r="D667" s="1" t="e">
        <f t="shared" si="10"/>
        <v>#NUM!</v>
      </c>
    </row>
    <row r="668" spans="1:4" x14ac:dyDescent="0.25">
      <c r="A668">
        <v>1</v>
      </c>
      <c r="B668" s="4"/>
      <c r="D668" s="1" t="e">
        <f t="shared" si="10"/>
        <v>#NUM!</v>
      </c>
    </row>
    <row r="669" spans="1:4" x14ac:dyDescent="0.25">
      <c r="A669">
        <v>1</v>
      </c>
      <c r="B669" s="4"/>
      <c r="D669" s="1" t="e">
        <f t="shared" si="10"/>
        <v>#NUM!</v>
      </c>
    </row>
    <row r="670" spans="1:4" x14ac:dyDescent="0.25">
      <c r="A670">
        <v>1</v>
      </c>
      <c r="B670" s="4"/>
      <c r="D670" s="1" t="e">
        <f t="shared" si="10"/>
        <v>#NUM!</v>
      </c>
    </row>
    <row r="671" spans="1:4" x14ac:dyDescent="0.25">
      <c r="A671">
        <v>1</v>
      </c>
      <c r="B671" s="4"/>
      <c r="D671" s="1" t="e">
        <f t="shared" si="10"/>
        <v>#NUM!</v>
      </c>
    </row>
    <row r="672" spans="1:4" x14ac:dyDescent="0.25">
      <c r="A672">
        <v>1</v>
      </c>
      <c r="B672" s="4"/>
      <c r="D672" s="1" t="e">
        <f t="shared" si="10"/>
        <v>#NUM!</v>
      </c>
    </row>
    <row r="673" spans="1:4" x14ac:dyDescent="0.25">
      <c r="A673">
        <v>1</v>
      </c>
      <c r="B673" s="4"/>
      <c r="D673" s="1" t="e">
        <f t="shared" si="10"/>
        <v>#NUM!</v>
      </c>
    </row>
    <row r="674" spans="1:4" x14ac:dyDescent="0.25">
      <c r="A674">
        <v>1</v>
      </c>
      <c r="B674" s="4"/>
      <c r="D674" s="1" t="e">
        <f t="shared" si="10"/>
        <v>#NUM!</v>
      </c>
    </row>
    <row r="675" spans="1:4" x14ac:dyDescent="0.25">
      <c r="A675">
        <v>1</v>
      </c>
      <c r="B675" s="4"/>
      <c r="D675" s="1" t="e">
        <f t="shared" si="10"/>
        <v>#NUM!</v>
      </c>
    </row>
    <row r="676" spans="1:4" x14ac:dyDescent="0.25">
      <c r="A676">
        <v>1</v>
      </c>
      <c r="B676" s="4"/>
      <c r="D676" s="1" t="e">
        <f t="shared" si="10"/>
        <v>#NUM!</v>
      </c>
    </row>
    <row r="677" spans="1:4" x14ac:dyDescent="0.25">
      <c r="A677">
        <v>1</v>
      </c>
      <c r="B677" s="4"/>
      <c r="D677" s="1" t="e">
        <f t="shared" si="10"/>
        <v>#NUM!</v>
      </c>
    </row>
    <row r="678" spans="1:4" x14ac:dyDescent="0.25">
      <c r="A678">
        <v>1</v>
      </c>
      <c r="B678" s="4"/>
      <c r="D678" s="1" t="e">
        <f t="shared" si="10"/>
        <v>#NUM!</v>
      </c>
    </row>
    <row r="679" spans="1:4" x14ac:dyDescent="0.25">
      <c r="A679">
        <v>1</v>
      </c>
      <c r="B679" s="4"/>
      <c r="D679" s="1" t="e">
        <f t="shared" si="10"/>
        <v>#NUM!</v>
      </c>
    </row>
    <row r="680" spans="1:4" x14ac:dyDescent="0.25">
      <c r="A680">
        <v>1</v>
      </c>
      <c r="B680" s="4"/>
      <c r="D680" s="1" t="e">
        <f t="shared" si="10"/>
        <v>#NUM!</v>
      </c>
    </row>
    <row r="681" spans="1:4" x14ac:dyDescent="0.25">
      <c r="A681">
        <v>1</v>
      </c>
      <c r="B681" s="4"/>
      <c r="D681" s="1" t="e">
        <f t="shared" si="10"/>
        <v>#NUM!</v>
      </c>
    </row>
    <row r="682" spans="1:4" x14ac:dyDescent="0.25">
      <c r="A682">
        <v>1</v>
      </c>
      <c r="B682" s="4"/>
      <c r="D682" s="1" t="e">
        <f t="shared" si="10"/>
        <v>#NUM!</v>
      </c>
    </row>
    <row r="683" spans="1:4" x14ac:dyDescent="0.25">
      <c r="A683">
        <v>1</v>
      </c>
      <c r="B683" s="4"/>
      <c r="D683" s="1" t="e">
        <f t="shared" si="10"/>
        <v>#NUM!</v>
      </c>
    </row>
    <row r="684" spans="1:4" x14ac:dyDescent="0.25">
      <c r="A684">
        <v>1</v>
      </c>
      <c r="B684" s="4"/>
      <c r="D684" s="1" t="e">
        <f t="shared" si="10"/>
        <v>#NUM!</v>
      </c>
    </row>
    <row r="685" spans="1:4" x14ac:dyDescent="0.25">
      <c r="A685">
        <v>1</v>
      </c>
      <c r="B685" s="4"/>
      <c r="D685" s="1" t="e">
        <f t="shared" si="10"/>
        <v>#NUM!</v>
      </c>
    </row>
    <row r="686" spans="1:4" x14ac:dyDescent="0.25">
      <c r="A686">
        <v>1</v>
      </c>
      <c r="B686" s="4"/>
      <c r="D686" s="1" t="e">
        <f t="shared" si="10"/>
        <v>#NUM!</v>
      </c>
    </row>
    <row r="687" spans="1:4" x14ac:dyDescent="0.25">
      <c r="A687">
        <v>1</v>
      </c>
      <c r="B687" s="4"/>
      <c r="D687" s="1" t="e">
        <f t="shared" si="10"/>
        <v>#NUM!</v>
      </c>
    </row>
    <row r="688" spans="1:4" x14ac:dyDescent="0.25">
      <c r="A688">
        <v>1</v>
      </c>
      <c r="B688" s="4"/>
      <c r="D688" s="1" t="e">
        <f t="shared" si="10"/>
        <v>#NUM!</v>
      </c>
    </row>
    <row r="689" spans="1:4" x14ac:dyDescent="0.25">
      <c r="A689">
        <v>1</v>
      </c>
      <c r="B689" s="4"/>
      <c r="D689" s="1" t="e">
        <f t="shared" si="10"/>
        <v>#NUM!</v>
      </c>
    </row>
    <row r="690" spans="1:4" x14ac:dyDescent="0.25">
      <c r="A690">
        <v>1</v>
      </c>
      <c r="B690" s="4"/>
      <c r="D690" s="1" t="e">
        <f t="shared" si="10"/>
        <v>#NUM!</v>
      </c>
    </row>
    <row r="691" spans="1:4" x14ac:dyDescent="0.25">
      <c r="A691">
        <v>1</v>
      </c>
      <c r="B691" s="4"/>
      <c r="D691" s="1" t="e">
        <f t="shared" si="10"/>
        <v>#NUM!</v>
      </c>
    </row>
    <row r="692" spans="1:4" x14ac:dyDescent="0.25">
      <c r="A692">
        <v>1</v>
      </c>
      <c r="B692" s="4"/>
      <c r="D692" s="1" t="e">
        <f t="shared" si="10"/>
        <v>#NUM!</v>
      </c>
    </row>
    <row r="693" spans="1:4" x14ac:dyDescent="0.25">
      <c r="A693">
        <v>1</v>
      </c>
      <c r="B693" s="4"/>
      <c r="D693" s="1" t="e">
        <f t="shared" si="10"/>
        <v>#NUM!</v>
      </c>
    </row>
    <row r="694" spans="1:4" x14ac:dyDescent="0.25">
      <c r="A694">
        <v>1</v>
      </c>
      <c r="B694" s="4"/>
      <c r="D694" s="1" t="e">
        <f t="shared" si="10"/>
        <v>#NUM!</v>
      </c>
    </row>
    <row r="695" spans="1:4" x14ac:dyDescent="0.25">
      <c r="A695">
        <v>1</v>
      </c>
      <c r="B695" s="4"/>
      <c r="D695" s="1" t="e">
        <f t="shared" ref="D695:D758" si="11">DATE(C695,B695,1)</f>
        <v>#NUM!</v>
      </c>
    </row>
    <row r="696" spans="1:4" x14ac:dyDescent="0.25">
      <c r="A696">
        <v>1</v>
      </c>
      <c r="B696" s="4"/>
      <c r="D696" s="1" t="e">
        <f t="shared" si="11"/>
        <v>#NUM!</v>
      </c>
    </row>
    <row r="697" spans="1:4" x14ac:dyDescent="0.25">
      <c r="A697">
        <v>1</v>
      </c>
      <c r="B697" s="4"/>
      <c r="D697" s="1" t="e">
        <f t="shared" si="11"/>
        <v>#NUM!</v>
      </c>
    </row>
    <row r="698" spans="1:4" x14ac:dyDescent="0.25">
      <c r="A698">
        <v>1</v>
      </c>
      <c r="B698" s="4"/>
      <c r="D698" s="1" t="e">
        <f t="shared" si="11"/>
        <v>#NUM!</v>
      </c>
    </row>
    <row r="699" spans="1:4" x14ac:dyDescent="0.25">
      <c r="A699">
        <v>1</v>
      </c>
      <c r="B699" s="4"/>
      <c r="D699" s="1" t="e">
        <f t="shared" si="11"/>
        <v>#NUM!</v>
      </c>
    </row>
    <row r="700" spans="1:4" x14ac:dyDescent="0.25">
      <c r="A700">
        <v>1</v>
      </c>
      <c r="B700" s="4"/>
      <c r="D700" s="1" t="e">
        <f t="shared" si="11"/>
        <v>#NUM!</v>
      </c>
    </row>
    <row r="701" spans="1:4" x14ac:dyDescent="0.25">
      <c r="A701">
        <v>1</v>
      </c>
      <c r="B701" s="4"/>
      <c r="D701" s="1" t="e">
        <f t="shared" si="11"/>
        <v>#NUM!</v>
      </c>
    </row>
    <row r="702" spans="1:4" x14ac:dyDescent="0.25">
      <c r="A702">
        <v>1</v>
      </c>
      <c r="B702" s="4"/>
      <c r="D702" s="1" t="e">
        <f t="shared" si="11"/>
        <v>#NUM!</v>
      </c>
    </row>
    <row r="703" spans="1:4" x14ac:dyDescent="0.25">
      <c r="A703">
        <v>1</v>
      </c>
      <c r="B703" s="4"/>
      <c r="D703" s="1" t="e">
        <f t="shared" si="11"/>
        <v>#NUM!</v>
      </c>
    </row>
    <row r="704" spans="1:4" x14ac:dyDescent="0.25">
      <c r="A704">
        <v>1</v>
      </c>
      <c r="B704" s="4"/>
      <c r="D704" s="1" t="e">
        <f t="shared" si="11"/>
        <v>#NUM!</v>
      </c>
    </row>
    <row r="705" spans="1:4" x14ac:dyDescent="0.25">
      <c r="A705">
        <v>1</v>
      </c>
      <c r="B705" s="4"/>
      <c r="D705" s="1" t="e">
        <f t="shared" si="11"/>
        <v>#NUM!</v>
      </c>
    </row>
    <row r="706" spans="1:4" x14ac:dyDescent="0.25">
      <c r="A706">
        <v>1</v>
      </c>
      <c r="B706" s="4"/>
      <c r="D706" s="1" t="e">
        <f t="shared" si="11"/>
        <v>#NUM!</v>
      </c>
    </row>
    <row r="707" spans="1:4" x14ac:dyDescent="0.25">
      <c r="A707">
        <v>1</v>
      </c>
      <c r="B707" s="4"/>
      <c r="D707" s="1" t="e">
        <f t="shared" si="11"/>
        <v>#NUM!</v>
      </c>
    </row>
    <row r="708" spans="1:4" x14ac:dyDescent="0.25">
      <c r="A708">
        <v>1</v>
      </c>
      <c r="B708" s="4"/>
      <c r="D708" s="1" t="e">
        <f t="shared" si="11"/>
        <v>#NUM!</v>
      </c>
    </row>
    <row r="709" spans="1:4" x14ac:dyDescent="0.25">
      <c r="A709">
        <v>1</v>
      </c>
      <c r="B709" s="4"/>
      <c r="D709" s="1" t="e">
        <f t="shared" si="11"/>
        <v>#NUM!</v>
      </c>
    </row>
    <row r="710" spans="1:4" x14ac:dyDescent="0.25">
      <c r="A710">
        <v>1</v>
      </c>
      <c r="B710" s="4"/>
      <c r="D710" s="1" t="e">
        <f t="shared" si="11"/>
        <v>#NUM!</v>
      </c>
    </row>
    <row r="711" spans="1:4" x14ac:dyDescent="0.25">
      <c r="A711">
        <v>1</v>
      </c>
      <c r="B711" s="4"/>
      <c r="D711" s="1" t="e">
        <f t="shared" si="11"/>
        <v>#NUM!</v>
      </c>
    </row>
    <row r="712" spans="1:4" x14ac:dyDescent="0.25">
      <c r="A712">
        <v>1</v>
      </c>
      <c r="B712" s="4"/>
      <c r="D712" s="1" t="e">
        <f t="shared" si="11"/>
        <v>#NUM!</v>
      </c>
    </row>
    <row r="713" spans="1:4" x14ac:dyDescent="0.25">
      <c r="A713">
        <v>1</v>
      </c>
      <c r="B713" s="4"/>
      <c r="D713" s="1" t="e">
        <f t="shared" si="11"/>
        <v>#NUM!</v>
      </c>
    </row>
    <row r="714" spans="1:4" x14ac:dyDescent="0.25">
      <c r="A714">
        <v>1</v>
      </c>
      <c r="B714" s="4"/>
      <c r="D714" s="1" t="e">
        <f t="shared" si="11"/>
        <v>#NUM!</v>
      </c>
    </row>
    <row r="715" spans="1:4" x14ac:dyDescent="0.25">
      <c r="A715">
        <v>1</v>
      </c>
      <c r="B715" s="4"/>
      <c r="D715" s="1" t="e">
        <f t="shared" si="11"/>
        <v>#NUM!</v>
      </c>
    </row>
    <row r="716" spans="1:4" x14ac:dyDescent="0.25">
      <c r="A716">
        <v>1</v>
      </c>
      <c r="B716" s="4"/>
      <c r="D716" s="1" t="e">
        <f t="shared" si="11"/>
        <v>#NUM!</v>
      </c>
    </row>
    <row r="717" spans="1:4" x14ac:dyDescent="0.25">
      <c r="A717">
        <v>1</v>
      </c>
      <c r="B717" s="4"/>
      <c r="D717" s="1" t="e">
        <f t="shared" si="11"/>
        <v>#NUM!</v>
      </c>
    </row>
    <row r="718" spans="1:4" x14ac:dyDescent="0.25">
      <c r="A718">
        <v>1</v>
      </c>
      <c r="B718" s="4"/>
      <c r="D718" s="1" t="e">
        <f t="shared" si="11"/>
        <v>#NUM!</v>
      </c>
    </row>
    <row r="719" spans="1:4" x14ac:dyDescent="0.25">
      <c r="A719">
        <v>1</v>
      </c>
      <c r="B719" s="4"/>
      <c r="D719" s="1" t="e">
        <f t="shared" si="11"/>
        <v>#NUM!</v>
      </c>
    </row>
    <row r="720" spans="1:4" x14ac:dyDescent="0.25">
      <c r="A720">
        <v>1</v>
      </c>
      <c r="B720" s="4"/>
      <c r="D720" s="1" t="e">
        <f t="shared" si="11"/>
        <v>#NUM!</v>
      </c>
    </row>
    <row r="721" spans="1:4" x14ac:dyDescent="0.25">
      <c r="A721">
        <v>1</v>
      </c>
      <c r="B721" s="4"/>
      <c r="D721" s="1" t="e">
        <f t="shared" si="11"/>
        <v>#NUM!</v>
      </c>
    </row>
    <row r="722" spans="1:4" x14ac:dyDescent="0.25">
      <c r="A722">
        <v>1</v>
      </c>
      <c r="B722" s="4"/>
      <c r="D722" s="1" t="e">
        <f t="shared" si="11"/>
        <v>#NUM!</v>
      </c>
    </row>
    <row r="723" spans="1:4" x14ac:dyDescent="0.25">
      <c r="A723">
        <v>1</v>
      </c>
      <c r="B723" s="4"/>
      <c r="D723" s="1" t="e">
        <f t="shared" si="11"/>
        <v>#NUM!</v>
      </c>
    </row>
    <row r="724" spans="1:4" x14ac:dyDescent="0.25">
      <c r="A724">
        <v>1</v>
      </c>
      <c r="B724" s="4"/>
      <c r="D724" s="1" t="e">
        <f t="shared" si="11"/>
        <v>#NUM!</v>
      </c>
    </row>
    <row r="725" spans="1:4" x14ac:dyDescent="0.25">
      <c r="A725">
        <v>1</v>
      </c>
      <c r="B725" s="4"/>
      <c r="D725" s="1" t="e">
        <f t="shared" si="11"/>
        <v>#NUM!</v>
      </c>
    </row>
    <row r="726" spans="1:4" x14ac:dyDescent="0.25">
      <c r="A726">
        <v>1</v>
      </c>
      <c r="B726" s="4"/>
      <c r="D726" s="1" t="e">
        <f t="shared" si="11"/>
        <v>#NUM!</v>
      </c>
    </row>
    <row r="727" spans="1:4" x14ac:dyDescent="0.25">
      <c r="A727">
        <v>1</v>
      </c>
      <c r="B727" s="4"/>
      <c r="D727" s="1" t="e">
        <f t="shared" si="11"/>
        <v>#NUM!</v>
      </c>
    </row>
    <row r="728" spans="1:4" x14ac:dyDescent="0.25">
      <c r="A728">
        <v>1</v>
      </c>
      <c r="B728" s="4"/>
      <c r="D728" s="1" t="e">
        <f t="shared" si="11"/>
        <v>#NUM!</v>
      </c>
    </row>
    <row r="729" spans="1:4" x14ac:dyDescent="0.25">
      <c r="A729">
        <v>1</v>
      </c>
      <c r="B729" s="4"/>
      <c r="D729" s="1" t="e">
        <f t="shared" si="11"/>
        <v>#NUM!</v>
      </c>
    </row>
    <row r="730" spans="1:4" x14ac:dyDescent="0.25">
      <c r="A730">
        <v>1</v>
      </c>
      <c r="B730" s="4"/>
      <c r="D730" s="1" t="e">
        <f t="shared" si="11"/>
        <v>#NUM!</v>
      </c>
    </row>
    <row r="731" spans="1:4" x14ac:dyDescent="0.25">
      <c r="A731">
        <v>1</v>
      </c>
      <c r="B731" s="4"/>
      <c r="D731" s="1" t="e">
        <f t="shared" si="11"/>
        <v>#NUM!</v>
      </c>
    </row>
    <row r="732" spans="1:4" x14ac:dyDescent="0.25">
      <c r="A732">
        <v>1</v>
      </c>
      <c r="B732" s="4"/>
      <c r="D732" s="1" t="e">
        <f t="shared" si="11"/>
        <v>#NUM!</v>
      </c>
    </row>
    <row r="733" spans="1:4" x14ac:dyDescent="0.25">
      <c r="A733">
        <v>1</v>
      </c>
      <c r="B733" s="4"/>
      <c r="D733" s="1" t="e">
        <f t="shared" si="11"/>
        <v>#NUM!</v>
      </c>
    </row>
    <row r="734" spans="1:4" x14ac:dyDescent="0.25">
      <c r="A734">
        <v>1</v>
      </c>
      <c r="B734" s="4"/>
      <c r="D734" s="1" t="e">
        <f t="shared" si="11"/>
        <v>#NUM!</v>
      </c>
    </row>
    <row r="735" spans="1:4" x14ac:dyDescent="0.25">
      <c r="A735">
        <v>1</v>
      </c>
      <c r="B735" s="4"/>
      <c r="D735" s="1" t="e">
        <f t="shared" si="11"/>
        <v>#NUM!</v>
      </c>
    </row>
    <row r="736" spans="1:4" x14ac:dyDescent="0.25">
      <c r="A736">
        <v>1</v>
      </c>
      <c r="B736" s="4"/>
      <c r="D736" s="1" t="e">
        <f t="shared" si="11"/>
        <v>#NUM!</v>
      </c>
    </row>
    <row r="737" spans="1:4" x14ac:dyDescent="0.25">
      <c r="A737">
        <v>1</v>
      </c>
      <c r="B737" s="4"/>
      <c r="D737" s="1" t="e">
        <f t="shared" si="11"/>
        <v>#NUM!</v>
      </c>
    </row>
    <row r="738" spans="1:4" x14ac:dyDescent="0.25">
      <c r="A738">
        <v>1</v>
      </c>
      <c r="B738" s="4"/>
      <c r="D738" s="1" t="e">
        <f t="shared" si="11"/>
        <v>#NUM!</v>
      </c>
    </row>
    <row r="739" spans="1:4" x14ac:dyDescent="0.25">
      <c r="A739">
        <v>1</v>
      </c>
      <c r="B739" s="4"/>
      <c r="D739" s="1" t="e">
        <f t="shared" si="11"/>
        <v>#NUM!</v>
      </c>
    </row>
    <row r="740" spans="1:4" x14ac:dyDescent="0.25">
      <c r="A740">
        <v>1</v>
      </c>
      <c r="B740" s="4"/>
      <c r="D740" s="1" t="e">
        <f t="shared" si="11"/>
        <v>#NUM!</v>
      </c>
    </row>
    <row r="741" spans="1:4" x14ac:dyDescent="0.25">
      <c r="A741">
        <v>1</v>
      </c>
      <c r="B741" s="4"/>
      <c r="D741" s="1" t="e">
        <f t="shared" si="11"/>
        <v>#NUM!</v>
      </c>
    </row>
    <row r="742" spans="1:4" x14ac:dyDescent="0.25">
      <c r="A742">
        <v>1</v>
      </c>
      <c r="B742" s="4"/>
      <c r="D742" s="1" t="e">
        <f t="shared" si="11"/>
        <v>#NUM!</v>
      </c>
    </row>
    <row r="743" spans="1:4" x14ac:dyDescent="0.25">
      <c r="A743">
        <v>1</v>
      </c>
      <c r="B743" s="4"/>
      <c r="D743" s="1" t="e">
        <f t="shared" si="11"/>
        <v>#NUM!</v>
      </c>
    </row>
    <row r="744" spans="1:4" x14ac:dyDescent="0.25">
      <c r="A744">
        <v>1</v>
      </c>
      <c r="B744" s="4"/>
      <c r="D744" s="1" t="e">
        <f t="shared" si="11"/>
        <v>#NUM!</v>
      </c>
    </row>
    <row r="745" spans="1:4" x14ac:dyDescent="0.25">
      <c r="A745">
        <v>1</v>
      </c>
      <c r="B745" s="4"/>
      <c r="D745" s="1" t="e">
        <f t="shared" si="11"/>
        <v>#NUM!</v>
      </c>
    </row>
    <row r="746" spans="1:4" x14ac:dyDescent="0.25">
      <c r="A746">
        <v>1</v>
      </c>
      <c r="B746" s="4"/>
      <c r="D746" s="1" t="e">
        <f t="shared" si="11"/>
        <v>#NUM!</v>
      </c>
    </row>
    <row r="747" spans="1:4" x14ac:dyDescent="0.25">
      <c r="A747">
        <v>1</v>
      </c>
      <c r="B747" s="4"/>
      <c r="D747" s="1" t="e">
        <f t="shared" si="11"/>
        <v>#NUM!</v>
      </c>
    </row>
    <row r="748" spans="1:4" x14ac:dyDescent="0.25">
      <c r="A748">
        <v>1</v>
      </c>
      <c r="B748" s="4"/>
      <c r="D748" s="1" t="e">
        <f t="shared" si="11"/>
        <v>#NUM!</v>
      </c>
    </row>
    <row r="749" spans="1:4" x14ac:dyDescent="0.25">
      <c r="A749">
        <v>1</v>
      </c>
      <c r="B749" s="4"/>
      <c r="D749" s="1" t="e">
        <f t="shared" si="11"/>
        <v>#NUM!</v>
      </c>
    </row>
    <row r="750" spans="1:4" x14ac:dyDescent="0.25">
      <c r="A750">
        <v>1</v>
      </c>
      <c r="B750" s="4"/>
      <c r="D750" s="1" t="e">
        <f t="shared" si="11"/>
        <v>#NUM!</v>
      </c>
    </row>
    <row r="751" spans="1:4" x14ac:dyDescent="0.25">
      <c r="A751">
        <v>1</v>
      </c>
      <c r="B751" s="4"/>
      <c r="D751" s="1" t="e">
        <f t="shared" si="11"/>
        <v>#NUM!</v>
      </c>
    </row>
    <row r="752" spans="1:4" x14ac:dyDescent="0.25">
      <c r="A752">
        <v>1</v>
      </c>
      <c r="B752" s="4"/>
      <c r="D752" s="1" t="e">
        <f t="shared" si="11"/>
        <v>#NUM!</v>
      </c>
    </row>
    <row r="753" spans="1:4" x14ac:dyDescent="0.25">
      <c r="A753">
        <v>1</v>
      </c>
      <c r="B753" s="4"/>
      <c r="D753" s="1" t="e">
        <f t="shared" si="11"/>
        <v>#NUM!</v>
      </c>
    </row>
    <row r="754" spans="1:4" x14ac:dyDescent="0.25">
      <c r="A754">
        <v>1</v>
      </c>
      <c r="B754" s="4"/>
      <c r="D754" s="1" t="e">
        <f t="shared" si="11"/>
        <v>#NUM!</v>
      </c>
    </row>
    <row r="755" spans="1:4" x14ac:dyDescent="0.25">
      <c r="A755">
        <v>1</v>
      </c>
      <c r="B755" s="4"/>
      <c r="D755" s="1" t="e">
        <f t="shared" si="11"/>
        <v>#NUM!</v>
      </c>
    </row>
    <row r="756" spans="1:4" x14ac:dyDescent="0.25">
      <c r="A756">
        <v>1</v>
      </c>
      <c r="B756" s="4"/>
      <c r="D756" s="1" t="e">
        <f t="shared" si="11"/>
        <v>#NUM!</v>
      </c>
    </row>
    <row r="757" spans="1:4" x14ac:dyDescent="0.25">
      <c r="A757">
        <v>1</v>
      </c>
      <c r="B757" s="4"/>
      <c r="D757" s="1" t="e">
        <f t="shared" si="11"/>
        <v>#NUM!</v>
      </c>
    </row>
    <row r="758" spans="1:4" x14ac:dyDescent="0.25">
      <c r="A758">
        <v>1</v>
      </c>
      <c r="B758" s="4"/>
      <c r="D758" s="1" t="e">
        <f t="shared" si="11"/>
        <v>#NUM!</v>
      </c>
    </row>
    <row r="759" spans="1:4" x14ac:dyDescent="0.25">
      <c r="A759">
        <v>1</v>
      </c>
      <c r="B759" s="4"/>
      <c r="D759" s="1" t="e">
        <f t="shared" ref="D759:D792" si="12">DATE(C759,B759,1)</f>
        <v>#NUM!</v>
      </c>
    </row>
    <row r="760" spans="1:4" x14ac:dyDescent="0.25">
      <c r="A760">
        <v>1</v>
      </c>
      <c r="B760" s="4"/>
      <c r="D760" s="1" t="e">
        <f t="shared" si="12"/>
        <v>#NUM!</v>
      </c>
    </row>
    <row r="761" spans="1:4" x14ac:dyDescent="0.25">
      <c r="A761">
        <v>1</v>
      </c>
      <c r="B761" s="4"/>
      <c r="D761" s="1" t="e">
        <f t="shared" si="12"/>
        <v>#NUM!</v>
      </c>
    </row>
    <row r="762" spans="1:4" x14ac:dyDescent="0.25">
      <c r="A762">
        <v>1</v>
      </c>
      <c r="B762" s="4"/>
      <c r="D762" s="1" t="e">
        <f t="shared" si="12"/>
        <v>#NUM!</v>
      </c>
    </row>
    <row r="763" spans="1:4" x14ac:dyDescent="0.25">
      <c r="A763">
        <v>1</v>
      </c>
      <c r="B763" s="4"/>
      <c r="D763" s="1" t="e">
        <f t="shared" si="12"/>
        <v>#NUM!</v>
      </c>
    </row>
    <row r="764" spans="1:4" x14ac:dyDescent="0.25">
      <c r="A764">
        <v>1</v>
      </c>
      <c r="B764" s="4"/>
      <c r="D764" s="1" t="e">
        <f t="shared" si="12"/>
        <v>#NUM!</v>
      </c>
    </row>
    <row r="765" spans="1:4" x14ac:dyDescent="0.25">
      <c r="A765">
        <v>1</v>
      </c>
      <c r="B765" s="4"/>
      <c r="D765" s="1" t="e">
        <f t="shared" si="12"/>
        <v>#NUM!</v>
      </c>
    </row>
    <row r="766" spans="1:4" x14ac:dyDescent="0.25">
      <c r="A766">
        <v>1</v>
      </c>
      <c r="B766" s="4"/>
      <c r="D766" s="1" t="e">
        <f t="shared" si="12"/>
        <v>#NUM!</v>
      </c>
    </row>
    <row r="767" spans="1:4" x14ac:dyDescent="0.25">
      <c r="A767">
        <v>1</v>
      </c>
      <c r="B767" s="4"/>
      <c r="D767" s="1" t="e">
        <f t="shared" si="12"/>
        <v>#NUM!</v>
      </c>
    </row>
    <row r="768" spans="1:4" x14ac:dyDescent="0.25">
      <c r="A768">
        <v>1</v>
      </c>
      <c r="B768" s="4"/>
      <c r="D768" s="1" t="e">
        <f t="shared" si="12"/>
        <v>#NUM!</v>
      </c>
    </row>
    <row r="769" spans="1:4" x14ac:dyDescent="0.25">
      <c r="A769">
        <v>1</v>
      </c>
      <c r="B769" s="4"/>
      <c r="D769" s="1" t="e">
        <f t="shared" si="12"/>
        <v>#NUM!</v>
      </c>
    </row>
    <row r="770" spans="1:4" x14ac:dyDescent="0.25">
      <c r="A770">
        <v>1</v>
      </c>
      <c r="B770" s="4"/>
      <c r="D770" s="1" t="e">
        <f t="shared" si="12"/>
        <v>#NUM!</v>
      </c>
    </row>
    <row r="771" spans="1:4" x14ac:dyDescent="0.25">
      <c r="A771">
        <v>1</v>
      </c>
      <c r="B771" s="4"/>
      <c r="D771" s="1" t="e">
        <f t="shared" si="12"/>
        <v>#NUM!</v>
      </c>
    </row>
    <row r="772" spans="1:4" x14ac:dyDescent="0.25">
      <c r="A772">
        <v>1</v>
      </c>
      <c r="B772" s="4"/>
      <c r="D772" s="1" t="e">
        <f t="shared" si="12"/>
        <v>#NUM!</v>
      </c>
    </row>
    <row r="773" spans="1:4" x14ac:dyDescent="0.25">
      <c r="A773">
        <v>1</v>
      </c>
      <c r="B773" s="4"/>
      <c r="D773" s="1" t="e">
        <f t="shared" si="12"/>
        <v>#NUM!</v>
      </c>
    </row>
    <row r="774" spans="1:4" x14ac:dyDescent="0.25">
      <c r="A774">
        <v>1</v>
      </c>
      <c r="B774" s="4"/>
      <c r="D774" s="1" t="e">
        <f t="shared" si="12"/>
        <v>#NUM!</v>
      </c>
    </row>
    <row r="775" spans="1:4" x14ac:dyDescent="0.25">
      <c r="A775">
        <v>1</v>
      </c>
      <c r="B775" s="4"/>
      <c r="D775" s="1" t="e">
        <f t="shared" si="12"/>
        <v>#NUM!</v>
      </c>
    </row>
    <row r="776" spans="1:4" x14ac:dyDescent="0.25">
      <c r="A776">
        <v>1</v>
      </c>
      <c r="B776" s="4"/>
      <c r="D776" s="1" t="e">
        <f t="shared" si="12"/>
        <v>#NUM!</v>
      </c>
    </row>
    <row r="777" spans="1:4" x14ac:dyDescent="0.25">
      <c r="A777">
        <v>1</v>
      </c>
      <c r="B777" s="4"/>
      <c r="D777" s="1" t="e">
        <f t="shared" si="12"/>
        <v>#NUM!</v>
      </c>
    </row>
    <row r="778" spans="1:4" x14ac:dyDescent="0.25">
      <c r="A778">
        <v>1</v>
      </c>
      <c r="B778" s="4"/>
      <c r="D778" s="1" t="e">
        <f t="shared" si="12"/>
        <v>#NUM!</v>
      </c>
    </row>
    <row r="779" spans="1:4" x14ac:dyDescent="0.25">
      <c r="A779">
        <v>1</v>
      </c>
      <c r="B779" s="4"/>
      <c r="D779" s="1" t="e">
        <f t="shared" si="12"/>
        <v>#NUM!</v>
      </c>
    </row>
    <row r="780" spans="1:4" x14ac:dyDescent="0.25">
      <c r="A780">
        <v>1</v>
      </c>
      <c r="B780" s="4"/>
      <c r="D780" s="1" t="e">
        <f t="shared" si="12"/>
        <v>#NUM!</v>
      </c>
    </row>
    <row r="781" spans="1:4" x14ac:dyDescent="0.25">
      <c r="A781">
        <v>1</v>
      </c>
      <c r="B781" s="4"/>
      <c r="D781" s="1" t="e">
        <f t="shared" si="12"/>
        <v>#NUM!</v>
      </c>
    </row>
    <row r="782" spans="1:4" x14ac:dyDescent="0.25">
      <c r="A782">
        <v>1</v>
      </c>
      <c r="B782" s="4"/>
      <c r="D782" s="1" t="e">
        <f t="shared" si="12"/>
        <v>#NUM!</v>
      </c>
    </row>
    <row r="783" spans="1:4" x14ac:dyDescent="0.25">
      <c r="A783">
        <v>1</v>
      </c>
      <c r="B783" s="4"/>
      <c r="D783" s="1" t="e">
        <f t="shared" si="12"/>
        <v>#NUM!</v>
      </c>
    </row>
    <row r="784" spans="1:4" x14ac:dyDescent="0.25">
      <c r="A784">
        <v>1</v>
      </c>
      <c r="B784" s="4"/>
      <c r="D784" s="1" t="e">
        <f t="shared" si="12"/>
        <v>#NUM!</v>
      </c>
    </row>
    <row r="785" spans="1:4" x14ac:dyDescent="0.25">
      <c r="A785">
        <v>1</v>
      </c>
      <c r="B785" s="4"/>
      <c r="D785" s="1" t="e">
        <f t="shared" si="12"/>
        <v>#NUM!</v>
      </c>
    </row>
    <row r="786" spans="1:4" x14ac:dyDescent="0.25">
      <c r="A786">
        <v>1</v>
      </c>
      <c r="B786" s="4"/>
      <c r="D786" s="1" t="e">
        <f t="shared" si="12"/>
        <v>#NUM!</v>
      </c>
    </row>
    <row r="787" spans="1:4" x14ac:dyDescent="0.25">
      <c r="A787">
        <v>1</v>
      </c>
      <c r="B787" s="4"/>
      <c r="D787" s="1" t="e">
        <f t="shared" si="12"/>
        <v>#NUM!</v>
      </c>
    </row>
    <row r="788" spans="1:4" x14ac:dyDescent="0.25">
      <c r="A788">
        <v>1</v>
      </c>
      <c r="B788" s="4"/>
      <c r="D788" s="1" t="e">
        <f t="shared" si="12"/>
        <v>#NUM!</v>
      </c>
    </row>
    <row r="789" spans="1:4" x14ac:dyDescent="0.25">
      <c r="A789">
        <v>1</v>
      </c>
      <c r="B789" s="4"/>
      <c r="D789" s="1" t="e">
        <f t="shared" si="12"/>
        <v>#NUM!</v>
      </c>
    </row>
    <row r="790" spans="1:4" x14ac:dyDescent="0.25">
      <c r="A790">
        <v>1</v>
      </c>
      <c r="B790" s="4"/>
      <c r="D790" s="1" t="e">
        <f t="shared" si="12"/>
        <v>#NUM!</v>
      </c>
    </row>
    <row r="791" spans="1:4" x14ac:dyDescent="0.25">
      <c r="A791">
        <v>1</v>
      </c>
      <c r="B791" s="4"/>
      <c r="D791" s="1" t="e">
        <f t="shared" si="12"/>
        <v>#NUM!</v>
      </c>
    </row>
    <row r="792" spans="1:4" x14ac:dyDescent="0.25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R21" sqref="R21"/>
    </sheetView>
  </sheetViews>
  <sheetFormatPr defaultRowHeight="15" x14ac:dyDescent="0.2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 x14ac:dyDescent="0.3">
      <c r="A1" s="1346" t="s">
        <v>1200</v>
      </c>
      <c r="B1" t="s">
        <v>183</v>
      </c>
      <c r="C1" t="s">
        <v>176</v>
      </c>
      <c r="D1" t="s">
        <v>168</v>
      </c>
      <c r="E1" t="s">
        <v>159</v>
      </c>
      <c r="F1" t="s">
        <v>143</v>
      </c>
      <c r="G1" t="s">
        <v>131</v>
      </c>
      <c r="H1" t="s">
        <v>119</v>
      </c>
      <c r="I1" t="s">
        <v>80</v>
      </c>
      <c r="J1" t="s">
        <v>68</v>
      </c>
      <c r="K1" t="s">
        <v>215</v>
      </c>
      <c r="L1" t="s">
        <v>207</v>
      </c>
      <c r="M1" t="s">
        <v>188</v>
      </c>
    </row>
    <row r="2" spans="1:1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 x14ac:dyDescent="0.25">
      <c r="B3" s="1341" t="s">
        <v>183</v>
      </c>
      <c r="C3" s="1341" t="s">
        <v>176</v>
      </c>
      <c r="D3" s="1341" t="s">
        <v>168</v>
      </c>
      <c r="E3" s="1341" t="s">
        <v>159</v>
      </c>
      <c r="F3" s="1341" t="s">
        <v>143</v>
      </c>
      <c r="G3" s="1341" t="s">
        <v>131</v>
      </c>
      <c r="H3" s="1341" t="s">
        <v>119</v>
      </c>
      <c r="I3" s="1341" t="s">
        <v>80</v>
      </c>
      <c r="J3" s="1341" t="s">
        <v>68</v>
      </c>
      <c r="K3" s="1341" t="s">
        <v>215</v>
      </c>
      <c r="L3" s="1341" t="s">
        <v>207</v>
      </c>
      <c r="M3" s="1341" t="s">
        <v>188</v>
      </c>
      <c r="N3" s="1341" t="s">
        <v>1201</v>
      </c>
    </row>
    <row r="4" spans="1:14" x14ac:dyDescent="0.25">
      <c r="A4" s="1341">
        <v>2019</v>
      </c>
      <c r="B4" s="1340">
        <f>SUMIF('Spese Generiche BANCOMAT '!$E:$E,CONCATENATE(B$3," ",$A4),'Spese Generiche BANCOMAT '!$G:$G)</f>
        <v>0</v>
      </c>
      <c r="C4" s="1340">
        <f>SUMIF('Spese Generiche BANCOMAT '!$E:$E,CONCATENATE(C$3," ",$A4),'Spese Generiche BANCOMAT '!$G:$G)</f>
        <v>0</v>
      </c>
      <c r="D4" s="1340">
        <f>SUMIF('Spese Generiche BANCOMAT '!$E:$E,CONCATENATE(D$3," ",$A4),'Spese Generiche BANCOMAT '!$G:$G)</f>
        <v>0</v>
      </c>
      <c r="E4" s="1340">
        <f>SUMIF('Spese Generiche BANCOMAT '!$E:$E,CONCATENATE(E$3," ",$A4),'Spese Generiche BANCOMAT '!$G:$G)</f>
        <v>0</v>
      </c>
      <c r="F4" s="1340">
        <f>SUMIF('Spese Generiche BANCOMAT '!$E:$E,CONCATENATE(F$3," ",$A4),'Spese Generiche BANCOMAT '!$G:$G)</f>
        <v>0</v>
      </c>
      <c r="G4" s="1340">
        <f>SUMIF('Spese Generiche BANCOMAT '!$E:$E,CONCATENATE(G$3," ",$A4),'Spese Generiche BANCOMAT '!$G:$G)</f>
        <v>0</v>
      </c>
      <c r="H4" s="1340">
        <f>SUMIF('Spese Generiche BANCOMAT '!$E:$E,CONCATENATE(H$3," ",$A4),'Spese Generiche BANCOMAT '!$G:$G)</f>
        <v>0</v>
      </c>
      <c r="I4" s="1340">
        <f>SUMIF('Spese Generiche BANCOMAT '!$E:$E,CONCATENATE(I$3," ",$A4),'Spese Generiche BANCOMAT '!$G:$G)</f>
        <v>0</v>
      </c>
      <c r="J4" s="1340">
        <f>SUMIF('Spese Generiche BANCOMAT '!$E:$E,CONCATENATE(J$3," ",$A4),'Spese Generiche BANCOMAT '!$G:$G)</f>
        <v>0</v>
      </c>
      <c r="K4" s="1340">
        <f>SUMIF('Spese Generiche BANCOMAT '!$E:$E,CONCATENATE(K$3," ",$A4),'Spese Generiche BANCOMAT '!$G:$G)</f>
        <v>0</v>
      </c>
      <c r="L4" s="1340">
        <f>SUMIF('Spese Generiche BANCOMAT '!$E:$E,CONCATENATE(L$3," ",$A4),'Spese Generiche BANCOMAT '!$G:$G)</f>
        <v>25</v>
      </c>
      <c r="M4" s="1340">
        <f>SUMIF('Spese Generiche BANCOMAT '!$E:$E,CONCATENATE(M$3," ",$A4),'Spese Generiche BANCOMAT '!$G:$G)</f>
        <v>687.75</v>
      </c>
      <c r="N4" s="1342">
        <f t="shared" ref="N4:N29" si="0">SUM(B4:M4)</f>
        <v>712.75</v>
      </c>
    </row>
    <row r="5" spans="1:14" x14ac:dyDescent="0.25">
      <c r="A5" s="1341">
        <v>2020</v>
      </c>
      <c r="B5" s="1340">
        <f>SUMIF('Spese Generiche BANCOMAT '!$E:$E,CONCATENATE(B$3," ",$A5),'Spese Generiche BANCOMAT '!$G:$G)</f>
        <v>261.89</v>
      </c>
      <c r="C5" s="1340">
        <f>SUMIF('Spese Generiche BANCOMAT '!$E:$E,CONCATENATE(C$3," ",$A5),'Spese Generiche BANCOMAT '!$G:$G)</f>
        <v>512</v>
      </c>
      <c r="D5" s="1340">
        <f>SUMIF('Spese Generiche BANCOMAT '!$E:$E,CONCATENATE(D$3," ",$A5),'Spese Generiche BANCOMAT '!$G:$G)</f>
        <v>148.80000000000001</v>
      </c>
      <c r="E5" s="1340">
        <f>SUMIF('Spese Generiche BANCOMAT '!$E:$E,CONCATENATE(E$3," ",$A5),'Spese Generiche BANCOMAT '!$G:$G)</f>
        <v>40</v>
      </c>
      <c r="F5" s="1340">
        <f>SUMIF('Spese Generiche BANCOMAT '!$E:$E,CONCATENATE(F$3," ",$A5),'Spese Generiche BANCOMAT '!$G:$G)</f>
        <v>142</v>
      </c>
      <c r="G5" s="1340">
        <f>SUMIF('Spese Generiche BANCOMAT '!$E:$E,CONCATENATE(G$3," ",$A5),'Spese Generiche BANCOMAT '!$G:$G)</f>
        <v>352.5</v>
      </c>
      <c r="H5" s="1340">
        <f>SUMIF('Spese Generiche BANCOMAT '!$E:$E,CONCATENATE(H$3," ",$A5),'Spese Generiche BANCOMAT '!$G:$G)</f>
        <v>190</v>
      </c>
      <c r="I5" s="1340">
        <f>SUMIF('Spese Generiche BANCOMAT '!$E:$E,CONCATENATE(I$3," ",$A5),'Spese Generiche BANCOMAT '!$G:$G)</f>
        <v>528.4</v>
      </c>
      <c r="J5" s="1340">
        <f>SUMIF('Spese Generiche BANCOMAT '!$E:$E,CONCATENATE(J$3," ",$A5),'Spese Generiche BANCOMAT '!$G:$G)</f>
        <v>210</v>
      </c>
      <c r="K5" s="1340">
        <f>SUMIF('Spese Generiche BANCOMAT '!$E:$E,CONCATENATE(K$3," ",$A5),'Spese Generiche BANCOMAT '!$G:$G)</f>
        <v>698.58</v>
      </c>
      <c r="L5" s="1340">
        <f>SUMIF('Spese Generiche BANCOMAT '!$E:$E,CONCATENATE(L$3," ",$A5),'Spese Generiche BANCOMAT '!$G:$G)</f>
        <v>672.66000000000008</v>
      </c>
      <c r="M5" s="1340">
        <f>SUMIF('Spese Generiche BANCOMAT '!$E:$E,CONCATENATE(M$3," ",$A5),'Spese Generiche BANCOMAT '!$G:$G)</f>
        <v>5424.9800000000005</v>
      </c>
      <c r="N5" s="1342">
        <f t="shared" si="0"/>
        <v>9181.8100000000013</v>
      </c>
    </row>
    <row r="6" spans="1:14" x14ac:dyDescent="0.25">
      <c r="A6" s="1341">
        <v>2021</v>
      </c>
      <c r="B6" s="1340">
        <f>SUMIF('Spese Generiche BANCOMAT '!$E:$E,CONCATENATE(B$3," ",$A6),'Spese Generiche BANCOMAT '!$G:$G)</f>
        <v>40</v>
      </c>
      <c r="C6" s="1340">
        <f>SUMIF('Spese Generiche BANCOMAT '!$E:$E,CONCATENATE(C$3," ",$A6),'Spese Generiche BANCOMAT '!$G:$G)</f>
        <v>3076.7299999999996</v>
      </c>
      <c r="D6" s="1340">
        <f>SUMIF('Spese Generiche BANCOMAT '!$E:$E,CONCATENATE(D$3," ",$A6),'Spese Generiche BANCOMAT '!$G:$G)</f>
        <v>1265.5</v>
      </c>
      <c r="E6" s="1340">
        <f>SUMIF('Spese Generiche BANCOMAT '!$E:$E,CONCATENATE(E$3," ",$A6),'Spese Generiche BANCOMAT '!$G:$G)</f>
        <v>92.3</v>
      </c>
      <c r="F6" s="1340">
        <f>SUMIF('Spese Generiche BANCOMAT '!$E:$E,CONCATENATE(F$3," ",$A6),'Spese Generiche BANCOMAT '!$G:$G)</f>
        <v>65.039999999999992</v>
      </c>
      <c r="G6" s="1340">
        <f>SUMIF('Spese Generiche BANCOMAT '!$E:$E,CONCATENATE(G$3," ",$A6),'Spese Generiche BANCOMAT '!$G:$G)</f>
        <v>0</v>
      </c>
      <c r="H6" s="1340">
        <f>SUMIF('Spese Generiche BANCOMAT '!$E:$E,CONCATENATE(H$3," ",$A6),'Spese Generiche BANCOMAT '!$G:$G)</f>
        <v>549.81000000000006</v>
      </c>
      <c r="I6" s="1340">
        <f>SUMIF('Spese Generiche BANCOMAT '!$E:$E,CONCATENATE(I$3," ",$A6),'Spese Generiche BANCOMAT '!$G:$G)</f>
        <v>1249.0999999999999</v>
      </c>
      <c r="J6" s="1340">
        <f>SUMIF('Spese Generiche BANCOMAT '!$E:$E,CONCATENATE(J$3," ",$A6),'Spese Generiche BANCOMAT '!$G:$G)</f>
        <v>130</v>
      </c>
      <c r="K6" s="1340">
        <f>SUMIF('Spese Generiche BANCOMAT '!$E:$E,CONCATENATE(K$3," ",$A6),'Spese Generiche BANCOMAT '!$G:$G)</f>
        <v>232.9</v>
      </c>
      <c r="L6" s="1340">
        <f>SUMIF('Spese Generiche BANCOMAT '!$E:$E,CONCATENATE(L$3," ",$A6),'Spese Generiche BANCOMAT '!$G:$G)</f>
        <v>179.1</v>
      </c>
      <c r="M6" s="1340">
        <f>SUMIF('Spese Generiche BANCOMAT '!$E:$E,CONCATENATE(M$3," ",$A6),'Spese Generiche BANCOMAT '!$G:$G)</f>
        <v>827.33</v>
      </c>
      <c r="N6" s="1342">
        <f t="shared" si="0"/>
        <v>7707.8099999999995</v>
      </c>
    </row>
    <row r="7" spans="1:14" x14ac:dyDescent="0.25">
      <c r="A7" s="1341">
        <v>2022</v>
      </c>
      <c r="B7" s="1340">
        <f>SUMIF('Spese Generiche BANCOMAT '!$E:$E,CONCATENATE(B$3," ",$A7),'Spese Generiche BANCOMAT '!$G:$G)</f>
        <v>1421.01</v>
      </c>
      <c r="C7" s="1340">
        <f>SUMIF('Spese Generiche BANCOMAT '!$E:$E,CONCATENATE(C$3," ",$A7),'Spese Generiche BANCOMAT '!$G:$G)</f>
        <v>90.41</v>
      </c>
      <c r="D7" s="1340">
        <f>SUMIF('Spese Generiche BANCOMAT '!$E:$E,CONCATENATE(D$3," ",$A7),'Spese Generiche BANCOMAT '!$G:$G)</f>
        <v>0</v>
      </c>
      <c r="E7" s="1340">
        <f>SUMIF('Spese Generiche BANCOMAT '!$E:$E,CONCATENATE(E$3," ",$A7),'Spese Generiche BANCOMAT '!$G:$G)</f>
        <v>567.34</v>
      </c>
      <c r="F7" s="1340">
        <f>SUMIF('Spese Generiche BANCOMAT '!$E:$E,CONCATENATE(F$3," ",$A7),'Spese Generiche BANCOMAT '!$G:$G)</f>
        <v>104.83</v>
      </c>
      <c r="G7" s="1340">
        <f>SUMIF('Spese Generiche BANCOMAT '!$E:$E,CONCATENATE(G$3," ",$A7),'Spese Generiche BANCOMAT '!$G:$G)</f>
        <v>2</v>
      </c>
      <c r="H7" s="1340">
        <f>SUMIF('Spese Generiche BANCOMAT '!$E:$E,CONCATENATE(H$3," ",$A7),'Spese Generiche BANCOMAT '!$G:$G)</f>
        <v>120.5</v>
      </c>
      <c r="I7" s="1340">
        <f>SUMIF('Spese Generiche BANCOMAT '!$E:$E,CONCATENATE(I$3," ",$A7),'Spese Generiche BANCOMAT '!$G:$G)</f>
        <v>363.4</v>
      </c>
      <c r="J7" s="1340">
        <f>SUMIF('Spese Generiche BANCOMAT '!$E:$E,CONCATENATE(J$3," ",$A7),'Spese Generiche BANCOMAT '!$G:$G)</f>
        <v>43.48</v>
      </c>
      <c r="K7" s="1340">
        <f>SUMIF('Spese Generiche BANCOMAT '!$E:$E,CONCATENATE(K$3," ",$A7),'Spese Generiche BANCOMAT '!$G:$G)</f>
        <v>0</v>
      </c>
      <c r="L7" s="1340">
        <f>SUMIF('Spese Generiche BANCOMAT '!$E:$E,CONCATENATE(L$3," ",$A7),'Spese Generiche BANCOMAT '!$G:$G)</f>
        <v>89.15</v>
      </c>
      <c r="M7" s="1340">
        <f>SUMIF('Spese Generiche BANCOMAT '!$E:$E,CONCATENATE(M$3," ",$A7),'Spese Generiche BANCOMAT '!$G:$G)</f>
        <v>256.64999999999998</v>
      </c>
      <c r="N7" s="1342">
        <f t="shared" si="0"/>
        <v>3058.7700000000004</v>
      </c>
    </row>
    <row r="8" spans="1:14" x14ac:dyDescent="0.25">
      <c r="A8" s="1341">
        <v>2023</v>
      </c>
      <c r="B8" s="1340">
        <f>SUMIF('Spese Generiche BANCOMAT '!$E:$E,CONCATENATE(B$3," ",$A8),'Spese Generiche BANCOMAT '!$G:$G)</f>
        <v>356.29</v>
      </c>
      <c r="C8" s="1340">
        <f>SUMIF('Spese Generiche BANCOMAT '!$E:$E,CONCATENATE(C$3," ",$A8),'Spese Generiche BANCOMAT '!$G:$G)</f>
        <v>0</v>
      </c>
      <c r="D8" s="1340">
        <f>SUMIF('Spese Generiche BANCOMAT '!$E:$E,CONCATENATE(D$3," ",$A8),'Spese Generiche BANCOMAT '!$G:$G)</f>
        <v>150.5</v>
      </c>
      <c r="E8" s="1340">
        <f>SUMIF('Spese Generiche BANCOMAT '!$E:$E,CONCATENATE(E$3," ",$A8),'Spese Generiche BANCOMAT '!$G:$G)</f>
        <v>16.8</v>
      </c>
      <c r="F8" s="1340">
        <f>SUMIF('Spese Generiche BANCOMAT '!$E:$E,CONCATENATE(F$3," ",$A8),'Spese Generiche BANCOMAT '!$G:$G)</f>
        <v>250</v>
      </c>
      <c r="G8" s="1340">
        <f>SUMIF('Spese Generiche BANCOMAT '!$E:$E,CONCATENATE(G$3," ",$A8),'Spese Generiche BANCOMAT '!$G:$G)</f>
        <v>0</v>
      </c>
      <c r="H8" s="1340">
        <f>SUMIF('Spese Generiche BANCOMAT '!$E:$E,CONCATENATE(H$3," ",$A8),'Spese Generiche BANCOMAT '!$G:$G)</f>
        <v>0</v>
      </c>
      <c r="I8" s="1340">
        <f>SUMIF('Spese Generiche BANCOMAT '!$E:$E,CONCATENATE(I$3," ",$A8),'Spese Generiche BANCOMAT '!$G:$G)</f>
        <v>620.5</v>
      </c>
      <c r="J8" s="1340">
        <f>SUMIF('Spese Generiche BANCOMAT '!$E:$E,CONCATENATE(J$3," ",$A8),'Spese Generiche BANCOMAT '!$G:$G)</f>
        <v>0</v>
      </c>
      <c r="K8" s="1340">
        <f>SUMIF('Spese Generiche BANCOMAT '!$E:$E,CONCATENATE(K$3," ",$A8),'Spese Generiche BANCOMAT '!$G:$G)</f>
        <v>75.5</v>
      </c>
      <c r="L8" s="1340">
        <f>SUMIF('Spese Generiche BANCOMAT '!$E:$E,CONCATENATE(L$3," ",$A8),'Spese Generiche BANCOMAT '!$G:$G)</f>
        <v>78</v>
      </c>
      <c r="M8" s="1340">
        <f>SUMIF('Spese Generiche BANCOMAT '!$E:$E,CONCATENATE(M$3," ",$A8),'Spese Generiche BANCOMAT '!$G:$G)</f>
        <v>125.49000000000001</v>
      </c>
      <c r="N8" s="1342">
        <f t="shared" si="0"/>
        <v>1673.0800000000002</v>
      </c>
    </row>
    <row r="9" spans="1:14" x14ac:dyDescent="0.25">
      <c r="A9" s="1341">
        <v>2024</v>
      </c>
      <c r="B9" s="1340">
        <f>SUMIF('Spese Generiche BANCOMAT '!$E:$E,CONCATENATE(B$3," ",$A9),'Spese Generiche BANCOMAT '!$G:$G)</f>
        <v>373.71999999999997</v>
      </c>
      <c r="C9" s="1340">
        <f>SUMIF('Spese Generiche BANCOMAT '!$E:$E,CONCATENATE(C$3," ",$A9),'Spese Generiche BANCOMAT '!$G:$G)</f>
        <v>150.5</v>
      </c>
      <c r="D9" s="1340">
        <f>SUMIF('Spese Generiche BANCOMAT '!$E:$E,CONCATENATE(D$3," ",$A9),'Spese Generiche BANCOMAT '!$G:$G)</f>
        <v>207.78</v>
      </c>
      <c r="E9" s="1340">
        <f>SUMIF('Spese Generiche BANCOMAT '!$E:$E,CONCATENATE(E$3," ",$A9),'Spese Generiche BANCOMAT '!$G:$G)</f>
        <v>-68</v>
      </c>
      <c r="F9" s="1340">
        <f>SUMIF('Spese Generiche BANCOMAT '!$E:$E,CONCATENATE(F$3," ",$A9),'Spese Generiche BANCOMAT '!$G:$G)</f>
        <v>79</v>
      </c>
      <c r="G9" s="1340">
        <f>SUMIF('Spese Generiche BANCOMAT '!$E:$E,CONCATENATE(G$3," ",$A9),'Spese Generiche BANCOMAT '!$G:$G)</f>
        <v>10.199999999999999</v>
      </c>
      <c r="H9" s="1340">
        <f>SUMIF('Spese Generiche BANCOMAT '!$E:$E,CONCATENATE(H$3," ",$A9),'Spese Generiche BANCOMAT '!$G:$G)</f>
        <v>15.04</v>
      </c>
      <c r="I9" s="1340">
        <f>SUMIF('Spese Generiche BANCOMAT '!$E:$E,CONCATENATE(I$3," ",$A9),'Spese Generiche BANCOMAT '!$G:$G)</f>
        <v>917.6</v>
      </c>
      <c r="J9" s="1340">
        <f>SUMIF('Spese Generiche BANCOMAT '!$E:$E,CONCATENATE(J$3," ",$A9),'Spese Generiche BANCOMAT '!$G:$G)</f>
        <v>0</v>
      </c>
      <c r="K9" s="1340">
        <f>SUMIF('Spese Generiche BANCOMAT '!$E:$E,CONCATENATE(K$3," ",$A9),'Spese Generiche BANCOMAT '!$G:$G)</f>
        <v>-1516.01</v>
      </c>
      <c r="L9" s="1340">
        <f>SUMIF('Spese Generiche BANCOMAT '!$E:$E,CONCATENATE(L$3," ",$A9),'Spese Generiche BANCOMAT '!$G:$G)</f>
        <v>1832.38</v>
      </c>
      <c r="M9" s="1340">
        <f>SUMIF('Spese Generiche BANCOMAT '!$E:$E,CONCATENATE(M$3," ",$A9),'Spese Generiche BANCOMAT '!$G:$G)</f>
        <v>604.64</v>
      </c>
      <c r="N9" s="1342">
        <f t="shared" si="0"/>
        <v>2606.8500000000004</v>
      </c>
    </row>
    <row r="10" spans="1:14" x14ac:dyDescent="0.25">
      <c r="A10" s="1341">
        <v>2025</v>
      </c>
      <c r="B10" s="1340">
        <f>SUMIF('Spese Generiche BANCOMAT '!$E:$E,CONCATENATE(B$3," ",$A10),'Spese Generiche BANCOMAT '!$G:$G)</f>
        <v>364.40999999999991</v>
      </c>
      <c r="C10" s="1340">
        <f>SUMIF('Spese Generiche BANCOMAT '!$E:$E,CONCATENATE(C$3," ",$A10),'Spese Generiche BANCOMAT '!$G:$G)</f>
        <v>26.34</v>
      </c>
      <c r="D10" s="1340">
        <f>SUMIF('Spese Generiche BANCOMAT '!$E:$E,CONCATENATE(D$3," ",$A10),'Spese Generiche BANCOMAT '!$G:$G)</f>
        <v>637.25</v>
      </c>
      <c r="E10" s="1340">
        <f>SUMIF('Spese Generiche BANCOMAT '!$E:$E,CONCATENATE(E$3," ",$A10),'Spese Generiche BANCOMAT '!$G:$G)</f>
        <v>532.48</v>
      </c>
      <c r="F10" s="1340">
        <f>SUMIF('Spese Generiche BANCOMAT '!$E:$E,CONCATENATE(F$3," ",$A10),'Spese Generiche BANCOMAT '!$G:$G)</f>
        <v>4.75</v>
      </c>
      <c r="G10" s="1340">
        <f>SUMIF('Spese Generiche BANCOMAT '!$E:$E,CONCATENATE(G$3," ",$A10),'Spese Generiche BANCOMAT '!$G:$G)</f>
        <v>0</v>
      </c>
      <c r="H10" s="1340">
        <f>SUMIF('Spese Generiche BANCOMAT '!$E:$E,CONCATENATE(H$3," ",$A10),'Spese Generiche BANCOMAT '!$G:$G)</f>
        <v>0</v>
      </c>
      <c r="I10" s="1340">
        <f>SUMIF('Spese Generiche BANCOMAT '!$E:$E,CONCATENATE(I$3," ",$A10),'Spese Generiche BANCOMAT '!$G:$G)</f>
        <v>48.65</v>
      </c>
      <c r="J10" s="1340">
        <f>SUMIF('Spese Generiche BANCOMAT '!$E:$E,CONCATENATE(J$3," ",$A10),'Spese Generiche BANCOMAT '!$G:$G)</f>
        <v>80</v>
      </c>
      <c r="K10" s="1340">
        <f>SUMIF('Spese Generiche BANCOMAT '!$E:$E,CONCATENATE(K$3," ",$A10),'Spese Generiche BANCOMAT '!$G:$G)</f>
        <v>40</v>
      </c>
      <c r="L10" s="1340">
        <f>SUMIF('Spese Generiche BANCOMAT '!$E:$E,CONCATENATE(L$3," ",$A10),'Spese Generiche BANCOMAT '!$G:$G)</f>
        <v>16.98</v>
      </c>
      <c r="M10" s="1340">
        <f>SUMIF('Spese Generiche BANCOMAT '!$E:$E,CONCATENATE(M$3," ",$A10),'Spese Generiche BANCOMAT '!$G:$G)</f>
        <v>404.40000000000003</v>
      </c>
      <c r="N10" s="1342">
        <f t="shared" si="0"/>
        <v>2155.2600000000002</v>
      </c>
    </row>
    <row r="11" spans="1:14" x14ac:dyDescent="0.25">
      <c r="A11" s="1341">
        <v>2026</v>
      </c>
      <c r="B11" s="1340">
        <f>SUMIF('Spese Generiche BANCOMAT '!$E:$E,CONCATENATE(B$3," ",$A11),'Spese Generiche BANCOMAT '!$G:$G)</f>
        <v>291.83999999999997</v>
      </c>
      <c r="C11" s="1340">
        <f>SUMIF('Spese Generiche BANCOMAT '!$E:$E,CONCATENATE(C$3," ",$A11),'Spese Generiche BANCOMAT '!$G:$G)</f>
        <v>0</v>
      </c>
      <c r="D11" s="1340">
        <f>SUMIF('Spese Generiche BANCOMAT '!$E:$E,CONCATENATE(D$3," ",$A11),'Spese Generiche BANCOMAT '!$G:$G)</f>
        <v>72.599999999999994</v>
      </c>
      <c r="E11" s="1340">
        <f>SUMIF('Spese Generiche BANCOMAT '!$E:$E,CONCATENATE(E$3," ",$A11),'Spese Generiche BANCOMAT '!$G:$G)</f>
        <v>0</v>
      </c>
      <c r="F11" s="1340">
        <f>SUMIF('Spese Generiche BANCOMAT '!$E:$E,CONCATENATE(F$3," ",$A11),'Spese Generiche BANCOMAT '!$G:$G)</f>
        <v>0</v>
      </c>
      <c r="G11" s="1340">
        <f>SUMIF('Spese Generiche BANCOMAT '!$E:$E,CONCATENATE(G$3," ",$A11),'Spese Generiche BANCOMAT '!$G:$G)</f>
        <v>0</v>
      </c>
      <c r="H11" s="1340">
        <f>SUMIF('Spese Generiche BANCOMAT '!$E:$E,CONCATENATE(H$3," ",$A11),'Spese Generiche BANCOMAT '!$G:$G)</f>
        <v>0</v>
      </c>
      <c r="I11" s="1340">
        <f>SUMIF('Spese Generiche BANCOMAT '!$E:$E,CONCATENATE(I$3," ",$A11),'Spese Generiche BANCOMAT '!$G:$G)</f>
        <v>0</v>
      </c>
      <c r="J11" s="1340">
        <f>SUMIF('Spese Generiche BANCOMAT '!$E:$E,CONCATENATE(J$3," ",$A11),'Spese Generiche BANCOMAT '!$G:$G)</f>
        <v>0</v>
      </c>
      <c r="K11" s="1340">
        <f>SUMIF('Spese Generiche BANCOMAT '!$E:$E,CONCATENATE(K$3," ",$A11),'Spese Generiche BANCOMAT '!$G:$G)</f>
        <v>0</v>
      </c>
      <c r="L11" s="1340">
        <f>SUMIF('Spese Generiche BANCOMAT '!$E:$E,CONCATENATE(L$3," ",$A11),'Spese Generiche BANCOMAT '!$G:$G)</f>
        <v>0</v>
      </c>
      <c r="M11" s="1340">
        <f>SUMIF('Spese Generiche BANCOMAT '!$E:$E,CONCATENATE(M$3," ",$A11),'Spese Generiche BANCOMAT '!$G:$G)</f>
        <v>0</v>
      </c>
      <c r="N11" s="1342">
        <f t="shared" si="0"/>
        <v>364.43999999999994</v>
      </c>
    </row>
    <row r="12" spans="1:14" x14ac:dyDescent="0.25">
      <c r="A12" s="1341">
        <v>2027</v>
      </c>
      <c r="B12" s="1340">
        <f>SUMIF('Spese Generiche BANCOMAT '!$E:$E,CONCATENATE(B$3," ",$A12),'Spese Generiche BANCOMAT '!$G:$G)</f>
        <v>0</v>
      </c>
      <c r="C12" s="1340">
        <f>SUMIF('Spese Generiche BANCOMAT '!$E:$E,CONCATENATE(C$3," ",$A12),'Spese Generiche BANCOMAT '!$G:$G)</f>
        <v>0</v>
      </c>
      <c r="D12" s="1340">
        <f>SUMIF('Spese Generiche BANCOMAT '!$E:$E,CONCATENATE(D$3," ",$A12),'Spese Generiche BANCOMAT '!$G:$G)</f>
        <v>0</v>
      </c>
      <c r="E12" s="1340">
        <f>SUMIF('Spese Generiche BANCOMAT '!$E:$E,CONCATENATE(E$3," ",$A12),'Spese Generiche BANCOMAT '!$G:$G)</f>
        <v>0</v>
      </c>
      <c r="F12" s="1340">
        <f>SUMIF('Spese Generiche BANCOMAT '!$E:$E,CONCATENATE(F$3," ",$A12),'Spese Generiche BANCOMAT '!$G:$G)</f>
        <v>0</v>
      </c>
      <c r="G12" s="1340">
        <f>SUMIF('Spese Generiche BANCOMAT '!$E:$E,CONCATENATE(G$3," ",$A12),'Spese Generiche BANCOMAT '!$G:$G)</f>
        <v>0</v>
      </c>
      <c r="H12" s="1340">
        <f>SUMIF('Spese Generiche BANCOMAT '!$E:$E,CONCATENATE(H$3," ",$A12),'Spese Generiche BANCOMAT '!$G:$G)</f>
        <v>0</v>
      </c>
      <c r="I12" s="1340">
        <f>SUMIF('Spese Generiche BANCOMAT '!$E:$E,CONCATENATE(I$3," ",$A12),'Spese Generiche BANCOMAT '!$G:$G)</f>
        <v>0</v>
      </c>
      <c r="J12" s="1340">
        <f>SUMIF('Spese Generiche BANCOMAT '!$E:$E,CONCATENATE(J$3," ",$A12),'Spese Generiche BANCOMAT '!$G:$G)</f>
        <v>0</v>
      </c>
      <c r="K12" s="1340">
        <f>SUMIF('Spese Generiche BANCOMAT '!$E:$E,CONCATENATE(K$3," ",$A12),'Spese Generiche BANCOMAT '!$G:$G)</f>
        <v>0</v>
      </c>
      <c r="L12" s="1340">
        <f>SUMIF('Spese Generiche BANCOMAT '!$E:$E,CONCATENATE(L$3," ",$A12),'Spese Generiche BANCOMAT '!$G:$G)</f>
        <v>0</v>
      </c>
      <c r="M12" s="1340">
        <f>SUMIF('Spese Generiche BANCOMAT '!$E:$E,CONCATENATE(M$3," ",$A12),'Spese Generiche BANCOMAT '!$G:$G)</f>
        <v>0</v>
      </c>
      <c r="N12" s="1342">
        <f t="shared" si="0"/>
        <v>0</v>
      </c>
    </row>
    <row r="13" spans="1:14" x14ac:dyDescent="0.25">
      <c r="A13" s="1341">
        <v>2028</v>
      </c>
      <c r="B13" s="1340">
        <f>SUMIF('Spese Generiche BANCOMAT '!$E:$E,CONCATENATE(B$3," ",$A13),'Spese Generiche BANCOMAT '!$G:$G)</f>
        <v>0</v>
      </c>
      <c r="C13" s="1340">
        <f>SUMIF('Spese Generiche BANCOMAT '!$E:$E,CONCATENATE(C$3," ",$A13),'Spese Generiche BANCOMAT '!$G:$G)</f>
        <v>0</v>
      </c>
      <c r="D13" s="1340">
        <f>SUMIF('Spese Generiche BANCOMAT '!$E:$E,CONCATENATE(D$3," ",$A13),'Spese Generiche BANCOMAT '!$G:$G)</f>
        <v>0</v>
      </c>
      <c r="E13" s="1340">
        <f>SUMIF('Spese Generiche BANCOMAT '!$E:$E,CONCATENATE(E$3," ",$A13),'Spese Generiche BANCOMAT '!$G:$G)</f>
        <v>0</v>
      </c>
      <c r="F13" s="1340">
        <f>SUMIF('Spese Generiche BANCOMAT '!$E:$E,CONCATENATE(F$3," ",$A13),'Spese Generiche BANCOMAT '!$G:$G)</f>
        <v>0</v>
      </c>
      <c r="G13" s="1340">
        <f>SUMIF('Spese Generiche BANCOMAT '!$E:$E,CONCATENATE(G$3," ",$A13),'Spese Generiche BANCOMAT '!$G:$G)</f>
        <v>0</v>
      </c>
      <c r="H13" s="1340">
        <f>SUMIF('Spese Generiche BANCOMAT '!$E:$E,CONCATENATE(H$3," ",$A13),'Spese Generiche BANCOMAT '!$G:$G)</f>
        <v>0</v>
      </c>
      <c r="I13" s="1340">
        <f>SUMIF('Spese Generiche BANCOMAT '!$E:$E,CONCATENATE(I$3," ",$A13),'Spese Generiche BANCOMAT '!$G:$G)</f>
        <v>0</v>
      </c>
      <c r="J13" s="1340">
        <f>SUMIF('Spese Generiche BANCOMAT '!$E:$E,CONCATENATE(J$3," ",$A13),'Spese Generiche BANCOMAT '!$G:$G)</f>
        <v>0</v>
      </c>
      <c r="K13" s="1340">
        <f>SUMIF('Spese Generiche BANCOMAT '!$E:$E,CONCATENATE(K$3," ",$A13),'Spese Generiche BANCOMAT '!$G:$G)</f>
        <v>0</v>
      </c>
      <c r="L13" s="1340">
        <f>SUMIF('Spese Generiche BANCOMAT '!$E:$E,CONCATENATE(L$3," ",$A13),'Spese Generiche BANCOMAT '!$G:$G)</f>
        <v>0</v>
      </c>
      <c r="M13" s="1340">
        <f>SUMIF('Spese Generiche BANCOMAT '!$E:$E,CONCATENATE(M$3," ",$A13),'Spese Generiche BANCOMAT '!$G:$G)</f>
        <v>0</v>
      </c>
      <c r="N13" s="1342">
        <f t="shared" si="0"/>
        <v>0</v>
      </c>
    </row>
    <row r="14" spans="1:14" x14ac:dyDescent="0.25">
      <c r="A14" s="1341">
        <v>2029</v>
      </c>
      <c r="B14" s="1340">
        <f>SUMIF('Spese Generiche BANCOMAT '!$E:$E,CONCATENATE(B$3," ",$A14),'Spese Generiche BANCOMAT '!$G:$G)</f>
        <v>0</v>
      </c>
      <c r="C14" s="1340">
        <f>SUMIF('Spese Generiche BANCOMAT '!$E:$E,CONCATENATE(C$3," ",$A14),'Spese Generiche BANCOMAT '!$G:$G)</f>
        <v>0</v>
      </c>
      <c r="D14" s="1340">
        <f>SUMIF('Spese Generiche BANCOMAT '!$E:$E,CONCATENATE(D$3," ",$A14),'Spese Generiche BANCOMAT '!$G:$G)</f>
        <v>0</v>
      </c>
      <c r="E14" s="1340">
        <f>SUMIF('Spese Generiche BANCOMAT '!$E:$E,CONCATENATE(E$3," ",$A14),'Spese Generiche BANCOMAT '!$G:$G)</f>
        <v>0</v>
      </c>
      <c r="F14" s="1340">
        <f>SUMIF('Spese Generiche BANCOMAT '!$E:$E,CONCATENATE(F$3," ",$A14),'Spese Generiche BANCOMAT '!$G:$G)</f>
        <v>0</v>
      </c>
      <c r="G14" s="1340">
        <f>SUMIF('Spese Generiche BANCOMAT '!$E:$E,CONCATENATE(G$3," ",$A14),'Spese Generiche BANCOMAT '!$G:$G)</f>
        <v>0</v>
      </c>
      <c r="H14" s="1340">
        <f>SUMIF('Spese Generiche BANCOMAT '!$E:$E,CONCATENATE(H$3," ",$A14),'Spese Generiche BANCOMAT '!$G:$G)</f>
        <v>0</v>
      </c>
      <c r="I14" s="1340">
        <f>SUMIF('Spese Generiche BANCOMAT '!$E:$E,CONCATENATE(I$3," ",$A14),'Spese Generiche BANCOMAT '!$G:$G)</f>
        <v>0</v>
      </c>
      <c r="J14" s="1340">
        <f>SUMIF('Spese Generiche BANCOMAT '!$E:$E,CONCATENATE(J$3," ",$A14),'Spese Generiche BANCOMAT '!$G:$G)</f>
        <v>0</v>
      </c>
      <c r="K14" s="1340">
        <f>SUMIF('Spese Generiche BANCOMAT '!$E:$E,CONCATENATE(K$3," ",$A14),'Spese Generiche BANCOMAT '!$G:$G)</f>
        <v>0</v>
      </c>
      <c r="L14" s="1340">
        <f>SUMIF('Spese Generiche BANCOMAT '!$E:$E,CONCATENATE(L$3," ",$A14),'Spese Generiche BANCOMAT '!$G:$G)</f>
        <v>0</v>
      </c>
      <c r="M14" s="1340">
        <f>SUMIF('Spese Generiche BANCOMAT '!$E:$E,CONCATENATE(M$3," ",$A14),'Spese Generiche BANCOMAT '!$G:$G)</f>
        <v>0</v>
      </c>
      <c r="N14" s="1342">
        <f t="shared" si="0"/>
        <v>0</v>
      </c>
    </row>
    <row r="15" spans="1:14" x14ac:dyDescent="0.25">
      <c r="A15" s="1341">
        <v>2030</v>
      </c>
      <c r="B15" s="1340">
        <f>SUMIF('Spese Generiche BANCOMAT '!$E:$E,CONCATENATE(B$3," ",$A15),'Spese Generiche BANCOMAT '!$G:$G)</f>
        <v>0</v>
      </c>
      <c r="C15" s="1340">
        <f>SUMIF('Spese Generiche BANCOMAT '!$E:$E,CONCATENATE(C$3," ",$A15),'Spese Generiche BANCOMAT '!$G:$G)</f>
        <v>0</v>
      </c>
      <c r="D15" s="1340">
        <f>SUMIF('Spese Generiche BANCOMAT '!$E:$E,CONCATENATE(D$3," ",$A15),'Spese Generiche BANCOMAT '!$G:$G)</f>
        <v>0</v>
      </c>
      <c r="E15" s="1340">
        <f>SUMIF('Spese Generiche BANCOMAT '!$E:$E,CONCATENATE(E$3," ",$A15),'Spese Generiche BANCOMAT '!$G:$G)</f>
        <v>0</v>
      </c>
      <c r="F15" s="1340">
        <f>SUMIF('Spese Generiche BANCOMAT '!$E:$E,CONCATENATE(F$3," ",$A15),'Spese Generiche BANCOMAT '!$G:$G)</f>
        <v>0</v>
      </c>
      <c r="G15" s="1340">
        <f>SUMIF('Spese Generiche BANCOMAT '!$E:$E,CONCATENATE(G$3," ",$A15),'Spese Generiche BANCOMAT '!$G:$G)</f>
        <v>0</v>
      </c>
      <c r="H15" s="1340">
        <f>SUMIF('Spese Generiche BANCOMAT '!$E:$E,CONCATENATE(H$3," ",$A15),'Spese Generiche BANCOMAT '!$G:$G)</f>
        <v>0</v>
      </c>
      <c r="I15" s="1340">
        <f>SUMIF('Spese Generiche BANCOMAT '!$E:$E,CONCATENATE(I$3," ",$A15),'Spese Generiche BANCOMAT '!$G:$G)</f>
        <v>0</v>
      </c>
      <c r="J15" s="1340">
        <f>SUMIF('Spese Generiche BANCOMAT '!$E:$E,CONCATENATE(J$3," ",$A15),'Spese Generiche BANCOMAT '!$G:$G)</f>
        <v>0</v>
      </c>
      <c r="K15" s="1340">
        <f>SUMIF('Spese Generiche BANCOMAT '!$E:$E,CONCATENATE(K$3," ",$A15),'Spese Generiche BANCOMAT '!$G:$G)</f>
        <v>0</v>
      </c>
      <c r="L15" s="1340">
        <f>SUMIF('Spese Generiche BANCOMAT '!$E:$E,CONCATENATE(L$3," ",$A15),'Spese Generiche BANCOMAT '!$G:$G)</f>
        <v>0</v>
      </c>
      <c r="M15" s="1340">
        <f>SUMIF('Spese Generiche BANCOMAT '!$E:$E,CONCATENATE(M$3," ",$A15),'Spese Generiche BANCOMAT '!$G:$G)</f>
        <v>0</v>
      </c>
      <c r="N15" s="1342">
        <f t="shared" si="0"/>
        <v>0</v>
      </c>
    </row>
    <row r="16" spans="1:14" x14ac:dyDescent="0.25">
      <c r="A16" s="1341">
        <v>2031</v>
      </c>
      <c r="B16" s="1340">
        <f>SUMIF('Spese Generiche BANCOMAT '!$E:$E,CONCATENATE(B$3," ",$A16),'Spese Generiche BANCOMAT '!$G:$G)</f>
        <v>0</v>
      </c>
      <c r="C16" s="1340">
        <f>SUMIF('Spese Generiche BANCOMAT '!$E:$E,CONCATENATE(C$3," ",$A16),'Spese Generiche BANCOMAT '!$G:$G)</f>
        <v>0</v>
      </c>
      <c r="D16" s="1340">
        <f>SUMIF('Spese Generiche BANCOMAT '!$E:$E,CONCATENATE(D$3," ",$A16),'Spese Generiche BANCOMAT '!$G:$G)</f>
        <v>0</v>
      </c>
      <c r="E16" s="1340">
        <f>SUMIF('Spese Generiche BANCOMAT '!$E:$E,CONCATENATE(E$3," ",$A16),'Spese Generiche BANCOMAT '!$G:$G)</f>
        <v>0</v>
      </c>
      <c r="F16" s="1340">
        <f>SUMIF('Spese Generiche BANCOMAT '!$E:$E,CONCATENATE(F$3," ",$A16),'Spese Generiche BANCOMAT '!$G:$G)</f>
        <v>0</v>
      </c>
      <c r="G16" s="1340">
        <f>SUMIF('Spese Generiche BANCOMAT '!$E:$E,CONCATENATE(G$3," ",$A16),'Spese Generiche BANCOMAT '!$G:$G)</f>
        <v>0</v>
      </c>
      <c r="H16" s="1340">
        <f>SUMIF('Spese Generiche BANCOMAT '!$E:$E,CONCATENATE(H$3," ",$A16),'Spese Generiche BANCOMAT '!$G:$G)</f>
        <v>0</v>
      </c>
      <c r="I16" s="1340">
        <f>SUMIF('Spese Generiche BANCOMAT '!$E:$E,CONCATENATE(I$3," ",$A16),'Spese Generiche BANCOMAT '!$G:$G)</f>
        <v>0</v>
      </c>
      <c r="J16" s="1340">
        <f>SUMIF('Spese Generiche BANCOMAT '!$E:$E,CONCATENATE(J$3," ",$A16),'Spese Generiche BANCOMAT '!$G:$G)</f>
        <v>0</v>
      </c>
      <c r="K16" s="1340">
        <f>SUMIF('Spese Generiche BANCOMAT '!$E:$E,CONCATENATE(K$3," ",$A16),'Spese Generiche BANCOMAT '!$G:$G)</f>
        <v>0</v>
      </c>
      <c r="L16" s="1340">
        <f>SUMIF('Spese Generiche BANCOMAT '!$E:$E,CONCATENATE(L$3," ",$A16),'Spese Generiche BANCOMAT '!$G:$G)</f>
        <v>0</v>
      </c>
      <c r="M16" s="1340">
        <f>SUMIF('Spese Generiche BANCOMAT '!$E:$E,CONCATENATE(M$3," ",$A16),'Spese Generiche BANCOMAT '!$G:$G)</f>
        <v>0</v>
      </c>
      <c r="N16" s="1342">
        <f t="shared" si="0"/>
        <v>0</v>
      </c>
    </row>
    <row r="17" spans="1:14" x14ac:dyDescent="0.25">
      <c r="A17" s="1341">
        <v>2032</v>
      </c>
      <c r="B17" s="1340">
        <f>SUMIF('Spese Generiche BANCOMAT '!$E:$E,CONCATENATE(B$3," ",$A17),'Spese Generiche BANCOMAT '!$G:$G)</f>
        <v>0</v>
      </c>
      <c r="C17" s="1340">
        <f>SUMIF('Spese Generiche BANCOMAT '!$E:$E,CONCATENATE(C$3," ",$A17),'Spese Generiche BANCOMAT '!$G:$G)</f>
        <v>0</v>
      </c>
      <c r="D17" s="1340">
        <f>SUMIF('Spese Generiche BANCOMAT '!$E:$E,CONCATENATE(D$3," ",$A17),'Spese Generiche BANCOMAT '!$G:$G)</f>
        <v>0</v>
      </c>
      <c r="E17" s="1340">
        <f>SUMIF('Spese Generiche BANCOMAT '!$E:$E,CONCATENATE(E$3," ",$A17),'Spese Generiche BANCOMAT '!$G:$G)</f>
        <v>0</v>
      </c>
      <c r="F17" s="1340">
        <f>SUMIF('Spese Generiche BANCOMAT '!$E:$E,CONCATENATE(F$3," ",$A17),'Spese Generiche BANCOMAT '!$G:$G)</f>
        <v>0</v>
      </c>
      <c r="G17" s="1340">
        <f>SUMIF('Spese Generiche BANCOMAT '!$E:$E,CONCATENATE(G$3," ",$A17),'Spese Generiche BANCOMAT '!$G:$G)</f>
        <v>0</v>
      </c>
      <c r="H17" s="1340">
        <f>SUMIF('Spese Generiche BANCOMAT '!$E:$E,CONCATENATE(H$3," ",$A17),'Spese Generiche BANCOMAT '!$G:$G)</f>
        <v>0</v>
      </c>
      <c r="I17" s="1340">
        <f>SUMIF('Spese Generiche BANCOMAT '!$E:$E,CONCATENATE(I$3," ",$A17),'Spese Generiche BANCOMAT '!$G:$G)</f>
        <v>0</v>
      </c>
      <c r="J17" s="1340">
        <f>SUMIF('Spese Generiche BANCOMAT '!$E:$E,CONCATENATE(J$3," ",$A17),'Spese Generiche BANCOMAT '!$G:$G)</f>
        <v>0</v>
      </c>
      <c r="K17" s="1340">
        <f>SUMIF('Spese Generiche BANCOMAT '!$E:$E,CONCATENATE(K$3," ",$A17),'Spese Generiche BANCOMAT '!$G:$G)</f>
        <v>0</v>
      </c>
      <c r="L17" s="1340">
        <f>SUMIF('Spese Generiche BANCOMAT '!$E:$E,CONCATENATE(L$3," ",$A17),'Spese Generiche BANCOMAT '!$G:$G)</f>
        <v>0</v>
      </c>
      <c r="M17" s="1340">
        <f>SUMIF('Spese Generiche BANCOMAT '!$E:$E,CONCATENATE(M$3," ",$A17),'Spese Generiche BANCOMAT '!$G:$G)</f>
        <v>0</v>
      </c>
      <c r="N17" s="1342">
        <f t="shared" si="0"/>
        <v>0</v>
      </c>
    </row>
    <row r="18" spans="1:14" x14ac:dyDescent="0.25">
      <c r="A18" s="1341">
        <v>2033</v>
      </c>
      <c r="B18" s="1340">
        <f>SUMIF('Spese Generiche BANCOMAT '!$E:$E,CONCATENATE(B$3," ",$A18),'Spese Generiche BANCOMAT '!$G:$G)</f>
        <v>0</v>
      </c>
      <c r="C18" s="1340">
        <f>SUMIF('Spese Generiche BANCOMAT '!$E:$E,CONCATENATE(C$3," ",$A18),'Spese Generiche BANCOMAT '!$G:$G)</f>
        <v>0</v>
      </c>
      <c r="D18" s="1340">
        <f>SUMIF('Spese Generiche BANCOMAT '!$E:$E,CONCATENATE(D$3," ",$A18),'Spese Generiche BANCOMAT '!$G:$G)</f>
        <v>0</v>
      </c>
      <c r="E18" s="1340">
        <f>SUMIF('Spese Generiche BANCOMAT '!$E:$E,CONCATENATE(E$3," ",$A18),'Spese Generiche BANCOMAT '!$G:$G)</f>
        <v>0</v>
      </c>
      <c r="F18" s="1340">
        <f>SUMIF('Spese Generiche BANCOMAT '!$E:$E,CONCATENATE(F$3," ",$A18),'Spese Generiche BANCOMAT '!$G:$G)</f>
        <v>0</v>
      </c>
      <c r="G18" s="1340">
        <f>SUMIF('Spese Generiche BANCOMAT '!$E:$E,CONCATENATE(G$3," ",$A18),'Spese Generiche BANCOMAT '!$G:$G)</f>
        <v>0</v>
      </c>
      <c r="H18" s="1340">
        <f>SUMIF('Spese Generiche BANCOMAT '!$E:$E,CONCATENATE(H$3," ",$A18),'Spese Generiche BANCOMAT '!$G:$G)</f>
        <v>0</v>
      </c>
      <c r="I18" s="1340">
        <f>SUMIF('Spese Generiche BANCOMAT '!$E:$E,CONCATENATE(I$3," ",$A18),'Spese Generiche BANCOMAT '!$G:$G)</f>
        <v>0</v>
      </c>
      <c r="J18" s="1340">
        <f>SUMIF('Spese Generiche BANCOMAT '!$E:$E,CONCATENATE(J$3," ",$A18),'Spese Generiche BANCOMAT '!$G:$G)</f>
        <v>0</v>
      </c>
      <c r="K18" s="1340">
        <f>SUMIF('Spese Generiche BANCOMAT '!$E:$E,CONCATENATE(K$3," ",$A18),'Spese Generiche BANCOMAT '!$G:$G)</f>
        <v>0</v>
      </c>
      <c r="L18" s="1340">
        <f>SUMIF('Spese Generiche BANCOMAT '!$E:$E,CONCATENATE(L$3," ",$A18),'Spese Generiche BANCOMAT '!$G:$G)</f>
        <v>0</v>
      </c>
      <c r="M18" s="1340">
        <f>SUMIF('Spese Generiche BANCOMAT '!$E:$E,CONCATENATE(M$3," ",$A18),'Spese Generiche BANCOMAT '!$G:$G)</f>
        <v>0</v>
      </c>
      <c r="N18" s="1342">
        <f t="shared" si="0"/>
        <v>0</v>
      </c>
    </row>
    <row r="19" spans="1:14" x14ac:dyDescent="0.25">
      <c r="A19" s="1341">
        <v>2034</v>
      </c>
      <c r="B19" s="1340">
        <f>SUMIF('Spese Generiche BANCOMAT '!$E:$E,CONCATENATE(B$3," ",$A19),'Spese Generiche BANCOMAT '!$G:$G)</f>
        <v>0</v>
      </c>
      <c r="C19" s="1340">
        <f>SUMIF('Spese Generiche BANCOMAT '!$E:$E,CONCATENATE(C$3," ",$A19),'Spese Generiche BANCOMAT '!$G:$G)</f>
        <v>0</v>
      </c>
      <c r="D19" s="1340">
        <f>SUMIF('Spese Generiche BANCOMAT '!$E:$E,CONCATENATE(D$3," ",$A19),'Spese Generiche BANCOMAT '!$G:$G)</f>
        <v>0</v>
      </c>
      <c r="E19" s="1340">
        <f>SUMIF('Spese Generiche BANCOMAT '!$E:$E,CONCATENATE(E$3," ",$A19),'Spese Generiche BANCOMAT '!$G:$G)</f>
        <v>0</v>
      </c>
      <c r="F19" s="1340">
        <f>SUMIF('Spese Generiche BANCOMAT '!$E:$E,CONCATENATE(F$3," ",$A19),'Spese Generiche BANCOMAT '!$G:$G)</f>
        <v>0</v>
      </c>
      <c r="G19" s="1340">
        <f>SUMIF('Spese Generiche BANCOMAT '!$E:$E,CONCATENATE(G$3," ",$A19),'Spese Generiche BANCOMAT '!$G:$G)</f>
        <v>0</v>
      </c>
      <c r="H19" s="1340">
        <f>SUMIF('Spese Generiche BANCOMAT '!$E:$E,CONCATENATE(H$3," ",$A19),'Spese Generiche BANCOMAT '!$G:$G)</f>
        <v>0</v>
      </c>
      <c r="I19" s="1340">
        <f>SUMIF('Spese Generiche BANCOMAT '!$E:$E,CONCATENATE(I$3," ",$A19),'Spese Generiche BANCOMAT '!$G:$G)</f>
        <v>0</v>
      </c>
      <c r="J19" s="1340">
        <f>SUMIF('Spese Generiche BANCOMAT '!$E:$E,CONCATENATE(J$3," ",$A19),'Spese Generiche BANCOMAT '!$G:$G)</f>
        <v>0</v>
      </c>
      <c r="K19" s="1340">
        <f>SUMIF('Spese Generiche BANCOMAT '!$E:$E,CONCATENATE(K$3," ",$A19),'Spese Generiche BANCOMAT '!$G:$G)</f>
        <v>0</v>
      </c>
      <c r="L19" s="1340">
        <f>SUMIF('Spese Generiche BANCOMAT '!$E:$E,CONCATENATE(L$3," ",$A19),'Spese Generiche BANCOMAT '!$G:$G)</f>
        <v>0</v>
      </c>
      <c r="M19" s="1340">
        <f>SUMIF('Spese Generiche BANCOMAT '!$E:$E,CONCATENATE(M$3," ",$A19),'Spese Generiche BANCOMAT '!$G:$G)</f>
        <v>0</v>
      </c>
      <c r="N19" s="1342">
        <f t="shared" si="0"/>
        <v>0</v>
      </c>
    </row>
    <row r="20" spans="1:14" x14ac:dyDescent="0.25">
      <c r="A20" s="1341">
        <v>2035</v>
      </c>
      <c r="B20" s="1340">
        <f>SUMIF('Spese Generiche BANCOMAT '!$E:$E,CONCATENATE(B$3," ",$A20),'Spese Generiche BANCOMAT '!$G:$G)</f>
        <v>0</v>
      </c>
      <c r="C20" s="1340">
        <f>SUMIF('Spese Generiche BANCOMAT '!$E:$E,CONCATENATE(C$3," ",$A20),'Spese Generiche BANCOMAT '!$G:$G)</f>
        <v>0</v>
      </c>
      <c r="D20" s="1340">
        <f>SUMIF('Spese Generiche BANCOMAT '!$E:$E,CONCATENATE(D$3," ",$A20),'Spese Generiche BANCOMAT '!$G:$G)</f>
        <v>0</v>
      </c>
      <c r="E20" s="1340">
        <f>SUMIF('Spese Generiche BANCOMAT '!$E:$E,CONCATENATE(E$3," ",$A20),'Spese Generiche BANCOMAT '!$G:$G)</f>
        <v>0</v>
      </c>
      <c r="F20" s="1340">
        <f>SUMIF('Spese Generiche BANCOMAT '!$E:$E,CONCATENATE(F$3," ",$A20),'Spese Generiche BANCOMAT '!$G:$G)</f>
        <v>0</v>
      </c>
      <c r="G20" s="1340">
        <f>SUMIF('Spese Generiche BANCOMAT '!$E:$E,CONCATENATE(G$3," ",$A20),'Spese Generiche BANCOMAT '!$G:$G)</f>
        <v>0</v>
      </c>
      <c r="H20" s="1340">
        <f>SUMIF('Spese Generiche BANCOMAT '!$E:$E,CONCATENATE(H$3," ",$A20),'Spese Generiche BANCOMAT '!$G:$G)</f>
        <v>0</v>
      </c>
      <c r="I20" s="1340">
        <f>SUMIF('Spese Generiche BANCOMAT '!$E:$E,CONCATENATE(I$3," ",$A20),'Spese Generiche BANCOMAT '!$G:$G)</f>
        <v>0</v>
      </c>
      <c r="J20" s="1340">
        <f>SUMIF('Spese Generiche BANCOMAT '!$E:$E,CONCATENATE(J$3," ",$A20),'Spese Generiche BANCOMAT '!$G:$G)</f>
        <v>0</v>
      </c>
      <c r="K20" s="1340">
        <f>SUMIF('Spese Generiche BANCOMAT '!$E:$E,CONCATENATE(K$3," ",$A20),'Spese Generiche BANCOMAT '!$G:$G)</f>
        <v>0</v>
      </c>
      <c r="L20" s="1340">
        <f>SUMIF('Spese Generiche BANCOMAT '!$E:$E,CONCATENATE(L$3," ",$A20),'Spese Generiche BANCOMAT '!$G:$G)</f>
        <v>0</v>
      </c>
      <c r="M20" s="1340">
        <f>SUMIF('Spese Generiche BANCOMAT '!$E:$E,CONCATENATE(M$3," ",$A20),'Spese Generiche BANCOMAT '!$G:$G)</f>
        <v>0</v>
      </c>
      <c r="N20" s="1342">
        <f t="shared" si="0"/>
        <v>0</v>
      </c>
    </row>
    <row r="21" spans="1:14" x14ac:dyDescent="0.25">
      <c r="A21" s="1341">
        <v>2036</v>
      </c>
      <c r="B21" s="1340">
        <f>SUMIF('Spese Generiche BANCOMAT '!$E:$E,CONCATENATE(B$3," ",$A21),'Spese Generiche BANCOMAT '!$G:$G)</f>
        <v>0</v>
      </c>
      <c r="C21" s="1340">
        <f>SUMIF('Spese Generiche BANCOMAT '!$E:$E,CONCATENATE(C$3," ",$A21),'Spese Generiche BANCOMAT '!$G:$G)</f>
        <v>0</v>
      </c>
      <c r="D21" s="1340">
        <f>SUMIF('Spese Generiche BANCOMAT '!$E:$E,CONCATENATE(D$3," ",$A21),'Spese Generiche BANCOMAT '!$G:$G)</f>
        <v>0</v>
      </c>
      <c r="E21" s="1340">
        <f>SUMIF('Spese Generiche BANCOMAT '!$E:$E,CONCATENATE(E$3," ",$A21),'Spese Generiche BANCOMAT '!$G:$G)</f>
        <v>0</v>
      </c>
      <c r="F21" s="1340">
        <f>SUMIF('Spese Generiche BANCOMAT '!$E:$E,CONCATENATE(F$3," ",$A21),'Spese Generiche BANCOMAT '!$G:$G)</f>
        <v>0</v>
      </c>
      <c r="G21" s="1340">
        <f>SUMIF('Spese Generiche BANCOMAT '!$E:$E,CONCATENATE(G$3," ",$A21),'Spese Generiche BANCOMAT '!$G:$G)</f>
        <v>0</v>
      </c>
      <c r="H21" s="1340">
        <f>SUMIF('Spese Generiche BANCOMAT '!$E:$E,CONCATENATE(H$3," ",$A21),'Spese Generiche BANCOMAT '!$G:$G)</f>
        <v>0</v>
      </c>
      <c r="I21" s="1340">
        <f>SUMIF('Spese Generiche BANCOMAT '!$E:$E,CONCATENATE(I$3," ",$A21),'Spese Generiche BANCOMAT '!$G:$G)</f>
        <v>0</v>
      </c>
      <c r="J21" s="1340">
        <f>SUMIF('Spese Generiche BANCOMAT '!$E:$E,CONCATENATE(J$3," ",$A21),'Spese Generiche BANCOMAT '!$G:$G)</f>
        <v>0</v>
      </c>
      <c r="K21" s="1340">
        <f>SUMIF('Spese Generiche BANCOMAT '!$E:$E,CONCATENATE(K$3," ",$A21),'Spese Generiche BANCOMAT '!$G:$G)</f>
        <v>0</v>
      </c>
      <c r="L21" s="1340">
        <f>SUMIF('Spese Generiche BANCOMAT '!$E:$E,CONCATENATE(L$3," ",$A21),'Spese Generiche BANCOMAT '!$G:$G)</f>
        <v>0</v>
      </c>
      <c r="M21" s="1340">
        <f>SUMIF('Spese Generiche BANCOMAT '!$E:$E,CONCATENATE(M$3," ",$A21),'Spese Generiche BANCOMAT '!$G:$G)</f>
        <v>0</v>
      </c>
      <c r="N21" s="1342">
        <f t="shared" si="0"/>
        <v>0</v>
      </c>
    </row>
    <row r="22" spans="1:14" x14ac:dyDescent="0.25">
      <c r="A22" s="1341">
        <v>2037</v>
      </c>
      <c r="B22" s="1340">
        <f>SUMIF('Spese Generiche BANCOMAT '!$E:$E,CONCATENATE(B$3," ",$A22),'Spese Generiche BANCOMAT '!$G:$G)</f>
        <v>0</v>
      </c>
      <c r="C22" s="1340">
        <f>SUMIF('Spese Generiche BANCOMAT '!$E:$E,CONCATENATE(C$3," ",$A22),'Spese Generiche BANCOMAT '!$G:$G)</f>
        <v>0</v>
      </c>
      <c r="D22" s="1340">
        <f>SUMIF('Spese Generiche BANCOMAT '!$E:$E,CONCATENATE(D$3," ",$A22),'Spese Generiche BANCOMAT '!$G:$G)</f>
        <v>0</v>
      </c>
      <c r="E22" s="1340">
        <f>SUMIF('Spese Generiche BANCOMAT '!$E:$E,CONCATENATE(E$3," ",$A22),'Spese Generiche BANCOMAT '!$G:$G)</f>
        <v>0</v>
      </c>
      <c r="F22" s="1340">
        <f>SUMIF('Spese Generiche BANCOMAT '!$E:$E,CONCATENATE(F$3," ",$A22),'Spese Generiche BANCOMAT '!$G:$G)</f>
        <v>0</v>
      </c>
      <c r="G22" s="1340">
        <f>SUMIF('Spese Generiche BANCOMAT '!$E:$E,CONCATENATE(G$3," ",$A22),'Spese Generiche BANCOMAT '!$G:$G)</f>
        <v>0</v>
      </c>
      <c r="H22" s="1340">
        <f>SUMIF('Spese Generiche BANCOMAT '!$E:$E,CONCATENATE(H$3," ",$A22),'Spese Generiche BANCOMAT '!$G:$G)</f>
        <v>0</v>
      </c>
      <c r="I22" s="1340">
        <f>SUMIF('Spese Generiche BANCOMAT '!$E:$E,CONCATENATE(I$3," ",$A22),'Spese Generiche BANCOMAT '!$G:$G)</f>
        <v>0</v>
      </c>
      <c r="J22" s="1340">
        <f>SUMIF('Spese Generiche BANCOMAT '!$E:$E,CONCATENATE(J$3," ",$A22),'Spese Generiche BANCOMAT '!$G:$G)</f>
        <v>0</v>
      </c>
      <c r="K22" s="1340">
        <f>SUMIF('Spese Generiche BANCOMAT '!$E:$E,CONCATENATE(K$3," ",$A22),'Spese Generiche BANCOMAT '!$G:$G)</f>
        <v>0</v>
      </c>
      <c r="L22" s="1340">
        <f>SUMIF('Spese Generiche BANCOMAT '!$E:$E,CONCATENATE(L$3," ",$A22),'Spese Generiche BANCOMAT '!$G:$G)</f>
        <v>0</v>
      </c>
      <c r="M22" s="1340">
        <f>SUMIF('Spese Generiche BANCOMAT '!$E:$E,CONCATENATE(M$3," ",$A22),'Spese Generiche BANCOMAT '!$G:$G)</f>
        <v>0</v>
      </c>
      <c r="N22" s="1342">
        <f t="shared" si="0"/>
        <v>0</v>
      </c>
    </row>
    <row r="23" spans="1:14" x14ac:dyDescent="0.25">
      <c r="A23" s="1341">
        <v>2038</v>
      </c>
      <c r="B23" s="1340">
        <f>SUMIF('Spese Generiche BANCOMAT '!$E:$E,CONCATENATE(B$3," ",$A23),'Spese Generiche BANCOMAT '!$G:$G)</f>
        <v>0</v>
      </c>
      <c r="C23" s="1340">
        <f>SUMIF('Spese Generiche BANCOMAT '!$E:$E,CONCATENATE(C$3," ",$A23),'Spese Generiche BANCOMAT '!$G:$G)</f>
        <v>0</v>
      </c>
      <c r="D23" s="1340">
        <f>SUMIF('Spese Generiche BANCOMAT '!$E:$E,CONCATENATE(D$3," ",$A23),'Spese Generiche BANCOMAT '!$G:$G)</f>
        <v>0</v>
      </c>
      <c r="E23" s="1340">
        <f>SUMIF('Spese Generiche BANCOMAT '!$E:$E,CONCATENATE(E$3," ",$A23),'Spese Generiche BANCOMAT '!$G:$G)</f>
        <v>0</v>
      </c>
      <c r="F23" s="1340">
        <f>SUMIF('Spese Generiche BANCOMAT '!$E:$E,CONCATENATE(F$3," ",$A23),'Spese Generiche BANCOMAT '!$G:$G)</f>
        <v>0</v>
      </c>
      <c r="G23" s="1340">
        <f>SUMIF('Spese Generiche BANCOMAT '!$E:$E,CONCATENATE(G$3," ",$A23),'Spese Generiche BANCOMAT '!$G:$G)</f>
        <v>0</v>
      </c>
      <c r="H23" s="1340">
        <f>SUMIF('Spese Generiche BANCOMAT '!$E:$E,CONCATENATE(H$3," ",$A23),'Spese Generiche BANCOMAT '!$G:$G)</f>
        <v>0</v>
      </c>
      <c r="I23" s="1340">
        <f>SUMIF('Spese Generiche BANCOMAT '!$E:$E,CONCATENATE(I$3," ",$A23),'Spese Generiche BANCOMAT '!$G:$G)</f>
        <v>0</v>
      </c>
      <c r="J23" s="1340">
        <f>SUMIF('Spese Generiche BANCOMAT '!$E:$E,CONCATENATE(J$3," ",$A23),'Spese Generiche BANCOMAT '!$G:$G)</f>
        <v>0</v>
      </c>
      <c r="K23" s="1340">
        <f>SUMIF('Spese Generiche BANCOMAT '!$E:$E,CONCATENATE(K$3," ",$A23),'Spese Generiche BANCOMAT '!$G:$G)</f>
        <v>0</v>
      </c>
      <c r="L23" s="1340">
        <f>SUMIF('Spese Generiche BANCOMAT '!$E:$E,CONCATENATE(L$3," ",$A23),'Spese Generiche BANCOMAT '!$G:$G)</f>
        <v>0</v>
      </c>
      <c r="M23" s="1340">
        <f>SUMIF('Spese Generiche BANCOMAT '!$E:$E,CONCATENATE(M$3," ",$A23),'Spese Generiche BANCOMAT '!$G:$G)</f>
        <v>0</v>
      </c>
      <c r="N23" s="1342">
        <f t="shared" si="0"/>
        <v>0</v>
      </c>
    </row>
    <row r="24" spans="1:14" x14ac:dyDescent="0.25">
      <c r="A24" s="1341">
        <v>2039</v>
      </c>
      <c r="B24" s="1340">
        <f>SUMIF('Spese Generiche BANCOMAT '!$E:$E,CONCATENATE(B$3," ",$A24),'Spese Generiche BANCOMAT '!$G:$G)</f>
        <v>0</v>
      </c>
      <c r="C24" s="1340">
        <f>SUMIF('Spese Generiche BANCOMAT '!$E:$E,CONCATENATE(C$3," ",$A24),'Spese Generiche BANCOMAT '!$G:$G)</f>
        <v>0</v>
      </c>
      <c r="D24" s="1340">
        <f>SUMIF('Spese Generiche BANCOMAT '!$E:$E,CONCATENATE(D$3," ",$A24),'Spese Generiche BANCOMAT '!$G:$G)</f>
        <v>0</v>
      </c>
      <c r="E24" s="1340">
        <f>SUMIF('Spese Generiche BANCOMAT '!$E:$E,CONCATENATE(E$3," ",$A24),'Spese Generiche BANCOMAT '!$G:$G)</f>
        <v>0</v>
      </c>
      <c r="F24" s="1340">
        <f>SUMIF('Spese Generiche BANCOMAT '!$E:$E,CONCATENATE(F$3," ",$A24),'Spese Generiche BANCOMAT '!$G:$G)</f>
        <v>0</v>
      </c>
      <c r="G24" s="1340">
        <f>SUMIF('Spese Generiche BANCOMAT '!$E:$E,CONCATENATE(G$3," ",$A24),'Spese Generiche BANCOMAT '!$G:$G)</f>
        <v>0</v>
      </c>
      <c r="H24" s="1340">
        <f>SUMIF('Spese Generiche BANCOMAT '!$E:$E,CONCATENATE(H$3," ",$A24),'Spese Generiche BANCOMAT '!$G:$G)</f>
        <v>0</v>
      </c>
      <c r="I24" s="1340">
        <f>SUMIF('Spese Generiche BANCOMAT '!$E:$E,CONCATENATE(I$3," ",$A24),'Spese Generiche BANCOMAT '!$G:$G)</f>
        <v>0</v>
      </c>
      <c r="J24" s="1340">
        <f>SUMIF('Spese Generiche BANCOMAT '!$E:$E,CONCATENATE(J$3," ",$A24),'Spese Generiche BANCOMAT '!$G:$G)</f>
        <v>0</v>
      </c>
      <c r="K24" s="1340">
        <f>SUMIF('Spese Generiche BANCOMAT '!$E:$E,CONCATENATE(K$3," ",$A24),'Spese Generiche BANCOMAT '!$G:$G)</f>
        <v>0</v>
      </c>
      <c r="L24" s="1340">
        <f>SUMIF('Spese Generiche BANCOMAT '!$E:$E,CONCATENATE(L$3," ",$A24),'Spese Generiche BANCOMAT '!$G:$G)</f>
        <v>0</v>
      </c>
      <c r="M24" s="1340">
        <f>SUMIF('Spese Generiche BANCOMAT '!$E:$E,CONCATENATE(M$3," ",$A24),'Spese Generiche BANCOMAT '!$G:$G)</f>
        <v>0</v>
      </c>
      <c r="N24" s="1342">
        <f t="shared" si="0"/>
        <v>0</v>
      </c>
    </row>
    <row r="25" spans="1:14" x14ac:dyDescent="0.25">
      <c r="A25" s="1341">
        <v>2040</v>
      </c>
      <c r="B25" s="1340">
        <f>SUMIF('Spese Generiche BANCOMAT '!$E:$E,CONCATENATE(B$3," ",$A25),'Spese Generiche BANCOMAT '!$G:$G)</f>
        <v>0</v>
      </c>
      <c r="C25" s="1340">
        <f>SUMIF('Spese Generiche BANCOMAT '!$E:$E,CONCATENATE(C$3," ",$A25),'Spese Generiche BANCOMAT '!$G:$G)</f>
        <v>0</v>
      </c>
      <c r="D25" s="1340">
        <f>SUMIF('Spese Generiche BANCOMAT '!$E:$E,CONCATENATE(D$3," ",$A25),'Spese Generiche BANCOMAT '!$G:$G)</f>
        <v>0</v>
      </c>
      <c r="E25" s="1340">
        <f>SUMIF('Spese Generiche BANCOMAT '!$E:$E,CONCATENATE(E$3," ",$A25),'Spese Generiche BANCOMAT '!$G:$G)</f>
        <v>0</v>
      </c>
      <c r="F25" s="1340">
        <f>SUMIF('Spese Generiche BANCOMAT '!$E:$E,CONCATENATE(F$3," ",$A25),'Spese Generiche BANCOMAT '!$G:$G)</f>
        <v>0</v>
      </c>
      <c r="G25" s="1340">
        <f>SUMIF('Spese Generiche BANCOMAT '!$E:$E,CONCATENATE(G$3," ",$A25),'Spese Generiche BANCOMAT '!$G:$G)</f>
        <v>0</v>
      </c>
      <c r="H25" s="1340">
        <f>SUMIF('Spese Generiche BANCOMAT '!$E:$E,CONCATENATE(H$3," ",$A25),'Spese Generiche BANCOMAT '!$G:$G)</f>
        <v>0</v>
      </c>
      <c r="I25" s="1340">
        <f>SUMIF('Spese Generiche BANCOMAT '!$E:$E,CONCATENATE(I$3," ",$A25),'Spese Generiche BANCOMAT '!$G:$G)</f>
        <v>0</v>
      </c>
      <c r="J25" s="1340">
        <f>SUMIF('Spese Generiche BANCOMAT '!$E:$E,CONCATENATE(J$3," ",$A25),'Spese Generiche BANCOMAT '!$G:$G)</f>
        <v>0</v>
      </c>
      <c r="K25" s="1340">
        <f>SUMIF('Spese Generiche BANCOMAT '!$E:$E,CONCATENATE(K$3," ",$A25),'Spese Generiche BANCOMAT '!$G:$G)</f>
        <v>0</v>
      </c>
      <c r="L25" s="1340">
        <f>SUMIF('Spese Generiche BANCOMAT '!$E:$E,CONCATENATE(L$3," ",$A25),'Spese Generiche BANCOMAT '!$G:$G)</f>
        <v>0</v>
      </c>
      <c r="M25" s="1340">
        <f>SUMIF('Spese Generiche BANCOMAT '!$E:$E,CONCATENATE(M$3," ",$A25),'Spese Generiche BANCOMAT '!$G:$G)</f>
        <v>0</v>
      </c>
      <c r="N25" s="1342">
        <f t="shared" si="0"/>
        <v>0</v>
      </c>
    </row>
    <row r="26" spans="1:14" x14ac:dyDescent="0.25">
      <c r="A26" s="1341">
        <v>2041</v>
      </c>
      <c r="B26" s="1340">
        <f>SUMIF('Spese Generiche BANCOMAT '!$E:$E,CONCATENATE(B$3," ",$A26),'Spese Generiche BANCOMAT '!$G:$G)</f>
        <v>0</v>
      </c>
      <c r="C26" s="1340">
        <f>SUMIF('Spese Generiche BANCOMAT '!$E:$E,CONCATENATE(C$3," ",$A26),'Spese Generiche BANCOMAT '!$G:$G)</f>
        <v>0</v>
      </c>
      <c r="D26" s="1340">
        <f>SUMIF('Spese Generiche BANCOMAT '!$E:$E,CONCATENATE(D$3," ",$A26),'Spese Generiche BANCOMAT '!$G:$G)</f>
        <v>0</v>
      </c>
      <c r="E26" s="1340">
        <f>SUMIF('Spese Generiche BANCOMAT '!$E:$E,CONCATENATE(E$3," ",$A26),'Spese Generiche BANCOMAT '!$G:$G)</f>
        <v>0</v>
      </c>
      <c r="F26" s="1340">
        <f>SUMIF('Spese Generiche BANCOMAT '!$E:$E,CONCATENATE(F$3," ",$A26),'Spese Generiche BANCOMAT '!$G:$G)</f>
        <v>0</v>
      </c>
      <c r="G26" s="1340">
        <f>SUMIF('Spese Generiche BANCOMAT '!$E:$E,CONCATENATE(G$3," ",$A26),'Spese Generiche BANCOMAT '!$G:$G)</f>
        <v>0</v>
      </c>
      <c r="H26" s="1340">
        <f>SUMIF('Spese Generiche BANCOMAT '!$E:$E,CONCATENATE(H$3," ",$A26),'Spese Generiche BANCOMAT '!$G:$G)</f>
        <v>0</v>
      </c>
      <c r="I26" s="1340">
        <f>SUMIF('Spese Generiche BANCOMAT '!$E:$E,CONCATENATE(I$3," ",$A26),'Spese Generiche BANCOMAT '!$G:$G)</f>
        <v>0</v>
      </c>
      <c r="J26" s="1340">
        <f>SUMIF('Spese Generiche BANCOMAT '!$E:$E,CONCATENATE(J$3," ",$A26),'Spese Generiche BANCOMAT '!$G:$G)</f>
        <v>0</v>
      </c>
      <c r="K26" s="1340">
        <f>SUMIF('Spese Generiche BANCOMAT '!$E:$E,CONCATENATE(K$3," ",$A26),'Spese Generiche BANCOMAT '!$G:$G)</f>
        <v>0</v>
      </c>
      <c r="L26" s="1340">
        <f>SUMIF('Spese Generiche BANCOMAT '!$E:$E,CONCATENATE(L$3," ",$A26),'Spese Generiche BANCOMAT '!$G:$G)</f>
        <v>0</v>
      </c>
      <c r="M26" s="1340">
        <f>SUMIF('Spese Generiche BANCOMAT '!$E:$E,CONCATENATE(M$3," ",$A26),'Spese Generiche BANCOMAT '!$G:$G)</f>
        <v>0</v>
      </c>
      <c r="N26" s="1342">
        <f t="shared" si="0"/>
        <v>0</v>
      </c>
    </row>
    <row r="27" spans="1:14" x14ac:dyDescent="0.25">
      <c r="A27" s="1341">
        <v>2042</v>
      </c>
      <c r="B27" s="1340">
        <f>SUMIF('Spese Generiche BANCOMAT '!$E:$E,CONCATENATE(B$3," ",$A27),'Spese Generiche BANCOMAT '!$G:$G)</f>
        <v>0</v>
      </c>
      <c r="C27" s="1340">
        <f>SUMIF('Spese Generiche BANCOMAT '!$E:$E,CONCATENATE(C$3," ",$A27),'Spese Generiche BANCOMAT '!$G:$G)</f>
        <v>0</v>
      </c>
      <c r="D27" s="1340">
        <f>SUMIF('Spese Generiche BANCOMAT '!$E:$E,CONCATENATE(D$3," ",$A27),'Spese Generiche BANCOMAT '!$G:$G)</f>
        <v>0</v>
      </c>
      <c r="E27" s="1340">
        <f>SUMIF('Spese Generiche BANCOMAT '!$E:$E,CONCATENATE(E$3," ",$A27),'Spese Generiche BANCOMAT '!$G:$G)</f>
        <v>0</v>
      </c>
      <c r="F27" s="1340">
        <f>SUMIF('Spese Generiche BANCOMAT '!$E:$E,CONCATENATE(F$3," ",$A27),'Spese Generiche BANCOMAT '!$G:$G)</f>
        <v>0</v>
      </c>
      <c r="G27" s="1340">
        <f>SUMIF('Spese Generiche BANCOMAT '!$E:$E,CONCATENATE(G$3," ",$A27),'Spese Generiche BANCOMAT '!$G:$G)</f>
        <v>0</v>
      </c>
      <c r="H27" s="1340">
        <f>SUMIF('Spese Generiche BANCOMAT '!$E:$E,CONCATENATE(H$3," ",$A27),'Spese Generiche BANCOMAT '!$G:$G)</f>
        <v>0</v>
      </c>
      <c r="I27" s="1340">
        <f>SUMIF('Spese Generiche BANCOMAT '!$E:$E,CONCATENATE(I$3," ",$A27),'Spese Generiche BANCOMAT '!$G:$G)</f>
        <v>0</v>
      </c>
      <c r="J27" s="1340">
        <f>SUMIF('Spese Generiche BANCOMAT '!$E:$E,CONCATENATE(J$3," ",$A27),'Spese Generiche BANCOMAT '!$G:$G)</f>
        <v>0</v>
      </c>
      <c r="K27" s="1340">
        <f>SUMIF('Spese Generiche BANCOMAT '!$E:$E,CONCATENATE(K$3," ",$A27),'Spese Generiche BANCOMAT '!$G:$G)</f>
        <v>0</v>
      </c>
      <c r="L27" s="1340">
        <f>SUMIF('Spese Generiche BANCOMAT '!$E:$E,CONCATENATE(L$3," ",$A27),'Spese Generiche BANCOMAT '!$G:$G)</f>
        <v>0</v>
      </c>
      <c r="M27" s="1340">
        <f>SUMIF('Spese Generiche BANCOMAT '!$E:$E,CONCATENATE(M$3," ",$A27),'Spese Generiche BANCOMAT '!$G:$G)</f>
        <v>0</v>
      </c>
      <c r="N27" s="1342">
        <f t="shared" si="0"/>
        <v>0</v>
      </c>
    </row>
    <row r="28" spans="1:14" x14ac:dyDescent="0.25">
      <c r="A28" s="1341">
        <v>2043</v>
      </c>
      <c r="B28" s="1340">
        <f>SUMIF('Spese Generiche BANCOMAT '!$E:$E,CONCATENATE(B$3," ",$A28),'Spese Generiche BANCOMAT '!$G:$G)</f>
        <v>0</v>
      </c>
      <c r="C28" s="1340">
        <f>SUMIF('Spese Generiche BANCOMAT '!$E:$E,CONCATENATE(C$3," ",$A28),'Spese Generiche BANCOMAT '!$G:$G)</f>
        <v>0</v>
      </c>
      <c r="D28" s="1340">
        <f>SUMIF('Spese Generiche BANCOMAT '!$E:$E,CONCATENATE(D$3," ",$A28),'Spese Generiche BANCOMAT '!$G:$G)</f>
        <v>0</v>
      </c>
      <c r="E28" s="1340">
        <f>SUMIF('Spese Generiche BANCOMAT '!$E:$E,CONCATENATE(E$3," ",$A28),'Spese Generiche BANCOMAT '!$G:$G)</f>
        <v>0</v>
      </c>
      <c r="F28" s="1340">
        <f>SUMIF('Spese Generiche BANCOMAT '!$E:$E,CONCATENATE(F$3," ",$A28),'Spese Generiche BANCOMAT '!$G:$G)</f>
        <v>0</v>
      </c>
      <c r="G28" s="1340">
        <f>SUMIF('Spese Generiche BANCOMAT '!$E:$E,CONCATENATE(G$3," ",$A28),'Spese Generiche BANCOMAT '!$G:$G)</f>
        <v>0</v>
      </c>
      <c r="H28" s="1340">
        <f>SUMIF('Spese Generiche BANCOMAT '!$E:$E,CONCATENATE(H$3," ",$A28),'Spese Generiche BANCOMAT '!$G:$G)</f>
        <v>0</v>
      </c>
      <c r="I28" s="1340">
        <f>SUMIF('Spese Generiche BANCOMAT '!$E:$E,CONCATENATE(I$3," ",$A28),'Spese Generiche BANCOMAT '!$G:$G)</f>
        <v>0</v>
      </c>
      <c r="J28" s="1340">
        <f>SUMIF('Spese Generiche BANCOMAT '!$E:$E,CONCATENATE(J$3," ",$A28),'Spese Generiche BANCOMAT '!$G:$G)</f>
        <v>0</v>
      </c>
      <c r="K28" s="1340">
        <f>SUMIF('Spese Generiche BANCOMAT '!$E:$E,CONCATENATE(K$3," ",$A28),'Spese Generiche BANCOMAT '!$G:$G)</f>
        <v>0</v>
      </c>
      <c r="L28" s="1340">
        <f>SUMIF('Spese Generiche BANCOMAT '!$E:$E,CONCATENATE(L$3," ",$A28),'Spese Generiche BANCOMAT '!$G:$G)</f>
        <v>0</v>
      </c>
      <c r="M28" s="1340">
        <f>SUMIF('Spese Generiche BANCOMAT '!$E:$E,CONCATENATE(M$3," ",$A28),'Spese Generiche BANCOMAT '!$G:$G)</f>
        <v>0</v>
      </c>
      <c r="N28" s="1342">
        <f t="shared" si="0"/>
        <v>0</v>
      </c>
    </row>
    <row r="29" spans="1:14" x14ac:dyDescent="0.25">
      <c r="A29" s="1341">
        <v>2044</v>
      </c>
      <c r="B29" s="1340">
        <f>SUMIF('Spese Generiche BANCOMAT '!$E:$E,CONCATENATE(B$3," ",$A29),'Spese Generiche BANCOMAT '!$G:$G)</f>
        <v>0</v>
      </c>
      <c r="C29" s="1340">
        <f>SUMIF('Spese Generiche BANCOMAT '!$E:$E,CONCATENATE(C$3," ",$A29),'Spese Generiche BANCOMAT '!$G:$G)</f>
        <v>0</v>
      </c>
      <c r="D29" s="1340">
        <f>SUMIF('Spese Generiche BANCOMAT '!$E:$E,CONCATENATE(D$3," ",$A29),'Spese Generiche BANCOMAT '!$G:$G)</f>
        <v>0</v>
      </c>
      <c r="E29" s="1340">
        <f>SUMIF('Spese Generiche BANCOMAT '!$E:$E,CONCATENATE(E$3," ",$A29),'Spese Generiche BANCOMAT '!$G:$G)</f>
        <v>0</v>
      </c>
      <c r="F29" s="1340">
        <f>SUMIF('Spese Generiche BANCOMAT '!$E:$E,CONCATENATE(F$3," ",$A29),'Spese Generiche BANCOMAT '!$G:$G)</f>
        <v>0</v>
      </c>
      <c r="G29" s="1340">
        <f>SUMIF('Spese Generiche BANCOMAT '!$E:$E,CONCATENATE(G$3," ",$A29),'Spese Generiche BANCOMAT '!$G:$G)</f>
        <v>0</v>
      </c>
      <c r="H29" s="1340">
        <f>SUMIF('Spese Generiche BANCOMAT '!$E:$E,CONCATENATE(H$3," ",$A29),'Spese Generiche BANCOMAT '!$G:$G)</f>
        <v>0</v>
      </c>
      <c r="I29" s="1340">
        <f>SUMIF('Spese Generiche BANCOMAT '!$E:$E,CONCATENATE(I$3," ",$A29),'Spese Generiche BANCOMAT '!$G:$G)</f>
        <v>0</v>
      </c>
      <c r="J29" s="1340">
        <f>SUMIF('Spese Generiche BANCOMAT '!$E:$E,CONCATENATE(J$3," ",$A29),'Spese Generiche BANCOMAT '!$G:$G)</f>
        <v>0</v>
      </c>
      <c r="K29" s="1340">
        <f>SUMIF('Spese Generiche BANCOMAT '!$E:$E,CONCATENATE(K$3," ",$A29),'Spese Generiche BANCOMAT '!$G:$G)</f>
        <v>0</v>
      </c>
      <c r="L29" s="1340">
        <f>SUMIF('Spese Generiche BANCOMAT '!$E:$E,CONCATENATE(L$3," ",$A29),'Spese Generiche BANCOMAT '!$G:$G)</f>
        <v>0</v>
      </c>
      <c r="M29" s="1340">
        <f>SUMIF('Spese Generiche BANCOMAT '!$E:$E,CONCATENATE(M$3," ",$A29),'Spese Generiche BANCOMAT '!$G:$G)</f>
        <v>0</v>
      </c>
      <c r="N29" s="1342">
        <f t="shared" si="0"/>
        <v>0</v>
      </c>
    </row>
    <row r="30" spans="1:14" x14ac:dyDescent="0.25">
      <c r="A30" s="1344" t="s">
        <v>397</v>
      </c>
      <c r="B30" s="1345">
        <f t="shared" ref="B30:N30" si="1">SUM(B4:B29)</f>
        <v>3109.16</v>
      </c>
      <c r="C30" s="1345">
        <f t="shared" si="1"/>
        <v>3855.9799999999996</v>
      </c>
      <c r="D30" s="1345">
        <f t="shared" si="1"/>
        <v>2482.4299999999998</v>
      </c>
      <c r="E30" s="1345">
        <f t="shared" si="1"/>
        <v>1180.92</v>
      </c>
      <c r="F30" s="1345">
        <f t="shared" si="1"/>
        <v>645.62</v>
      </c>
      <c r="G30" s="1345">
        <f t="shared" si="1"/>
        <v>364.7</v>
      </c>
      <c r="H30" s="1345">
        <f t="shared" si="1"/>
        <v>875.35</v>
      </c>
      <c r="I30" s="1345">
        <f t="shared" si="1"/>
        <v>3727.65</v>
      </c>
      <c r="J30" s="1345">
        <f t="shared" si="1"/>
        <v>463.48</v>
      </c>
      <c r="K30" s="1345">
        <f t="shared" si="1"/>
        <v>-469.03</v>
      </c>
      <c r="L30" s="1345">
        <f t="shared" si="1"/>
        <v>2893.27</v>
      </c>
      <c r="M30" s="1345">
        <f t="shared" si="1"/>
        <v>8331.24</v>
      </c>
      <c r="N30" s="1345">
        <f t="shared" si="1"/>
        <v>27460.770000000008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 x14ac:dyDescent="0.2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x14ac:dyDescent="0.25">
      <c r="A1" s="1344" t="s">
        <v>63</v>
      </c>
      <c r="B1" s="1344" t="s">
        <v>183</v>
      </c>
      <c r="C1" s="1344" t="s">
        <v>176</v>
      </c>
      <c r="D1" s="1344" t="s">
        <v>168</v>
      </c>
      <c r="E1" s="1344" t="s">
        <v>159</v>
      </c>
      <c r="F1" s="1344" t="s">
        <v>143</v>
      </c>
      <c r="G1" s="1344" t="s">
        <v>131</v>
      </c>
      <c r="H1" s="1344" t="s">
        <v>119</v>
      </c>
      <c r="I1" s="1344" t="s">
        <v>80</v>
      </c>
      <c r="J1" s="1344" t="s">
        <v>68</v>
      </c>
      <c r="K1" s="1344" t="s">
        <v>215</v>
      </c>
      <c r="L1" s="1344" t="s">
        <v>207</v>
      </c>
      <c r="M1" s="1344" t="s">
        <v>188</v>
      </c>
      <c r="N1" s="1344" t="s">
        <v>1201</v>
      </c>
    </row>
    <row r="2" spans="1:14" x14ac:dyDescent="0.25">
      <c r="A2" s="1343">
        <v>2019</v>
      </c>
      <c r="B2" s="1347">
        <f>SUMIF('Spese Generiche BANCOMAT '!$E:$E,"GENNAIO 2019",'Spese Generiche BANCOMAT '!$G:$G)</f>
        <v>0</v>
      </c>
      <c r="C2" s="1347">
        <f>SUMIF('Spese Generiche BANCOMAT '!$E:$E,"FEBBRAIO 2019",'Spese Generiche BANCOMAT '!$G:$G)</f>
        <v>0</v>
      </c>
      <c r="D2" s="1347">
        <f>SUMIF('Spese Generiche BANCOMAT '!$E:$E,"MARZO 2019",'Spese Generiche BANCOMAT '!$G:$G)</f>
        <v>0</v>
      </c>
      <c r="E2" s="1347">
        <f>SUMIF('Spese Generiche BANCOMAT '!$E:$E,"APRILE 2019",'Spese Generiche BANCOMAT '!$G:$G)</f>
        <v>0</v>
      </c>
      <c r="F2" s="1347">
        <f>SUMIF('Spese Generiche BANCOMAT '!$E:$E,"MAGGIO 2019",'Spese Generiche BANCOMAT '!$G:$G)</f>
        <v>0</v>
      </c>
      <c r="G2" s="1347">
        <f>SUMIF('Spese Generiche BANCOMAT '!$E:$E,"GIUGNO 2019",'Spese Generiche BANCOMAT '!$G:$G)</f>
        <v>0</v>
      </c>
      <c r="H2" s="1347">
        <f>SUMIF('Spese Generiche BANCOMAT '!$E:$E,"LUGLIO 2019",'Spese Generiche BANCOMAT '!$G:$G)</f>
        <v>0</v>
      </c>
      <c r="I2" s="1347">
        <f>SUMIF('Spese Generiche BANCOMAT '!$E:$E,"AGOSTO 2019",'Spese Generiche BANCOMAT '!$G:$G)</f>
        <v>0</v>
      </c>
      <c r="J2" s="1347">
        <f>SUMIF('Spese Generiche BANCOMAT '!$E:$E,"SETTEMBRE 2019",'Spese Generiche BANCOMAT '!$G:$G)</f>
        <v>0</v>
      </c>
      <c r="K2" s="1347">
        <f>SUMIF('Spese Generiche BANCOMAT '!$E:$E,"OTTOBRE 2019",'Spese Generiche BANCOMAT '!$G:$G)</f>
        <v>0</v>
      </c>
      <c r="L2" s="1347">
        <f>SUMIF('Spese Generiche BANCOMAT '!$E:$E,"NOVEMBRE 2019",'Spese Generiche BANCOMAT '!$G:$G)</f>
        <v>25</v>
      </c>
      <c r="M2" s="1347">
        <f>SUMIF('Spese Generiche BANCOMAT '!$E:$E,"DICEMBRE 2019",'Spese Generiche BANCOMAT '!$G:$G)</f>
        <v>687.75</v>
      </c>
      <c r="N2" s="1349">
        <f t="shared" ref="N2:N27" si="0">SUM(B2:M2)</f>
        <v>712.75</v>
      </c>
    </row>
    <row r="3" spans="1:14" x14ac:dyDescent="0.25">
      <c r="A3" s="1343">
        <v>2020</v>
      </c>
      <c r="B3" s="1347">
        <f>SUMIF('Spese Generiche BANCOMAT '!$E:$E,"GENNAIO 2020",'Spese Generiche BANCOMAT '!$G:$G)</f>
        <v>261.89</v>
      </c>
      <c r="C3" s="1347">
        <f>SUMIF('Spese Generiche BANCOMAT '!$E:$E,"FEBBRAIO 2020",'Spese Generiche BANCOMAT '!$G:$G)</f>
        <v>512</v>
      </c>
      <c r="D3" s="1347">
        <f>SUMIF('Spese Generiche BANCOMAT '!$E:$E,"MARZO 2020",'Spese Generiche BANCOMAT '!$G:$G)</f>
        <v>148.80000000000001</v>
      </c>
      <c r="E3" s="1347">
        <f>SUMIF('Spese Generiche BANCOMAT '!$E:$E,"APRILE 2020",'Spese Generiche BANCOMAT '!$G:$G)</f>
        <v>40</v>
      </c>
      <c r="F3" s="1347">
        <f>SUMIF('Spese Generiche BANCOMAT '!$E:$E,"MAGGIO 2020",'Spese Generiche BANCOMAT '!$G:$G)</f>
        <v>142</v>
      </c>
      <c r="G3" s="1347">
        <f>SUMIF('Spese Generiche BANCOMAT '!$E:$E,"GIUGNO 2020",'Spese Generiche BANCOMAT '!$G:$G)</f>
        <v>352.5</v>
      </c>
      <c r="H3" s="1347">
        <f>SUMIF('Spese Generiche BANCOMAT '!$E:$E,"LUGLIO 2020",'Spese Generiche BANCOMAT '!$G:$G)</f>
        <v>190</v>
      </c>
      <c r="I3" s="1347">
        <f>SUMIF('Spese Generiche BANCOMAT '!$E:$E,"AGOSTO 2020",'Spese Generiche BANCOMAT '!$G:$G)</f>
        <v>528.4</v>
      </c>
      <c r="J3" s="1347">
        <f>SUMIF('Spese Generiche BANCOMAT '!$E:$E,"SETTEMBRE 2020",'Spese Generiche BANCOMAT '!$G:$G)</f>
        <v>210</v>
      </c>
      <c r="K3" s="1347">
        <f>SUMIF('Spese Generiche BANCOMAT '!$E:$E,"OTTOBRE 2020",'Spese Generiche BANCOMAT '!$G:$G)</f>
        <v>698.58</v>
      </c>
      <c r="L3" s="1347">
        <f>SUMIF('Spese Generiche BANCOMAT '!$E:$E,"NOVEMBRE 2020",'Spese Generiche BANCOMAT '!$G:$G)</f>
        <v>672.66000000000008</v>
      </c>
      <c r="M3" s="1347">
        <f>SUMIF('Spese Generiche BANCOMAT '!$E:$E,"DICEMBRE 2020",'Spese Generiche BANCOMAT '!$G:$G)</f>
        <v>5424.9800000000005</v>
      </c>
      <c r="N3" s="1349">
        <f t="shared" si="0"/>
        <v>9181.8100000000013</v>
      </c>
    </row>
    <row r="4" spans="1:14" x14ac:dyDescent="0.25">
      <c r="A4" s="1343">
        <v>2021</v>
      </c>
      <c r="B4" s="1347">
        <f>SUMIF('Spese Generiche BANCOMAT '!$E:$E,"GENNAIO 2021",'Spese Generiche BANCOMAT '!$G:$G)</f>
        <v>40</v>
      </c>
      <c r="C4" s="1347">
        <f>SUMIF('Spese Generiche BANCOMAT '!$E:$E,"FEBBRAIO 2021",'Spese Generiche BANCOMAT '!$G:$G)</f>
        <v>3076.7299999999996</v>
      </c>
      <c r="D4" s="1347">
        <f>SUMIF('Spese Generiche BANCOMAT '!$E:$E,"MARZO 2021",'Spese Generiche BANCOMAT '!$G:$G)</f>
        <v>1265.5</v>
      </c>
      <c r="E4" s="1347">
        <f>SUMIF('Spese Generiche BANCOMAT '!$E:$E,"APRILE 2021",'Spese Generiche BANCOMAT '!$G:$G)</f>
        <v>92.3</v>
      </c>
      <c r="F4" s="1347">
        <f>SUMIF('Spese Generiche BANCOMAT '!$E:$E,"MAGGIO 2021",'Spese Generiche BANCOMAT '!$G:$G)</f>
        <v>65.039999999999992</v>
      </c>
      <c r="G4" s="1347">
        <f>SUMIF('Spese Generiche BANCOMAT '!$E:$E,"GIUGNO 2021",'Spese Generiche BANCOMAT '!$G:$G)</f>
        <v>0</v>
      </c>
      <c r="H4" s="1347">
        <f>SUMIF('Spese Generiche BANCOMAT '!$E:$E,"LUGLIO 2021",'Spese Generiche BANCOMAT '!$G:$G)</f>
        <v>549.81000000000006</v>
      </c>
      <c r="I4" s="1347">
        <f>SUMIF('Spese Generiche BANCOMAT '!$E:$E,"AGOSTO 2021",'Spese Generiche BANCOMAT '!$G:$G)</f>
        <v>1249.0999999999999</v>
      </c>
      <c r="J4" s="1347">
        <f>SUMIF('Spese Generiche BANCOMAT '!$E:$E,"SETTEMBRE 2021",'Spese Generiche BANCOMAT '!$G:$G)</f>
        <v>130</v>
      </c>
      <c r="K4" s="1347">
        <f>SUMIF('Spese Generiche BANCOMAT '!$E:$E,"OTTOBRE 2021",'Spese Generiche BANCOMAT '!$G:$G)</f>
        <v>232.9</v>
      </c>
      <c r="L4" s="1347">
        <f>SUMIF('Spese Generiche BANCOMAT '!$E:$E,"NOVEMBRE 2021",'Spese Generiche BANCOMAT '!$G:$G)</f>
        <v>179.1</v>
      </c>
      <c r="M4" s="1347">
        <f>SUMIF('Spese Generiche BANCOMAT '!$E:$E,"DICEMBRE 2021",'Spese Generiche BANCOMAT '!$G:$G)</f>
        <v>827.33</v>
      </c>
      <c r="N4" s="1349">
        <f t="shared" si="0"/>
        <v>7707.8099999999995</v>
      </c>
    </row>
    <row r="5" spans="1:14" x14ac:dyDescent="0.25">
      <c r="A5" s="1343">
        <v>2022</v>
      </c>
      <c r="B5" s="1347">
        <f>SUMIF('Spese Generiche BANCOMAT '!$E:$E,"GENNAIO 2022",'Spese Generiche BANCOMAT '!$G:$G)</f>
        <v>1421.01</v>
      </c>
      <c r="C5" s="1347">
        <f>SUMIF('Spese Generiche BANCOMAT '!$E:$E,"FEBBRAIO 2022",'Spese Generiche BANCOMAT '!$G:$G)</f>
        <v>90.41</v>
      </c>
      <c r="D5" s="1347">
        <f>SUMIF('Spese Generiche BANCOMAT '!$E:$E,"MARZO 2022",'Spese Generiche BANCOMAT '!$G:$G)</f>
        <v>0</v>
      </c>
      <c r="E5" s="1347">
        <f>SUMIF('Spese Generiche BANCOMAT '!$E:$E,"APRILE 2022",'Spese Generiche BANCOMAT '!$G:$G)</f>
        <v>567.34</v>
      </c>
      <c r="F5" s="1347">
        <f>SUMIF('Spese Generiche BANCOMAT '!$E:$E,"MAGGIO 2022",'Spese Generiche BANCOMAT '!$G:$G)</f>
        <v>104.83</v>
      </c>
      <c r="G5" s="1347">
        <f>SUMIF('Spese Generiche BANCOMAT '!$E:$E,"GIUGNO 2022",'Spese Generiche BANCOMAT '!$G:$G)</f>
        <v>2</v>
      </c>
      <c r="H5" s="1347">
        <f>SUMIF('Spese Generiche BANCOMAT '!$E:$E,"LUGLIO 2022",'Spese Generiche BANCOMAT '!$G:$G)</f>
        <v>120.5</v>
      </c>
      <c r="I5" s="1347">
        <f>SUMIF('Spese Generiche BANCOMAT '!$E:$E,"AGOSTO 2022",'Spese Generiche BANCOMAT '!$G:$G)</f>
        <v>363.4</v>
      </c>
      <c r="J5" s="1347">
        <f>SUMIF('Spese Generiche BANCOMAT '!$E:$E,"SETTEMBRE 2022",'Spese Generiche BANCOMAT '!$G:$G)</f>
        <v>43.48</v>
      </c>
      <c r="K5" s="1347">
        <f>SUMIF('Spese Generiche BANCOMAT '!$E:$E,"OTTOBRE 2022",'Spese Generiche BANCOMAT '!$G:$G)</f>
        <v>0</v>
      </c>
      <c r="L5" s="1347">
        <f>SUMIF('Spese Generiche BANCOMAT '!$E:$E,"NOVEMBRE 2022",'Spese Generiche BANCOMAT '!$G:$G)</f>
        <v>89.15</v>
      </c>
      <c r="M5" s="1347">
        <f>SUMIF('Spese Generiche BANCOMAT '!$E:$E,"DICEMBRE 2022",'Spese Generiche BANCOMAT '!$G:$G)</f>
        <v>256.64999999999998</v>
      </c>
      <c r="N5" s="1349">
        <f t="shared" si="0"/>
        <v>3058.7700000000004</v>
      </c>
    </row>
    <row r="6" spans="1:14" x14ac:dyDescent="0.25">
      <c r="A6" s="1343">
        <v>2023</v>
      </c>
      <c r="B6" s="1347">
        <f>SUMIF('Spese Generiche BANCOMAT '!$E:$E,"GENNAIO 2023",'Spese Generiche BANCOMAT '!$G:$G)</f>
        <v>356.29</v>
      </c>
      <c r="C6" s="1347">
        <f>SUMIF('Spese Generiche BANCOMAT '!$E:$E,"FEBBRAIO 2023",'Spese Generiche BANCOMAT '!$G:$G)</f>
        <v>0</v>
      </c>
      <c r="D6" s="1347">
        <f>SUMIF('Spese Generiche BANCOMAT '!$E:$E,"MARZO 2023",'Spese Generiche BANCOMAT '!$G:$G)</f>
        <v>150.5</v>
      </c>
      <c r="E6" s="1347">
        <f>SUMIF('Spese Generiche BANCOMAT '!$E:$E,"APRILE 2023",'Spese Generiche BANCOMAT '!$G:$G)</f>
        <v>16.8</v>
      </c>
      <c r="F6" s="1347">
        <f>SUMIF('Spese Generiche BANCOMAT '!$E:$E,"MAGGIO 2023",'Spese Generiche BANCOMAT '!$G:$G)</f>
        <v>250</v>
      </c>
      <c r="G6" s="1347">
        <f>SUMIF('Spese Generiche BANCOMAT '!$E:$E,"GIUGNO 2023",'Spese Generiche BANCOMAT '!$G:$G)</f>
        <v>0</v>
      </c>
      <c r="H6" s="1347">
        <f>SUMIF('Spese Generiche BANCOMAT '!$E:$E,"LUGLIO 2023",'Spese Generiche BANCOMAT '!$G:$G)</f>
        <v>0</v>
      </c>
      <c r="I6" s="1347">
        <f>SUMIF('Spese Generiche BANCOMAT '!$E:$E,"AGOSTO 2023",'Spese Generiche BANCOMAT '!$G:$G)</f>
        <v>620.5</v>
      </c>
      <c r="J6" s="1347">
        <f>SUMIF('Spese Generiche BANCOMAT '!$E:$E,"SETTEMBRE 2023",'Spese Generiche BANCOMAT '!$G:$G)</f>
        <v>0</v>
      </c>
      <c r="K6" s="1347">
        <f>SUMIF('Spese Generiche BANCOMAT '!$E:$E,"OTTOBRE 2023",'Spese Generiche BANCOMAT '!$G:$G)</f>
        <v>75.5</v>
      </c>
      <c r="L6" s="1347">
        <f>SUMIF('Spese Generiche BANCOMAT '!$E:$E,"NOVEMBRE 2023",'Spese Generiche BANCOMAT '!$G:$G)</f>
        <v>78</v>
      </c>
      <c r="M6" s="1347">
        <f>SUMIF('Spese Generiche BANCOMAT '!$E:$E,"DICEMBRE 2023",'Spese Generiche BANCOMAT '!$G:$G)</f>
        <v>125.49000000000001</v>
      </c>
      <c r="N6" s="1349">
        <f t="shared" si="0"/>
        <v>1673.0800000000002</v>
      </c>
    </row>
    <row r="7" spans="1:14" x14ac:dyDescent="0.25">
      <c r="A7" s="1343">
        <v>2024</v>
      </c>
      <c r="B7" s="1347">
        <f>SUMIF('Spese Generiche BANCOMAT '!$E:$E,"GENNAIO 2024",'Spese Generiche BANCOMAT '!$G:$G)</f>
        <v>373.71999999999997</v>
      </c>
      <c r="C7" s="1347">
        <f>SUMIF('Spese Generiche BANCOMAT '!$E:$E,"FEBBRAIO 2024",'Spese Generiche BANCOMAT '!$G:$G)</f>
        <v>150.5</v>
      </c>
      <c r="D7" s="1347">
        <f>SUMIF('Spese Generiche BANCOMAT '!$E:$E,"MARZO 2024",'Spese Generiche BANCOMAT '!$G:$G)</f>
        <v>207.78</v>
      </c>
      <c r="E7" s="1347">
        <f>SUMIF('Spese Generiche BANCOMAT '!$E:$E,"APRILE 2024",'Spese Generiche BANCOMAT '!$G:$G)</f>
        <v>-68</v>
      </c>
      <c r="F7" s="1347">
        <f>SUMIF('Spese Generiche BANCOMAT '!$E:$E,"MAGGIO 2024",'Spese Generiche BANCOMAT '!$G:$G)</f>
        <v>79</v>
      </c>
      <c r="G7" s="1347">
        <f>SUMIF('Spese Generiche BANCOMAT '!$E:$E,"GIUGNO 2024",'Spese Generiche BANCOMAT '!$G:$G)</f>
        <v>10.199999999999999</v>
      </c>
      <c r="H7" s="1347">
        <f>SUMIF('Spese Generiche BANCOMAT '!$E:$E,"LUGLIO 2024",'Spese Generiche BANCOMAT '!$G:$G)</f>
        <v>15.04</v>
      </c>
      <c r="I7" s="1347">
        <f>SUMIF('Spese Generiche BANCOMAT '!$E:$E,"AGOSTO 2024",'Spese Generiche BANCOMAT '!$G:$G)</f>
        <v>917.6</v>
      </c>
      <c r="J7" s="1347">
        <f>SUMIF('Spese Generiche BANCOMAT '!$E:$E,"SETTEMBRE 2024",'Spese Generiche BANCOMAT '!$G:$G)</f>
        <v>0</v>
      </c>
      <c r="K7" s="1347">
        <f>SUMIF('Spese Generiche BANCOMAT '!$E:$E,"OTTOBRE 2024",'Spese Generiche BANCOMAT '!$G:$G)</f>
        <v>-1516.01</v>
      </c>
      <c r="L7" s="1347">
        <f>SUMIF('Spese Generiche BANCOMAT '!$E:$E,"NOVEMBRE 2024",'Spese Generiche BANCOMAT '!$G:$G)</f>
        <v>1832.38</v>
      </c>
      <c r="M7" s="1347">
        <f>SUMIF('Spese Generiche BANCOMAT '!$E:$E,"DICEMBRE 2024",'Spese Generiche BANCOMAT '!$G:$G)</f>
        <v>604.64</v>
      </c>
      <c r="N7" s="1349">
        <f t="shared" si="0"/>
        <v>2606.8500000000004</v>
      </c>
    </row>
    <row r="8" spans="1:14" x14ac:dyDescent="0.25">
      <c r="A8" s="1343">
        <v>2025</v>
      </c>
      <c r="B8" s="1347">
        <f>SUMIF('Spese Generiche BANCOMAT '!$E:$E,"GENNAIO 2025",'Spese Generiche BANCOMAT '!$G:$G)</f>
        <v>364.40999999999991</v>
      </c>
      <c r="C8" s="1347">
        <f>SUMIF('Spese Generiche BANCOMAT '!$E:$E,"FEBBRAIO 2025",'Spese Generiche BANCOMAT '!$G:$G)</f>
        <v>26.34</v>
      </c>
      <c r="D8" s="1347">
        <f>SUMIF('Spese Generiche BANCOMAT '!$E:$E,"MARZO 2025",'Spese Generiche BANCOMAT '!$G:$G)</f>
        <v>637.25</v>
      </c>
      <c r="E8" s="1347">
        <f>SUMIF('Spese Generiche BANCOMAT '!$E:$E,"APRILE 2025",'Spese Generiche BANCOMAT '!$G:$G)</f>
        <v>532.48</v>
      </c>
      <c r="F8" s="1347">
        <f>SUMIF('Spese Generiche BANCOMAT '!$E:$E,"MAGGIO 2025",'Spese Generiche BANCOMAT '!$G:$G)</f>
        <v>4.75</v>
      </c>
      <c r="G8" s="1347">
        <f>SUMIF('Spese Generiche BANCOMAT '!$E:$E,"GIUGNO 2025",'Spese Generiche BANCOMAT '!$G:$G)</f>
        <v>0</v>
      </c>
      <c r="H8" s="1347">
        <f>SUMIF('Spese Generiche BANCOMAT '!$E:$E,"LUGLIO 2025",'Spese Generiche BANCOMAT '!$G:$G)</f>
        <v>0</v>
      </c>
      <c r="I8" s="1347">
        <f>SUMIF('Spese Generiche BANCOMAT '!$E:$E,"AGOSTO 2025",'Spese Generiche BANCOMAT '!$G:$G)</f>
        <v>48.65</v>
      </c>
      <c r="J8" s="1347">
        <f>SUMIF('Spese Generiche BANCOMAT '!$E:$E,"SETTEMBRE 2025",'Spese Generiche BANCOMAT '!$G:$G)</f>
        <v>80</v>
      </c>
      <c r="K8" s="1347">
        <f>SUMIF('Spese Generiche BANCOMAT '!$E:$E,"OTTOBRE 2025",'Spese Generiche BANCOMAT '!$G:$G)</f>
        <v>40</v>
      </c>
      <c r="L8" s="1347">
        <f>SUMIF('Spese Generiche BANCOMAT '!$E:$E,"NOVEMBRE 2025",'Spese Generiche BANCOMAT '!$G:$G)</f>
        <v>16.98</v>
      </c>
      <c r="M8" s="1347">
        <f>SUMIF('Spese Generiche BANCOMAT '!$E:$E,"DICEMBRE 2025",'Spese Generiche BANCOMAT '!$G:$G)</f>
        <v>404.40000000000003</v>
      </c>
      <c r="N8" s="1349">
        <f t="shared" si="0"/>
        <v>2155.2600000000002</v>
      </c>
    </row>
    <row r="9" spans="1:14" x14ac:dyDescent="0.25">
      <c r="A9" s="1343">
        <v>2026</v>
      </c>
      <c r="B9" s="1347">
        <f>SUMIF('Spese Generiche BANCOMAT '!$E:$E,"GENNAIO 2026",'Spese Generiche BANCOMAT '!$G:$G)</f>
        <v>291.83999999999997</v>
      </c>
      <c r="C9" s="1347">
        <f>SUMIF('Spese Generiche BANCOMAT '!$E:$E,"FEBBRAIO 2026",'Spese Generiche BANCOMAT '!$G:$G)</f>
        <v>0</v>
      </c>
      <c r="D9" s="1347">
        <f>SUMIF('Spese Generiche BANCOMAT '!$E:$E,"MARZO 2026",'Spese Generiche BANCOMAT '!$G:$G)</f>
        <v>72.599999999999994</v>
      </c>
      <c r="E9" s="1347">
        <f>SUMIF('Spese Generiche BANCOMAT '!$E:$E,"APRILE 2026",'Spese Generiche BANCOMAT '!$G:$G)</f>
        <v>0</v>
      </c>
      <c r="F9" s="1347">
        <f>SUMIF('Spese Generiche BANCOMAT '!$E:$E,"MAGGIO 2026",'Spese Generiche BANCOMAT '!$G:$G)</f>
        <v>0</v>
      </c>
      <c r="G9" s="1347">
        <f>SUMIF('Spese Generiche BANCOMAT '!$E:$E,"GIUGNO 2026",'Spese Generiche BANCOMAT '!$G:$G)</f>
        <v>0</v>
      </c>
      <c r="H9" s="1347">
        <f>SUMIF('Spese Generiche BANCOMAT '!$E:$E,"LUGLIO 2026",'Spese Generiche BANCOMAT '!$G:$G)</f>
        <v>0</v>
      </c>
      <c r="I9" s="1347">
        <f>SUMIF('Spese Generiche BANCOMAT '!$E:$E,"AGOSTO 2026",'Spese Generiche BANCOMAT '!$G:$G)</f>
        <v>0</v>
      </c>
      <c r="J9" s="1347">
        <f>SUMIF('Spese Generiche BANCOMAT '!$E:$E,"SETTEMBRE 2026",'Spese Generiche BANCOMAT '!$G:$G)</f>
        <v>0</v>
      </c>
      <c r="K9" s="1347">
        <f>SUMIF('Spese Generiche BANCOMAT '!$E:$E,"OTTOBRE 2026",'Spese Generiche BANCOMAT '!$G:$G)</f>
        <v>0</v>
      </c>
      <c r="L9" s="1347">
        <f>SUMIF('Spese Generiche BANCOMAT '!$E:$E,"NOVEMBRE 2026",'Spese Generiche BANCOMAT '!$G:$G)</f>
        <v>0</v>
      </c>
      <c r="M9" s="1347">
        <f>SUMIF('Spese Generiche BANCOMAT '!$E:$E,"DICEMBRE 2026",'Spese Generiche BANCOMAT '!$G:$G)</f>
        <v>0</v>
      </c>
      <c r="N9" s="1349">
        <f t="shared" si="0"/>
        <v>364.43999999999994</v>
      </c>
    </row>
    <row r="10" spans="1:14" x14ac:dyDescent="0.25">
      <c r="A10" s="1343">
        <v>2027</v>
      </c>
      <c r="B10" s="1347">
        <f>SUMIF('Spese Generiche BANCOMAT '!$E:$E,"GENNAIO 2027",'Spese Generiche BANCOMAT '!$G:$G)</f>
        <v>0</v>
      </c>
      <c r="C10" s="1347">
        <f>SUMIF('Spese Generiche BANCOMAT '!$E:$E,"FEBBRAIO 2027",'Spese Generiche BANCOMAT '!$G:$G)</f>
        <v>0</v>
      </c>
      <c r="D10" s="1347">
        <f>SUMIF('Spese Generiche BANCOMAT '!$E:$E,"MARZO 2027",'Spese Generiche BANCOMAT '!$G:$G)</f>
        <v>0</v>
      </c>
      <c r="E10" s="1347">
        <f>SUMIF('Spese Generiche BANCOMAT '!$E:$E,"APRILE 2027",'Spese Generiche BANCOMAT '!$G:$G)</f>
        <v>0</v>
      </c>
      <c r="F10" s="1347">
        <f>SUMIF('Spese Generiche BANCOMAT '!$E:$E,"MAGGIO 2027",'Spese Generiche BANCOMAT '!$G:$G)</f>
        <v>0</v>
      </c>
      <c r="G10" s="1347">
        <f>SUMIF('Spese Generiche BANCOMAT '!$E:$E,"GIUGNO 2027",'Spese Generiche BANCOMAT '!$G:$G)</f>
        <v>0</v>
      </c>
      <c r="H10" s="1347">
        <f>SUMIF('Spese Generiche BANCOMAT '!$E:$E,"LUGLIO 2027",'Spese Generiche BANCOMAT '!$G:$G)</f>
        <v>0</v>
      </c>
      <c r="I10" s="1347">
        <f>SUMIF('Spese Generiche BANCOMAT '!$E:$E,"AGOSTO 2027",'Spese Generiche BANCOMAT '!$G:$G)</f>
        <v>0</v>
      </c>
      <c r="J10" s="1347">
        <f>SUMIF('Spese Generiche BANCOMAT '!$E:$E,"SETTEMBRE 2027",'Spese Generiche BANCOMAT '!$G:$G)</f>
        <v>0</v>
      </c>
      <c r="K10" s="1347">
        <f>SUMIF('Spese Generiche BANCOMAT '!$E:$E,"OTTOBRE 2027",'Spese Generiche BANCOMAT '!$G:$G)</f>
        <v>0</v>
      </c>
      <c r="L10" s="1347">
        <f>SUMIF('Spese Generiche BANCOMAT '!$E:$E,"NOVEMBRE 2027",'Spese Generiche BANCOMAT '!$G:$G)</f>
        <v>0</v>
      </c>
      <c r="M10" s="1347">
        <f>SUMIF('Spese Generiche BANCOMAT '!$E:$E,"DICEMBRE 2027",'Spese Generiche BANCOMAT '!$G:$G)</f>
        <v>0</v>
      </c>
      <c r="N10" s="1349">
        <f t="shared" si="0"/>
        <v>0</v>
      </c>
    </row>
    <row r="11" spans="1:14" x14ac:dyDescent="0.25">
      <c r="A11" s="1343">
        <v>2028</v>
      </c>
      <c r="B11" s="1347">
        <f>SUMIF('Spese Generiche BANCOMAT '!$E:$E,"GENNAIO 2028",'Spese Generiche BANCOMAT '!$G:$G)</f>
        <v>0</v>
      </c>
      <c r="C11" s="1347">
        <f>SUMIF('Spese Generiche BANCOMAT '!$E:$E,"FEBBRAIO 2028",'Spese Generiche BANCOMAT '!$G:$G)</f>
        <v>0</v>
      </c>
      <c r="D11" s="1347">
        <f>SUMIF('Spese Generiche BANCOMAT '!$E:$E,"MARZO 2028",'Spese Generiche BANCOMAT '!$G:$G)</f>
        <v>0</v>
      </c>
      <c r="E11" s="1347">
        <f>SUMIF('Spese Generiche BANCOMAT '!$E:$E,"APRILE 2028",'Spese Generiche BANCOMAT '!$G:$G)</f>
        <v>0</v>
      </c>
      <c r="F11" s="1347">
        <f>SUMIF('Spese Generiche BANCOMAT '!$E:$E,"MAGGIO 2028",'Spese Generiche BANCOMAT '!$G:$G)</f>
        <v>0</v>
      </c>
      <c r="G11" s="1347">
        <f>SUMIF('Spese Generiche BANCOMAT '!$E:$E,"GIUGNO 2028",'Spese Generiche BANCOMAT '!$G:$G)</f>
        <v>0</v>
      </c>
      <c r="H11" s="1347">
        <f>SUMIF('Spese Generiche BANCOMAT '!$E:$E,"LUGLIO 2028",'Spese Generiche BANCOMAT '!$G:$G)</f>
        <v>0</v>
      </c>
      <c r="I11" s="1347">
        <f>SUMIF('Spese Generiche BANCOMAT '!$E:$E,"AGOSTO 2028",'Spese Generiche BANCOMAT '!$G:$G)</f>
        <v>0</v>
      </c>
      <c r="J11" s="1347">
        <f>SUMIF('Spese Generiche BANCOMAT '!$E:$E,"SETTEMBRE 2028",'Spese Generiche BANCOMAT '!$G:$G)</f>
        <v>0</v>
      </c>
      <c r="K11" s="1347">
        <f>SUMIF('Spese Generiche BANCOMAT '!$E:$E,"OTTOBRE 2028",'Spese Generiche BANCOMAT '!$G:$G)</f>
        <v>0</v>
      </c>
      <c r="L11" s="1347">
        <f>SUMIF('Spese Generiche BANCOMAT '!$E:$E,"NOVEMBRE 2028",'Spese Generiche BANCOMAT '!$G:$G)</f>
        <v>0</v>
      </c>
      <c r="M11" s="1347">
        <f>SUMIF('Spese Generiche BANCOMAT '!$E:$E,"DICEMBRE 2028",'Spese Generiche BANCOMAT '!$G:$G)</f>
        <v>0</v>
      </c>
      <c r="N11" s="1349">
        <f t="shared" si="0"/>
        <v>0</v>
      </c>
    </row>
    <row r="12" spans="1:14" x14ac:dyDescent="0.25">
      <c r="A12" s="1343">
        <v>2029</v>
      </c>
      <c r="B12" s="1347">
        <f>SUMIF('Spese Generiche BANCOMAT '!$E:$E,"GENNAIO 2029",'Spese Generiche BANCOMAT '!$G:$G)</f>
        <v>0</v>
      </c>
      <c r="C12" s="1347">
        <f>SUMIF('Spese Generiche BANCOMAT '!$E:$E,"FEBBRAIO 2029",'Spese Generiche BANCOMAT '!$G:$G)</f>
        <v>0</v>
      </c>
      <c r="D12" s="1347">
        <f>SUMIF('Spese Generiche BANCOMAT '!$E:$E,"MARZO 2029",'Spese Generiche BANCOMAT '!$G:$G)</f>
        <v>0</v>
      </c>
      <c r="E12" s="1347">
        <f>SUMIF('Spese Generiche BANCOMAT '!$E:$E,"APRILE 2029",'Spese Generiche BANCOMAT '!$G:$G)</f>
        <v>0</v>
      </c>
      <c r="F12" s="1347">
        <f>SUMIF('Spese Generiche BANCOMAT '!$E:$E,"MAGGIO 2029",'Spese Generiche BANCOMAT '!$G:$G)</f>
        <v>0</v>
      </c>
      <c r="G12" s="1347">
        <f>SUMIF('Spese Generiche BANCOMAT '!$E:$E,"GIUGNO 2029",'Spese Generiche BANCOMAT '!$G:$G)</f>
        <v>0</v>
      </c>
      <c r="H12" s="1347">
        <f>SUMIF('Spese Generiche BANCOMAT '!$E:$E,"LUGLIO 2029",'Spese Generiche BANCOMAT '!$G:$G)</f>
        <v>0</v>
      </c>
      <c r="I12" s="1347">
        <f>SUMIF('Spese Generiche BANCOMAT '!$E:$E,"AGOSTO 2029",'Spese Generiche BANCOMAT '!$G:$G)</f>
        <v>0</v>
      </c>
      <c r="J12" s="1347">
        <f>SUMIF('Spese Generiche BANCOMAT '!$E:$E,"SETTEMBRE 2029",'Spese Generiche BANCOMAT '!$G:$G)</f>
        <v>0</v>
      </c>
      <c r="K12" s="1347">
        <f>SUMIF('Spese Generiche BANCOMAT '!$E:$E,"OTTOBRE 2029",'Spese Generiche BANCOMAT '!$G:$G)</f>
        <v>0</v>
      </c>
      <c r="L12" s="1347">
        <f>SUMIF('Spese Generiche BANCOMAT '!$E:$E,"NOVEMBRE 2029",'Spese Generiche BANCOMAT '!$G:$G)</f>
        <v>0</v>
      </c>
      <c r="M12" s="1347">
        <f>SUMIF('Spese Generiche BANCOMAT '!$E:$E,"DICEMBRE 2029",'Spese Generiche BANCOMAT '!$G:$G)</f>
        <v>0</v>
      </c>
      <c r="N12" s="1349">
        <f t="shared" si="0"/>
        <v>0</v>
      </c>
    </row>
    <row r="13" spans="1:14" x14ac:dyDescent="0.25">
      <c r="A13" s="1343">
        <v>2030</v>
      </c>
      <c r="B13" s="1347">
        <f>SUMIF('Spese Generiche BANCOMAT '!$E:$E,"GENNAIO 2030",'Spese Generiche BANCOMAT '!$G:$G)</f>
        <v>0</v>
      </c>
      <c r="C13" s="1347">
        <f>SUMIF('Spese Generiche BANCOMAT '!$E:$E,"FEBBRAIO 2030",'Spese Generiche BANCOMAT '!$G:$G)</f>
        <v>0</v>
      </c>
      <c r="D13" s="1347">
        <f>SUMIF('Spese Generiche BANCOMAT '!$E:$E,"MARZO 2030",'Spese Generiche BANCOMAT '!$G:$G)</f>
        <v>0</v>
      </c>
      <c r="E13" s="1347">
        <f>SUMIF('Spese Generiche BANCOMAT '!$E:$E,"APRILE 2030",'Spese Generiche BANCOMAT '!$G:$G)</f>
        <v>0</v>
      </c>
      <c r="F13" s="1347">
        <f>SUMIF('Spese Generiche BANCOMAT '!$E:$E,"MAGGIO 2030",'Spese Generiche BANCOMAT '!$G:$G)</f>
        <v>0</v>
      </c>
      <c r="G13" s="1347">
        <f>SUMIF('Spese Generiche BANCOMAT '!$E:$E,"GIUGNO 2030",'Spese Generiche BANCOMAT '!$G:$G)</f>
        <v>0</v>
      </c>
      <c r="H13" s="1347">
        <f>SUMIF('Spese Generiche BANCOMAT '!$E:$E,"LUGLIO 2030",'Spese Generiche BANCOMAT '!$G:$G)</f>
        <v>0</v>
      </c>
      <c r="I13" s="1347">
        <f>SUMIF('Spese Generiche BANCOMAT '!$E:$E,"AGOSTO 2030",'Spese Generiche BANCOMAT '!$G:$G)</f>
        <v>0</v>
      </c>
      <c r="J13" s="1347">
        <f>SUMIF('Spese Generiche BANCOMAT '!$E:$E,"SETTEMBRE 2030",'Spese Generiche BANCOMAT '!$G:$G)</f>
        <v>0</v>
      </c>
      <c r="K13" s="1347">
        <f>SUMIF('Spese Generiche BANCOMAT '!$E:$E,"OTTOBRE 2030",'Spese Generiche BANCOMAT '!$G:$G)</f>
        <v>0</v>
      </c>
      <c r="L13" s="1347">
        <f>SUMIF('Spese Generiche BANCOMAT '!$E:$E,"NOVEMBRE 2030",'Spese Generiche BANCOMAT '!$G:$G)</f>
        <v>0</v>
      </c>
      <c r="M13" s="1347">
        <f>SUMIF('Spese Generiche BANCOMAT '!$E:$E,"DICEMBRE 2030",'Spese Generiche BANCOMAT '!$G:$G)</f>
        <v>0</v>
      </c>
      <c r="N13" s="1349">
        <f t="shared" si="0"/>
        <v>0</v>
      </c>
    </row>
    <row r="14" spans="1:14" x14ac:dyDescent="0.25">
      <c r="A14" s="1343">
        <v>2031</v>
      </c>
      <c r="B14" s="1347">
        <f>SUMIF('Spese Generiche BANCOMAT '!$E:$E,"GENNAIO 2031",'Spese Generiche BANCOMAT '!$G:$G)</f>
        <v>0</v>
      </c>
      <c r="C14" s="1347">
        <f>SUMIF('Spese Generiche BANCOMAT '!$E:$E,"FEBBRAIO 2031",'Spese Generiche BANCOMAT '!$G:$G)</f>
        <v>0</v>
      </c>
      <c r="D14" s="1347">
        <f>SUMIF('Spese Generiche BANCOMAT '!$E:$E,"MARZO 2031",'Spese Generiche BANCOMAT '!$G:$G)</f>
        <v>0</v>
      </c>
      <c r="E14" s="1347">
        <f>SUMIF('Spese Generiche BANCOMAT '!$E:$E,"APRILE 2031",'Spese Generiche BANCOMAT '!$G:$G)</f>
        <v>0</v>
      </c>
      <c r="F14" s="1347">
        <f>SUMIF('Spese Generiche BANCOMAT '!$E:$E,"MAGGIO 2031",'Spese Generiche BANCOMAT '!$G:$G)</f>
        <v>0</v>
      </c>
      <c r="G14" s="1347">
        <f>SUMIF('Spese Generiche BANCOMAT '!$E:$E,"GIUGNO 2031",'Spese Generiche BANCOMAT '!$G:$G)</f>
        <v>0</v>
      </c>
      <c r="H14" s="1347">
        <f>SUMIF('Spese Generiche BANCOMAT '!$E:$E,"LUGLIO 2031",'Spese Generiche BANCOMAT '!$G:$G)</f>
        <v>0</v>
      </c>
      <c r="I14" s="1347">
        <f>SUMIF('Spese Generiche BANCOMAT '!$E:$E,"AGOSTO 2031",'Spese Generiche BANCOMAT '!$G:$G)</f>
        <v>0</v>
      </c>
      <c r="J14" s="1347">
        <f>SUMIF('Spese Generiche BANCOMAT '!$E:$E,"SETTEMBRE 2031",'Spese Generiche BANCOMAT '!$G:$G)</f>
        <v>0</v>
      </c>
      <c r="K14" s="1347">
        <f>SUMIF('Spese Generiche BANCOMAT '!$E:$E,"OTTOBRE 2031",'Spese Generiche BANCOMAT '!$G:$G)</f>
        <v>0</v>
      </c>
      <c r="L14" s="1347">
        <f>SUMIF('Spese Generiche BANCOMAT '!$E:$E,"NOVEMBRE 2031",'Spese Generiche BANCOMAT '!$G:$G)</f>
        <v>0</v>
      </c>
      <c r="M14" s="1347">
        <f>SUMIF('Spese Generiche BANCOMAT '!$E:$E,"DICEMBRE 2031",'Spese Generiche BANCOMAT '!$G:$G)</f>
        <v>0</v>
      </c>
      <c r="N14" s="1349">
        <f t="shared" si="0"/>
        <v>0</v>
      </c>
    </row>
    <row r="15" spans="1:14" x14ac:dyDescent="0.25">
      <c r="A15" s="1343">
        <v>2032</v>
      </c>
      <c r="B15" s="1347">
        <f>SUMIF('Spese Generiche BANCOMAT '!$E:$E,"GENNAIO 2032",'Spese Generiche BANCOMAT '!$G:$G)</f>
        <v>0</v>
      </c>
      <c r="C15" s="1347">
        <f>SUMIF('Spese Generiche BANCOMAT '!$E:$E,"FEBBRAIO 2032",'Spese Generiche BANCOMAT '!$G:$G)</f>
        <v>0</v>
      </c>
      <c r="D15" s="1347">
        <f>SUMIF('Spese Generiche BANCOMAT '!$E:$E,"MARZO 2032",'Spese Generiche BANCOMAT '!$G:$G)</f>
        <v>0</v>
      </c>
      <c r="E15" s="1347">
        <f>SUMIF('Spese Generiche BANCOMAT '!$E:$E,"APRILE 2032",'Spese Generiche BANCOMAT '!$G:$G)</f>
        <v>0</v>
      </c>
      <c r="F15" s="1347">
        <f>SUMIF('Spese Generiche BANCOMAT '!$E:$E,"MAGGIO 2032",'Spese Generiche BANCOMAT '!$G:$G)</f>
        <v>0</v>
      </c>
      <c r="G15" s="1347">
        <f>SUMIF('Spese Generiche BANCOMAT '!$E:$E,"GIUGNO 2032",'Spese Generiche BANCOMAT '!$G:$G)</f>
        <v>0</v>
      </c>
      <c r="H15" s="1347">
        <f>SUMIF('Spese Generiche BANCOMAT '!$E:$E,"LUGLIO 2032",'Spese Generiche BANCOMAT '!$G:$G)</f>
        <v>0</v>
      </c>
      <c r="I15" s="1347">
        <f>SUMIF('Spese Generiche BANCOMAT '!$E:$E,"AGOSTO 2032",'Spese Generiche BANCOMAT '!$G:$G)</f>
        <v>0</v>
      </c>
      <c r="J15" s="1347">
        <f>SUMIF('Spese Generiche BANCOMAT '!$E:$E,"SETTEMBRE 2032",'Spese Generiche BANCOMAT '!$G:$G)</f>
        <v>0</v>
      </c>
      <c r="K15" s="1347">
        <f>SUMIF('Spese Generiche BANCOMAT '!$E:$E,"OTTOBRE 2032",'Spese Generiche BANCOMAT '!$G:$G)</f>
        <v>0</v>
      </c>
      <c r="L15" s="1347">
        <f>SUMIF('Spese Generiche BANCOMAT '!$E:$E,"NOVEMBRE 2032",'Spese Generiche BANCOMAT '!$G:$G)</f>
        <v>0</v>
      </c>
      <c r="M15" s="1347">
        <f>SUMIF('Spese Generiche BANCOMAT '!$E:$E,"DICEMBRE 2032",'Spese Generiche BANCOMAT '!$G:$G)</f>
        <v>0</v>
      </c>
      <c r="N15" s="1349">
        <f t="shared" si="0"/>
        <v>0</v>
      </c>
    </row>
    <row r="16" spans="1:14" x14ac:dyDescent="0.25">
      <c r="A16" s="1343">
        <v>2033</v>
      </c>
      <c r="B16" s="1347">
        <f>SUMIF('Spese Generiche BANCOMAT '!$E:$E,"GENNAIO 2033",'Spese Generiche BANCOMAT '!$G:$G)</f>
        <v>0</v>
      </c>
      <c r="C16" s="1347">
        <f>SUMIF('Spese Generiche BANCOMAT '!$E:$E,"FEBBRAIO 2033",'Spese Generiche BANCOMAT '!$G:$G)</f>
        <v>0</v>
      </c>
      <c r="D16" s="1347">
        <f>SUMIF('Spese Generiche BANCOMAT '!$E:$E,"MARZO 2033",'Spese Generiche BANCOMAT '!$G:$G)</f>
        <v>0</v>
      </c>
      <c r="E16" s="1347">
        <f>SUMIF('Spese Generiche BANCOMAT '!$E:$E,"APRILE 2033",'Spese Generiche BANCOMAT '!$G:$G)</f>
        <v>0</v>
      </c>
      <c r="F16" s="1347">
        <f>SUMIF('Spese Generiche BANCOMAT '!$E:$E,"MAGGIO 2033",'Spese Generiche BANCOMAT '!$G:$G)</f>
        <v>0</v>
      </c>
      <c r="G16" s="1347">
        <f>SUMIF('Spese Generiche BANCOMAT '!$E:$E,"GIUGNO 2033",'Spese Generiche BANCOMAT '!$G:$G)</f>
        <v>0</v>
      </c>
      <c r="H16" s="1347">
        <f>SUMIF('Spese Generiche BANCOMAT '!$E:$E,"LUGLIO 2033",'Spese Generiche BANCOMAT '!$G:$G)</f>
        <v>0</v>
      </c>
      <c r="I16" s="1347">
        <f>SUMIF('Spese Generiche BANCOMAT '!$E:$E,"AGOSTO 2033",'Spese Generiche BANCOMAT '!$G:$G)</f>
        <v>0</v>
      </c>
      <c r="J16" s="1347">
        <f>SUMIF('Spese Generiche BANCOMAT '!$E:$E,"SETTEMBRE 2033",'Spese Generiche BANCOMAT '!$G:$G)</f>
        <v>0</v>
      </c>
      <c r="K16" s="1347">
        <f>SUMIF('Spese Generiche BANCOMAT '!$E:$E,"OTTOBRE 2033",'Spese Generiche BANCOMAT '!$G:$G)</f>
        <v>0</v>
      </c>
      <c r="L16" s="1347">
        <f>SUMIF('Spese Generiche BANCOMAT '!$E:$E,"NOVEMBRE 2033",'Spese Generiche BANCOMAT '!$G:$G)</f>
        <v>0</v>
      </c>
      <c r="M16" s="1347">
        <f>SUMIF('Spese Generiche BANCOMAT '!$E:$E,"DICEMBRE 2033",'Spese Generiche BANCOMAT '!$G:$G)</f>
        <v>0</v>
      </c>
      <c r="N16" s="1349">
        <f t="shared" si="0"/>
        <v>0</v>
      </c>
    </row>
    <row r="17" spans="1:14" x14ac:dyDescent="0.25">
      <c r="A17" s="1343">
        <v>2034</v>
      </c>
      <c r="B17" s="1347">
        <f>SUMIF('Spese Generiche BANCOMAT '!$E:$E,"GENNAIO 2034",'Spese Generiche BANCOMAT '!$G:$G)</f>
        <v>0</v>
      </c>
      <c r="C17" s="1347">
        <f>SUMIF('Spese Generiche BANCOMAT '!$E:$E,"FEBBRAIO 2034",'Spese Generiche BANCOMAT '!$G:$G)</f>
        <v>0</v>
      </c>
      <c r="D17" s="1347">
        <f>SUMIF('Spese Generiche BANCOMAT '!$E:$E,"MARZO 2034",'Spese Generiche BANCOMAT '!$G:$G)</f>
        <v>0</v>
      </c>
      <c r="E17" s="1347">
        <f>SUMIF('Spese Generiche BANCOMAT '!$E:$E,"APRILE 2034",'Spese Generiche BANCOMAT '!$G:$G)</f>
        <v>0</v>
      </c>
      <c r="F17" s="1347">
        <f>SUMIF('Spese Generiche BANCOMAT '!$E:$E,"MAGGIO 2034",'Spese Generiche BANCOMAT '!$G:$G)</f>
        <v>0</v>
      </c>
      <c r="G17" s="1347">
        <f>SUMIF('Spese Generiche BANCOMAT '!$E:$E,"GIUGNO 2034",'Spese Generiche BANCOMAT '!$G:$G)</f>
        <v>0</v>
      </c>
      <c r="H17" s="1347">
        <f>SUMIF('Spese Generiche BANCOMAT '!$E:$E,"LUGLIO 2034",'Spese Generiche BANCOMAT '!$G:$G)</f>
        <v>0</v>
      </c>
      <c r="I17" s="1347">
        <f>SUMIF('Spese Generiche BANCOMAT '!$E:$E,"AGOSTO 2034",'Spese Generiche BANCOMAT '!$G:$G)</f>
        <v>0</v>
      </c>
      <c r="J17" s="1347">
        <f>SUMIF('Spese Generiche BANCOMAT '!$E:$E,"SETTEMBRE 2034",'Spese Generiche BANCOMAT '!$G:$G)</f>
        <v>0</v>
      </c>
      <c r="K17" s="1347">
        <f>SUMIF('Spese Generiche BANCOMAT '!$E:$E,"OTTOBRE 2034",'Spese Generiche BANCOMAT '!$G:$G)</f>
        <v>0</v>
      </c>
      <c r="L17" s="1347">
        <f>SUMIF('Spese Generiche BANCOMAT '!$E:$E,"NOVEMBRE 2034",'Spese Generiche BANCOMAT '!$G:$G)</f>
        <v>0</v>
      </c>
      <c r="M17" s="1347">
        <f>SUMIF('Spese Generiche BANCOMAT '!$E:$E,"DICEMBRE 2034",'Spese Generiche BANCOMAT '!$G:$G)</f>
        <v>0</v>
      </c>
      <c r="N17" s="1349">
        <f t="shared" si="0"/>
        <v>0</v>
      </c>
    </row>
    <row r="18" spans="1:14" x14ac:dyDescent="0.25">
      <c r="A18" s="1343">
        <v>2035</v>
      </c>
      <c r="B18" s="1347">
        <f>SUMIF('Spese Generiche BANCOMAT '!$E:$E,"GENNAIO 2035",'Spese Generiche BANCOMAT '!$G:$G)</f>
        <v>0</v>
      </c>
      <c r="C18" s="1347">
        <f>SUMIF('Spese Generiche BANCOMAT '!$E:$E,"FEBBRAIO 2035",'Spese Generiche BANCOMAT '!$G:$G)</f>
        <v>0</v>
      </c>
      <c r="D18" s="1347">
        <f>SUMIF('Spese Generiche BANCOMAT '!$E:$E,"MARZO 2035",'Spese Generiche BANCOMAT '!$G:$G)</f>
        <v>0</v>
      </c>
      <c r="E18" s="1347">
        <f>SUMIF('Spese Generiche BANCOMAT '!$E:$E,"APRILE 2035",'Spese Generiche BANCOMAT '!$G:$G)</f>
        <v>0</v>
      </c>
      <c r="F18" s="1347">
        <f>SUMIF('Spese Generiche BANCOMAT '!$E:$E,"MAGGIO 2035",'Spese Generiche BANCOMAT '!$G:$G)</f>
        <v>0</v>
      </c>
      <c r="G18" s="1347">
        <f>SUMIF('Spese Generiche BANCOMAT '!$E:$E,"GIUGNO 2035",'Spese Generiche BANCOMAT '!$G:$G)</f>
        <v>0</v>
      </c>
      <c r="H18" s="1347">
        <f>SUMIF('Spese Generiche BANCOMAT '!$E:$E,"LUGLIO 2035",'Spese Generiche BANCOMAT '!$G:$G)</f>
        <v>0</v>
      </c>
      <c r="I18" s="1347">
        <f>SUMIF('Spese Generiche BANCOMAT '!$E:$E,"AGOSTO 2035",'Spese Generiche BANCOMAT '!$G:$G)</f>
        <v>0</v>
      </c>
      <c r="J18" s="1347">
        <f>SUMIF('Spese Generiche BANCOMAT '!$E:$E,"SETTEMBRE 2035",'Spese Generiche BANCOMAT '!$G:$G)</f>
        <v>0</v>
      </c>
      <c r="K18" s="1347">
        <f>SUMIF('Spese Generiche BANCOMAT '!$E:$E,"OTTOBRE 2035",'Spese Generiche BANCOMAT '!$G:$G)</f>
        <v>0</v>
      </c>
      <c r="L18" s="1347">
        <f>SUMIF('Spese Generiche BANCOMAT '!$E:$E,"NOVEMBRE 2035",'Spese Generiche BANCOMAT '!$G:$G)</f>
        <v>0</v>
      </c>
      <c r="M18" s="1347">
        <f>SUMIF('Spese Generiche BANCOMAT '!$E:$E,"DICEMBRE 2035",'Spese Generiche BANCOMAT '!$G:$G)</f>
        <v>0</v>
      </c>
      <c r="N18" s="1349">
        <f t="shared" si="0"/>
        <v>0</v>
      </c>
    </row>
    <row r="19" spans="1:14" x14ac:dyDescent="0.25">
      <c r="A19" s="1343">
        <v>2036</v>
      </c>
      <c r="B19" s="1347">
        <f>SUMIF('Spese Generiche BANCOMAT '!$E:$E,"GENNAIO 2036",'Spese Generiche BANCOMAT '!$G:$G)</f>
        <v>0</v>
      </c>
      <c r="C19" s="1347">
        <f>SUMIF('Spese Generiche BANCOMAT '!$E:$E,"FEBBRAIO 2036",'Spese Generiche BANCOMAT '!$G:$G)</f>
        <v>0</v>
      </c>
      <c r="D19" s="1347">
        <f>SUMIF('Spese Generiche BANCOMAT '!$E:$E,"MARZO 2036",'Spese Generiche BANCOMAT '!$G:$G)</f>
        <v>0</v>
      </c>
      <c r="E19" s="1347">
        <f>SUMIF('Spese Generiche BANCOMAT '!$E:$E,"APRILE 2036",'Spese Generiche BANCOMAT '!$G:$G)</f>
        <v>0</v>
      </c>
      <c r="F19" s="1347">
        <f>SUMIF('Spese Generiche BANCOMAT '!$E:$E,"MAGGIO 2036",'Spese Generiche BANCOMAT '!$G:$G)</f>
        <v>0</v>
      </c>
      <c r="G19" s="1347">
        <f>SUMIF('Spese Generiche BANCOMAT '!$E:$E,"GIUGNO 2036",'Spese Generiche BANCOMAT '!$G:$G)</f>
        <v>0</v>
      </c>
      <c r="H19" s="1347">
        <f>SUMIF('Spese Generiche BANCOMAT '!$E:$E,"LUGLIO 2036",'Spese Generiche BANCOMAT '!$G:$G)</f>
        <v>0</v>
      </c>
      <c r="I19" s="1347">
        <f>SUMIF('Spese Generiche BANCOMAT '!$E:$E,"AGOSTO 2036",'Spese Generiche BANCOMAT '!$G:$G)</f>
        <v>0</v>
      </c>
      <c r="J19" s="1347">
        <f>SUMIF('Spese Generiche BANCOMAT '!$E:$E,"SETTEMBRE 2036",'Spese Generiche BANCOMAT '!$G:$G)</f>
        <v>0</v>
      </c>
      <c r="K19" s="1347">
        <f>SUMIF('Spese Generiche BANCOMAT '!$E:$E,"OTTOBRE 2036",'Spese Generiche BANCOMAT '!$G:$G)</f>
        <v>0</v>
      </c>
      <c r="L19" s="1347">
        <f>SUMIF('Spese Generiche BANCOMAT '!$E:$E,"NOVEMBRE 2036",'Spese Generiche BANCOMAT '!$G:$G)</f>
        <v>0</v>
      </c>
      <c r="M19" s="1347">
        <f>SUMIF('Spese Generiche BANCOMAT '!$E:$E,"DICEMBRE 2036",'Spese Generiche BANCOMAT '!$G:$G)</f>
        <v>0</v>
      </c>
      <c r="N19" s="1349">
        <f t="shared" si="0"/>
        <v>0</v>
      </c>
    </row>
    <row r="20" spans="1:14" x14ac:dyDescent="0.25">
      <c r="A20" s="1343">
        <v>2037</v>
      </c>
      <c r="B20" s="1347">
        <f>SUMIF('Spese Generiche BANCOMAT '!$E:$E,"GENNAIO 2037",'Spese Generiche BANCOMAT '!$G:$G)</f>
        <v>0</v>
      </c>
      <c r="C20" s="1347">
        <f>SUMIF('Spese Generiche BANCOMAT '!$E:$E,"FEBBRAIO 2037",'Spese Generiche BANCOMAT '!$G:$G)</f>
        <v>0</v>
      </c>
      <c r="D20" s="1347">
        <f>SUMIF('Spese Generiche BANCOMAT '!$E:$E,"MARZO 2037",'Spese Generiche BANCOMAT '!$G:$G)</f>
        <v>0</v>
      </c>
      <c r="E20" s="1347">
        <f>SUMIF('Spese Generiche BANCOMAT '!$E:$E,"APRILE 2037",'Spese Generiche BANCOMAT '!$G:$G)</f>
        <v>0</v>
      </c>
      <c r="F20" s="1347">
        <f>SUMIF('Spese Generiche BANCOMAT '!$E:$E,"MAGGIO 2037",'Spese Generiche BANCOMAT '!$G:$G)</f>
        <v>0</v>
      </c>
      <c r="G20" s="1347">
        <f>SUMIF('Spese Generiche BANCOMAT '!$E:$E,"GIUGNO 2037",'Spese Generiche BANCOMAT '!$G:$G)</f>
        <v>0</v>
      </c>
      <c r="H20" s="1347">
        <f>SUMIF('Spese Generiche BANCOMAT '!$E:$E,"LUGLIO 2037",'Spese Generiche BANCOMAT '!$G:$G)</f>
        <v>0</v>
      </c>
      <c r="I20" s="1347">
        <f>SUMIF('Spese Generiche BANCOMAT '!$E:$E,"AGOSTO 2037",'Spese Generiche BANCOMAT '!$G:$G)</f>
        <v>0</v>
      </c>
      <c r="J20" s="1347">
        <f>SUMIF('Spese Generiche BANCOMAT '!$E:$E,"SETTEMBRE 2037",'Spese Generiche BANCOMAT '!$G:$G)</f>
        <v>0</v>
      </c>
      <c r="K20" s="1347">
        <f>SUMIF('Spese Generiche BANCOMAT '!$E:$E,"OTTOBRE 2037",'Spese Generiche BANCOMAT '!$G:$G)</f>
        <v>0</v>
      </c>
      <c r="L20" s="1347">
        <f>SUMIF('Spese Generiche BANCOMAT '!$E:$E,"NOVEMBRE 2037",'Spese Generiche BANCOMAT '!$G:$G)</f>
        <v>0</v>
      </c>
      <c r="M20" s="1347">
        <f>SUMIF('Spese Generiche BANCOMAT '!$E:$E,"DICEMBRE 2037",'Spese Generiche BANCOMAT '!$G:$G)</f>
        <v>0</v>
      </c>
      <c r="N20" s="1349">
        <f t="shared" si="0"/>
        <v>0</v>
      </c>
    </row>
    <row r="21" spans="1:14" x14ac:dyDescent="0.25">
      <c r="A21" s="1343">
        <v>2038</v>
      </c>
      <c r="B21" s="1347">
        <f>SUMIF('Spese Generiche BANCOMAT '!$E:$E,"GENNAIO 2038",'Spese Generiche BANCOMAT '!$G:$G)</f>
        <v>0</v>
      </c>
      <c r="C21" s="1347">
        <f>SUMIF('Spese Generiche BANCOMAT '!$E:$E,"FEBBRAIO 2038",'Spese Generiche BANCOMAT '!$G:$G)</f>
        <v>0</v>
      </c>
      <c r="D21" s="1347">
        <f>SUMIF('Spese Generiche BANCOMAT '!$E:$E,"MARZO 2038",'Spese Generiche BANCOMAT '!$G:$G)</f>
        <v>0</v>
      </c>
      <c r="E21" s="1347">
        <f>SUMIF('Spese Generiche BANCOMAT '!$E:$E,"APRILE 2038",'Spese Generiche BANCOMAT '!$G:$G)</f>
        <v>0</v>
      </c>
      <c r="F21" s="1347">
        <f>SUMIF('Spese Generiche BANCOMAT '!$E:$E,"MAGGIO 2038",'Spese Generiche BANCOMAT '!$G:$G)</f>
        <v>0</v>
      </c>
      <c r="G21" s="1347">
        <f>SUMIF('Spese Generiche BANCOMAT '!$E:$E,"GIUGNO 2038",'Spese Generiche BANCOMAT '!$G:$G)</f>
        <v>0</v>
      </c>
      <c r="H21" s="1347">
        <f>SUMIF('Spese Generiche BANCOMAT '!$E:$E,"LUGLIO 2038",'Spese Generiche BANCOMAT '!$G:$G)</f>
        <v>0</v>
      </c>
      <c r="I21" s="1347">
        <f>SUMIF('Spese Generiche BANCOMAT '!$E:$E,"AGOSTO 2038",'Spese Generiche BANCOMAT '!$G:$G)</f>
        <v>0</v>
      </c>
      <c r="J21" s="1347">
        <f>SUMIF('Spese Generiche BANCOMAT '!$E:$E,"SETTEMBRE 2038",'Spese Generiche BANCOMAT '!$G:$G)</f>
        <v>0</v>
      </c>
      <c r="K21" s="1347">
        <f>SUMIF('Spese Generiche BANCOMAT '!$E:$E,"OTTOBRE 2038",'Spese Generiche BANCOMAT '!$G:$G)</f>
        <v>0</v>
      </c>
      <c r="L21" s="1347">
        <f>SUMIF('Spese Generiche BANCOMAT '!$E:$E,"NOVEMBRE 2038",'Spese Generiche BANCOMAT '!$G:$G)</f>
        <v>0</v>
      </c>
      <c r="M21" s="1347">
        <f>SUMIF('Spese Generiche BANCOMAT '!$E:$E,"DICEMBRE 2038",'Spese Generiche BANCOMAT '!$G:$G)</f>
        <v>0</v>
      </c>
      <c r="N21" s="1349">
        <f t="shared" si="0"/>
        <v>0</v>
      </c>
    </row>
    <row r="22" spans="1:14" x14ac:dyDescent="0.25">
      <c r="A22" s="1343">
        <v>2039</v>
      </c>
      <c r="B22" s="1347">
        <f>SUMIF('Spese Generiche BANCOMAT '!$E:$E,"GENNAIO 2039",'Spese Generiche BANCOMAT '!$G:$G)</f>
        <v>0</v>
      </c>
      <c r="C22" s="1347">
        <f>SUMIF('Spese Generiche BANCOMAT '!$E:$E,"FEBBRAIO 2039",'Spese Generiche BANCOMAT '!$G:$G)</f>
        <v>0</v>
      </c>
      <c r="D22" s="1347">
        <f>SUMIF('Spese Generiche BANCOMAT '!$E:$E,"MARZO 2039",'Spese Generiche BANCOMAT '!$G:$G)</f>
        <v>0</v>
      </c>
      <c r="E22" s="1347">
        <f>SUMIF('Spese Generiche BANCOMAT '!$E:$E,"APRILE 2039",'Spese Generiche BANCOMAT '!$G:$G)</f>
        <v>0</v>
      </c>
      <c r="F22" s="1347">
        <f>SUMIF('Spese Generiche BANCOMAT '!$E:$E,"MAGGIO 2039",'Spese Generiche BANCOMAT '!$G:$G)</f>
        <v>0</v>
      </c>
      <c r="G22" s="1347">
        <f>SUMIF('Spese Generiche BANCOMAT '!$E:$E,"GIUGNO 2039",'Spese Generiche BANCOMAT '!$G:$G)</f>
        <v>0</v>
      </c>
      <c r="H22" s="1347">
        <f>SUMIF('Spese Generiche BANCOMAT '!$E:$E,"LUGLIO 2039",'Spese Generiche BANCOMAT '!$G:$G)</f>
        <v>0</v>
      </c>
      <c r="I22" s="1347">
        <f>SUMIF('Spese Generiche BANCOMAT '!$E:$E,"AGOSTO 2039",'Spese Generiche BANCOMAT '!$G:$G)</f>
        <v>0</v>
      </c>
      <c r="J22" s="1347">
        <f>SUMIF('Spese Generiche BANCOMAT '!$E:$E,"SETTEMBRE 2039",'Spese Generiche BANCOMAT '!$G:$G)</f>
        <v>0</v>
      </c>
      <c r="K22" s="1347">
        <f>SUMIF('Spese Generiche BANCOMAT '!$E:$E,"OTTOBRE 2039",'Spese Generiche BANCOMAT '!$G:$G)</f>
        <v>0</v>
      </c>
      <c r="L22" s="1347">
        <f>SUMIF('Spese Generiche BANCOMAT '!$E:$E,"NOVEMBRE 2039",'Spese Generiche BANCOMAT '!$G:$G)</f>
        <v>0</v>
      </c>
      <c r="M22" s="1347">
        <f>SUMIF('Spese Generiche BANCOMAT '!$E:$E,"DICEMBRE 2039",'Spese Generiche BANCOMAT '!$G:$G)</f>
        <v>0</v>
      </c>
      <c r="N22" s="1349">
        <f t="shared" si="0"/>
        <v>0</v>
      </c>
    </row>
    <row r="23" spans="1:14" x14ac:dyDescent="0.25">
      <c r="A23" s="1343">
        <v>2040</v>
      </c>
      <c r="B23" s="1347">
        <f>SUMIF('Spese Generiche BANCOMAT '!$E:$E,"GENNAIO 2040",'Spese Generiche BANCOMAT '!$G:$G)</f>
        <v>0</v>
      </c>
      <c r="C23" s="1347">
        <f>SUMIF('Spese Generiche BANCOMAT '!$E:$E,"FEBBRAIO 2040",'Spese Generiche BANCOMAT '!$G:$G)</f>
        <v>0</v>
      </c>
      <c r="D23" s="1347">
        <f>SUMIF('Spese Generiche BANCOMAT '!$E:$E,"MARZO 2040",'Spese Generiche BANCOMAT '!$G:$G)</f>
        <v>0</v>
      </c>
      <c r="E23" s="1347">
        <f>SUMIF('Spese Generiche BANCOMAT '!$E:$E,"APRILE 2040",'Spese Generiche BANCOMAT '!$G:$G)</f>
        <v>0</v>
      </c>
      <c r="F23" s="1347">
        <f>SUMIF('Spese Generiche BANCOMAT '!$E:$E,"MAGGIO 2040",'Spese Generiche BANCOMAT '!$G:$G)</f>
        <v>0</v>
      </c>
      <c r="G23" s="1347">
        <f>SUMIF('Spese Generiche BANCOMAT '!$E:$E,"GIUGNO 2040",'Spese Generiche BANCOMAT '!$G:$G)</f>
        <v>0</v>
      </c>
      <c r="H23" s="1347">
        <f>SUMIF('Spese Generiche BANCOMAT '!$E:$E,"LUGLIO 2040",'Spese Generiche BANCOMAT '!$G:$G)</f>
        <v>0</v>
      </c>
      <c r="I23" s="1347">
        <f>SUMIF('Spese Generiche BANCOMAT '!$E:$E,"AGOSTO 2040",'Spese Generiche BANCOMAT '!$G:$G)</f>
        <v>0</v>
      </c>
      <c r="J23" s="1347">
        <f>SUMIF('Spese Generiche BANCOMAT '!$E:$E,"SETTEMBRE 2040",'Spese Generiche BANCOMAT '!$G:$G)</f>
        <v>0</v>
      </c>
      <c r="K23" s="1347">
        <f>SUMIF('Spese Generiche BANCOMAT '!$E:$E,"OTTOBRE 2040",'Spese Generiche BANCOMAT '!$G:$G)</f>
        <v>0</v>
      </c>
      <c r="L23" s="1347">
        <f>SUMIF('Spese Generiche BANCOMAT '!$E:$E,"NOVEMBRE 2040",'Spese Generiche BANCOMAT '!$G:$G)</f>
        <v>0</v>
      </c>
      <c r="M23" s="1347">
        <f>SUMIF('Spese Generiche BANCOMAT '!$E:$E,"DICEMBRE 2040",'Spese Generiche BANCOMAT '!$G:$G)</f>
        <v>0</v>
      </c>
      <c r="N23" s="1349">
        <f t="shared" si="0"/>
        <v>0</v>
      </c>
    </row>
    <row r="24" spans="1:14" x14ac:dyDescent="0.25">
      <c r="A24" s="1343">
        <v>2041</v>
      </c>
      <c r="B24" s="1347">
        <f>SUMIF('Spese Generiche BANCOMAT '!$E:$E,"GENNAIO 2041",'Spese Generiche BANCOMAT '!$G:$G)</f>
        <v>0</v>
      </c>
      <c r="C24" s="1347">
        <f>SUMIF('Spese Generiche BANCOMAT '!$E:$E,"FEBBRAIO 2041",'Spese Generiche BANCOMAT '!$G:$G)</f>
        <v>0</v>
      </c>
      <c r="D24" s="1347">
        <f>SUMIF('Spese Generiche BANCOMAT '!$E:$E,"MARZO 2041",'Spese Generiche BANCOMAT '!$G:$G)</f>
        <v>0</v>
      </c>
      <c r="E24" s="1347">
        <f>SUMIF('Spese Generiche BANCOMAT '!$E:$E,"APRILE 2041",'Spese Generiche BANCOMAT '!$G:$G)</f>
        <v>0</v>
      </c>
      <c r="F24" s="1347">
        <f>SUMIF('Spese Generiche BANCOMAT '!$E:$E,"MAGGIO 2041",'Spese Generiche BANCOMAT '!$G:$G)</f>
        <v>0</v>
      </c>
      <c r="G24" s="1347">
        <f>SUMIF('Spese Generiche BANCOMAT '!$E:$E,"GIUGNO 2041",'Spese Generiche BANCOMAT '!$G:$G)</f>
        <v>0</v>
      </c>
      <c r="H24" s="1347">
        <f>SUMIF('Spese Generiche BANCOMAT '!$E:$E,"LUGLIO 2041",'Spese Generiche BANCOMAT '!$G:$G)</f>
        <v>0</v>
      </c>
      <c r="I24" s="1347">
        <f>SUMIF('Spese Generiche BANCOMAT '!$E:$E,"AGOSTO 2041",'Spese Generiche BANCOMAT '!$G:$G)</f>
        <v>0</v>
      </c>
      <c r="J24" s="1347">
        <f>SUMIF('Spese Generiche BANCOMAT '!$E:$E,"SETTEMBRE 2041",'Spese Generiche BANCOMAT '!$G:$G)</f>
        <v>0</v>
      </c>
      <c r="K24" s="1347">
        <f>SUMIF('Spese Generiche BANCOMAT '!$E:$E,"OTTOBRE 2041",'Spese Generiche BANCOMAT '!$G:$G)</f>
        <v>0</v>
      </c>
      <c r="L24" s="1347">
        <f>SUMIF('Spese Generiche BANCOMAT '!$E:$E,"NOVEMBRE 2041",'Spese Generiche BANCOMAT '!$G:$G)</f>
        <v>0</v>
      </c>
      <c r="M24" s="1347">
        <f>SUMIF('Spese Generiche BANCOMAT '!$E:$E,"DICEMBRE 2041",'Spese Generiche BANCOMAT '!$G:$G)</f>
        <v>0</v>
      </c>
      <c r="N24" s="1349">
        <f t="shared" si="0"/>
        <v>0</v>
      </c>
    </row>
    <row r="25" spans="1:14" x14ac:dyDescent="0.25">
      <c r="A25" s="1343">
        <v>2042</v>
      </c>
      <c r="B25" s="1347">
        <f>SUMIF('Spese Generiche BANCOMAT '!$E:$E,"GENNAIO 2042",'Spese Generiche BANCOMAT '!$G:$G)</f>
        <v>0</v>
      </c>
      <c r="C25" s="1347">
        <f>SUMIF('Spese Generiche BANCOMAT '!$E:$E,"FEBBRAIO 2042",'Spese Generiche BANCOMAT '!$G:$G)</f>
        <v>0</v>
      </c>
      <c r="D25" s="1347">
        <f>SUMIF('Spese Generiche BANCOMAT '!$E:$E,"MARZO 2042",'Spese Generiche BANCOMAT '!$G:$G)</f>
        <v>0</v>
      </c>
      <c r="E25" s="1347">
        <f>SUMIF('Spese Generiche BANCOMAT '!$E:$E,"APRILE 2042",'Spese Generiche BANCOMAT '!$G:$G)</f>
        <v>0</v>
      </c>
      <c r="F25" s="1347">
        <f>SUMIF('Spese Generiche BANCOMAT '!$E:$E,"MAGGIO 2042",'Spese Generiche BANCOMAT '!$G:$G)</f>
        <v>0</v>
      </c>
      <c r="G25" s="1347">
        <f>SUMIF('Spese Generiche BANCOMAT '!$E:$E,"GIUGNO 2042",'Spese Generiche BANCOMAT '!$G:$G)</f>
        <v>0</v>
      </c>
      <c r="H25" s="1347">
        <f>SUMIF('Spese Generiche BANCOMAT '!$E:$E,"LUGLIO 2042",'Spese Generiche BANCOMAT '!$G:$G)</f>
        <v>0</v>
      </c>
      <c r="I25" s="1347">
        <f>SUMIF('Spese Generiche BANCOMAT '!$E:$E,"AGOSTO 2042",'Spese Generiche BANCOMAT '!$G:$G)</f>
        <v>0</v>
      </c>
      <c r="J25" s="1347">
        <f>SUMIF('Spese Generiche BANCOMAT '!$E:$E,"SETTEMBRE 2042",'Spese Generiche BANCOMAT '!$G:$G)</f>
        <v>0</v>
      </c>
      <c r="K25" s="1347">
        <f>SUMIF('Spese Generiche BANCOMAT '!$E:$E,"OTTOBRE 2042",'Spese Generiche BANCOMAT '!$G:$G)</f>
        <v>0</v>
      </c>
      <c r="L25" s="1347">
        <f>SUMIF('Spese Generiche BANCOMAT '!$E:$E,"NOVEMBRE 2042",'Spese Generiche BANCOMAT '!$G:$G)</f>
        <v>0</v>
      </c>
      <c r="M25" s="1347">
        <f>SUMIF('Spese Generiche BANCOMAT '!$E:$E,"DICEMBRE 2042",'Spese Generiche BANCOMAT '!$G:$G)</f>
        <v>0</v>
      </c>
      <c r="N25" s="1349">
        <f t="shared" si="0"/>
        <v>0</v>
      </c>
    </row>
    <row r="26" spans="1:14" x14ac:dyDescent="0.25">
      <c r="A26" s="1343">
        <v>2043</v>
      </c>
      <c r="B26" s="1347">
        <f>SUMIF('Spese Generiche BANCOMAT '!$E:$E,"GENNAIO 2043",'Spese Generiche BANCOMAT '!$G:$G)</f>
        <v>0</v>
      </c>
      <c r="C26" s="1347">
        <f>SUMIF('Spese Generiche BANCOMAT '!$E:$E,"FEBBRAIO 2043",'Spese Generiche BANCOMAT '!$G:$G)</f>
        <v>0</v>
      </c>
      <c r="D26" s="1347">
        <f>SUMIF('Spese Generiche BANCOMAT '!$E:$E,"MARZO 2043",'Spese Generiche BANCOMAT '!$G:$G)</f>
        <v>0</v>
      </c>
      <c r="E26" s="1347">
        <f>SUMIF('Spese Generiche BANCOMAT '!$E:$E,"APRILE 2043",'Spese Generiche BANCOMAT '!$G:$G)</f>
        <v>0</v>
      </c>
      <c r="F26" s="1347">
        <f>SUMIF('Spese Generiche BANCOMAT '!$E:$E,"MAGGIO 2043",'Spese Generiche BANCOMAT '!$G:$G)</f>
        <v>0</v>
      </c>
      <c r="G26" s="1347">
        <f>SUMIF('Spese Generiche BANCOMAT '!$E:$E,"GIUGNO 2043",'Spese Generiche BANCOMAT '!$G:$G)</f>
        <v>0</v>
      </c>
      <c r="H26" s="1347">
        <f>SUMIF('Spese Generiche BANCOMAT '!$E:$E,"LUGLIO 2043",'Spese Generiche BANCOMAT '!$G:$G)</f>
        <v>0</v>
      </c>
      <c r="I26" s="1347">
        <f>SUMIF('Spese Generiche BANCOMAT '!$E:$E,"AGOSTO 2043",'Spese Generiche BANCOMAT '!$G:$G)</f>
        <v>0</v>
      </c>
      <c r="J26" s="1347">
        <f>SUMIF('Spese Generiche BANCOMAT '!$E:$E,"SETTEMBRE 2043",'Spese Generiche BANCOMAT '!$G:$G)</f>
        <v>0</v>
      </c>
      <c r="K26" s="1347">
        <f>SUMIF('Spese Generiche BANCOMAT '!$E:$E,"OTTOBRE 2043",'Spese Generiche BANCOMAT '!$G:$G)</f>
        <v>0</v>
      </c>
      <c r="L26" s="1347">
        <f>SUMIF('Spese Generiche BANCOMAT '!$E:$E,"NOVEMBRE 2043",'Spese Generiche BANCOMAT '!$G:$G)</f>
        <v>0</v>
      </c>
      <c r="M26" s="1347">
        <f>SUMIF('Spese Generiche BANCOMAT '!$E:$E,"DICEMBRE 2043",'Spese Generiche BANCOMAT '!$G:$G)</f>
        <v>0</v>
      </c>
      <c r="N26" s="1349">
        <f t="shared" si="0"/>
        <v>0</v>
      </c>
    </row>
    <row r="27" spans="1:14" x14ac:dyDescent="0.25">
      <c r="A27" s="1343">
        <v>2044</v>
      </c>
      <c r="B27" s="1347">
        <f>SUMIF('Spese Generiche BANCOMAT '!$E:$E,"GENNAIO 2044",'Spese Generiche BANCOMAT '!$G:$G)</f>
        <v>0</v>
      </c>
      <c r="C27" s="1347">
        <f>SUMIF('Spese Generiche BANCOMAT '!$E:$E,"FEBBRAIO 2044",'Spese Generiche BANCOMAT '!$G:$G)</f>
        <v>0</v>
      </c>
      <c r="D27" s="1347">
        <f>SUMIF('Spese Generiche BANCOMAT '!$E:$E,"MARZO 2044",'Spese Generiche BANCOMAT '!$G:$G)</f>
        <v>0</v>
      </c>
      <c r="E27" s="1347">
        <f>SUMIF('Spese Generiche BANCOMAT '!$E:$E,"APRILE 2044",'Spese Generiche BANCOMAT '!$G:$G)</f>
        <v>0</v>
      </c>
      <c r="F27" s="1347">
        <f>SUMIF('Spese Generiche BANCOMAT '!$E:$E,"MAGGIO 2044",'Spese Generiche BANCOMAT '!$G:$G)</f>
        <v>0</v>
      </c>
      <c r="G27" s="1347">
        <f>SUMIF('Spese Generiche BANCOMAT '!$E:$E,"GIUGNO 2044",'Spese Generiche BANCOMAT '!$G:$G)</f>
        <v>0</v>
      </c>
      <c r="H27" s="1347">
        <f>SUMIF('Spese Generiche BANCOMAT '!$E:$E,"LUGLIO 2044",'Spese Generiche BANCOMAT '!$G:$G)</f>
        <v>0</v>
      </c>
      <c r="I27" s="1347">
        <f>SUMIF('Spese Generiche BANCOMAT '!$E:$E,"AGOSTO 2044",'Spese Generiche BANCOMAT '!$G:$G)</f>
        <v>0</v>
      </c>
      <c r="J27" s="1347">
        <f>SUMIF('Spese Generiche BANCOMAT '!$E:$E,"SETTEMBRE 2044",'Spese Generiche BANCOMAT '!$G:$G)</f>
        <v>0</v>
      </c>
      <c r="K27" s="1347">
        <f>SUMIF('Spese Generiche BANCOMAT '!$E:$E,"OTTOBRE 2044",'Spese Generiche BANCOMAT '!$G:$G)</f>
        <v>0</v>
      </c>
      <c r="L27" s="1347">
        <f>SUMIF('Spese Generiche BANCOMAT '!$E:$E,"NOVEMBRE 2044",'Spese Generiche BANCOMAT '!$G:$G)</f>
        <v>0</v>
      </c>
      <c r="M27" s="1347">
        <f>SUMIF('Spese Generiche BANCOMAT '!$E:$E,"DICEMBRE 2044",'Spese Generiche BANCOMAT '!$G:$G)</f>
        <v>0</v>
      </c>
      <c r="N27" s="1349">
        <f t="shared" si="0"/>
        <v>0</v>
      </c>
    </row>
    <row r="28" spans="1:14" x14ac:dyDescent="0.25">
      <c r="A28" s="1343" t="s">
        <v>397</v>
      </c>
      <c r="B28" s="1350">
        <f t="shared" ref="B28:N28" si="1">SUM(B2:B27)</f>
        <v>3109.16</v>
      </c>
      <c r="C28" s="1350">
        <f t="shared" si="1"/>
        <v>3855.9799999999996</v>
      </c>
      <c r="D28" s="1350">
        <f t="shared" si="1"/>
        <v>2482.4299999999998</v>
      </c>
      <c r="E28" s="1350">
        <f t="shared" si="1"/>
        <v>1180.92</v>
      </c>
      <c r="F28" s="1350">
        <f t="shared" si="1"/>
        <v>645.62</v>
      </c>
      <c r="G28" s="1350">
        <f t="shared" si="1"/>
        <v>364.7</v>
      </c>
      <c r="H28" s="1350">
        <f t="shared" si="1"/>
        <v>875.35</v>
      </c>
      <c r="I28" s="1350">
        <f t="shared" si="1"/>
        <v>3727.65</v>
      </c>
      <c r="J28" s="1350">
        <f t="shared" si="1"/>
        <v>463.48</v>
      </c>
      <c r="K28" s="1350">
        <f t="shared" si="1"/>
        <v>-469.03</v>
      </c>
      <c r="L28" s="1350">
        <f t="shared" si="1"/>
        <v>2893.27</v>
      </c>
      <c r="M28" s="1350">
        <f t="shared" si="1"/>
        <v>8331.24</v>
      </c>
      <c r="N28" s="1350">
        <f t="shared" si="1"/>
        <v>27460.770000000008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S49" sqref="S49"/>
    </sheetView>
  </sheetViews>
  <sheetFormatPr defaultRowHeight="15" x14ac:dyDescent="0.2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 x14ac:dyDescent="0.3">
      <c r="A1" s="1351" t="s">
        <v>1210</v>
      </c>
    </row>
    <row r="2" spans="1:14" x14ac:dyDescent="0.25">
      <c r="A2" s="1344" t="s">
        <v>63</v>
      </c>
      <c r="B2" s="1344" t="s">
        <v>183</v>
      </c>
      <c r="C2" s="1344" t="s">
        <v>176</v>
      </c>
      <c r="D2" s="1344" t="s">
        <v>168</v>
      </c>
      <c r="E2" s="1344" t="s">
        <v>159</v>
      </c>
      <c r="F2" s="1344" t="s">
        <v>143</v>
      </c>
      <c r="G2" s="1344" t="s">
        <v>131</v>
      </c>
      <c r="H2" s="1344" t="s">
        <v>119</v>
      </c>
      <c r="I2" s="1344" t="s">
        <v>80</v>
      </c>
      <c r="J2" s="1344" t="s">
        <v>68</v>
      </c>
      <c r="K2" s="1344" t="s">
        <v>215</v>
      </c>
      <c r="L2" s="1344" t="s">
        <v>207</v>
      </c>
      <c r="M2" s="1344" t="s">
        <v>188</v>
      </c>
      <c r="N2" s="1344" t="s">
        <v>1201</v>
      </c>
    </row>
    <row r="3" spans="1:14" x14ac:dyDescent="0.25">
      <c r="A3">
        <v>2019</v>
      </c>
      <c r="B3" s="1347">
        <f>SUMIF('Dettaglio Spese Generiche CC'!$E:$E,"GENNAIO 2019",'Dettaglio Spese Generiche CC'!$G:$G)</f>
        <v>0</v>
      </c>
      <c r="C3" s="1347">
        <f>SUMIF('Dettaglio Spese Generiche CC'!$E:$E,"FEBBRAIO 2019",'Dettaglio Spese Generiche CC'!$G:$G)</f>
        <v>0</v>
      </c>
      <c r="D3" s="1347">
        <f>SUMIF('Dettaglio Spese Generiche CC'!$E:$E,"MARZO 2019",'Dettaglio Spese Generiche CC'!$G:$G)</f>
        <v>0</v>
      </c>
      <c r="E3" s="1347">
        <f>SUMIF('Dettaglio Spese Generiche CC'!$E:$E,"APRILE 2019",'Dettaglio Spese Generiche CC'!$G:$G)</f>
        <v>0</v>
      </c>
      <c r="F3" s="1347">
        <f>SUMIF('Dettaglio Spese Generiche CC'!$E:$E,"MAGGIO 2019",'Dettaglio Spese Generiche CC'!$G:$G)</f>
        <v>0</v>
      </c>
      <c r="G3" s="1347">
        <f>SUMIF('Dettaglio Spese Generiche CC'!$E:$E,"GIUGNO 2019",'Dettaglio Spese Generiche CC'!$G:$G)</f>
        <v>0</v>
      </c>
      <c r="H3" s="1347">
        <f>SUMIF('Dettaglio Spese Generiche CC'!$E:$E,"LUGLIO 2019",'Dettaglio Spese Generiche CC'!$G:$G)</f>
        <v>859.6400000000001</v>
      </c>
      <c r="I3" s="1347">
        <f>SUMIF('Dettaglio Spese Generiche CC'!$E:$E,"AGOSTO 2019",'Dettaglio Spese Generiche CC'!$G:$G)</f>
        <v>1085.53</v>
      </c>
      <c r="J3" s="1347">
        <f>SUMIF('Dettaglio Spese Generiche CC'!$E:$E,"SETTEMBRE 2019",'Dettaglio Spese Generiche CC'!$G:$G)</f>
        <v>375.82</v>
      </c>
      <c r="K3" s="1347">
        <f>SUMIF('Dettaglio Spese Generiche CC'!$E:$E,"OTTOBRE 2019",'Dettaglio Spese Generiche CC'!$G:$G)</f>
        <v>277.06</v>
      </c>
      <c r="L3" s="1347">
        <f>SUMIF('Dettaglio Spese Generiche CC'!$E:$E,"NOVEMBRE 2019",'Dettaglio Spese Generiche CC'!$G:$G)</f>
        <v>415.31</v>
      </c>
      <c r="M3" s="1347">
        <f>SUMIF('Dettaglio Spese Generiche CC'!$E:$E,"DICEMBRE 2019",'Dettaglio Spese Generiche CC'!$G:$G)</f>
        <v>1163.94</v>
      </c>
      <c r="N3" s="1347">
        <f t="shared" ref="N3:N28" si="0">SUM(B3:M3)</f>
        <v>4177.3</v>
      </c>
    </row>
    <row r="4" spans="1:14" x14ac:dyDescent="0.25">
      <c r="A4">
        <v>2020</v>
      </c>
      <c r="B4" s="1347">
        <f>SUMIF('Dettaglio Spese Generiche CC'!$E:$E,"GENNAIO 2020",'Dettaglio Spese Generiche CC'!$G:$G)</f>
        <v>509.00000000000006</v>
      </c>
      <c r="C4" s="1347">
        <f>SUMIF('Dettaglio Spese Generiche CC'!$E:$E,"FEBBRAIO 2020",'Dettaglio Spese Generiche CC'!$G:$G)</f>
        <v>518.43000000000006</v>
      </c>
      <c r="D4" s="1347">
        <f>SUMIF('Dettaglio Spese Generiche CC'!$E:$E,"MARZO 2020",'Dettaglio Spese Generiche CC'!$G:$G)</f>
        <v>904.96000000000015</v>
      </c>
      <c r="E4" s="1347">
        <f>SUMIF('Dettaglio Spese Generiche CC'!$E:$E,"APRILE 2020",'Dettaglio Spese Generiche CC'!$G:$G)</f>
        <v>492.42</v>
      </c>
      <c r="F4" s="1347">
        <f>SUMIF('Dettaglio Spese Generiche CC'!$E:$E,"MAGGIO 2020",'Dettaglio Spese Generiche CC'!$G:$G)</f>
        <v>675.94999999999993</v>
      </c>
      <c r="G4" s="1347">
        <f>SUMIF('Dettaglio Spese Generiche CC'!$E:$E,"GIUGNO 2020",'Dettaglio Spese Generiche CC'!$G:$G)</f>
        <v>464.78999999999996</v>
      </c>
      <c r="H4" s="1347">
        <f>SUMIF('Dettaglio Spese Generiche CC'!$E:$E,"LUGLIO 2020",'Dettaglio Spese Generiche CC'!$G:$G)</f>
        <v>375.60000000000008</v>
      </c>
      <c r="I4" s="1347">
        <f>SUMIF('Dettaglio Spese Generiche CC'!$E:$E,"AGOSTO 2020",'Dettaglio Spese Generiche CC'!$G:$G)</f>
        <v>1297.49</v>
      </c>
      <c r="J4" s="1347">
        <f>SUMIF('Dettaglio Spese Generiche CC'!$E:$E,"SETTEMBRE 2020",'Dettaglio Spese Generiche CC'!$G:$G)</f>
        <v>369.18</v>
      </c>
      <c r="K4" s="1347">
        <f>SUMIF('Dettaglio Spese Generiche CC'!$E:$E,"OTTOBRE 2020",'Dettaglio Spese Generiche CC'!$G:$G)</f>
        <v>392.46</v>
      </c>
      <c r="L4" s="1347">
        <f>SUMIF('Dettaglio Spese Generiche CC'!$E:$E,"NOVEMBRE 2020",'Dettaglio Spese Generiche CC'!$G:$G)</f>
        <v>306.77999999999997</v>
      </c>
      <c r="M4" s="1347">
        <f>SUMIF('Dettaglio Spese Generiche CC'!$E:$E,"DICEMBRE 2020",'Dettaglio Spese Generiche CC'!$G:$G)</f>
        <v>966.59000000000015</v>
      </c>
      <c r="N4" s="1347">
        <f t="shared" si="0"/>
        <v>7273.6500000000005</v>
      </c>
    </row>
    <row r="5" spans="1:14" x14ac:dyDescent="0.25">
      <c r="A5">
        <v>2021</v>
      </c>
      <c r="B5" s="1347">
        <f>SUMIF('Dettaglio Spese Generiche CC'!$E:$E,"GENNAIO 2021",'Dettaglio Spese Generiche CC'!$G:$G)</f>
        <v>713.45</v>
      </c>
      <c r="C5" s="1347">
        <f>SUMIF('Dettaglio Spese Generiche CC'!$E:$E,"FEBBRAIO 2021",'Dettaglio Spese Generiche CC'!$G:$G)</f>
        <v>641.65</v>
      </c>
      <c r="D5" s="1347">
        <f>SUMIF('Dettaglio Spese Generiche CC'!$E:$E,"MARZO 2021",'Dettaglio Spese Generiche CC'!$G:$G)</f>
        <v>640.22999999999979</v>
      </c>
      <c r="E5" s="1347">
        <f>SUMIF('Dettaglio Spese Generiche CC'!$E:$E,"APRILE 2021",'Dettaglio Spese Generiche CC'!$G:$G)</f>
        <v>926.99000000000024</v>
      </c>
      <c r="F5" s="1347">
        <f>SUMIF('Dettaglio Spese Generiche CC'!$E:$E,"MAGGIO 2021",'Dettaglio Spese Generiche CC'!$G:$G)</f>
        <v>1037.97</v>
      </c>
      <c r="G5" s="1347">
        <f>SUMIF('Dettaglio Spese Generiche CC'!$E:$E,"GIUGNO 2021",'Dettaglio Spese Generiche CC'!$G:$G)</f>
        <v>603.70000000000005</v>
      </c>
      <c r="H5" s="1347">
        <f>SUMIF('Dettaglio Spese Generiche CC'!$E:$E,"LUGLIO 2021",'Dettaglio Spese Generiche CC'!$G:$G)</f>
        <v>739.48000000000013</v>
      </c>
      <c r="I5" s="1347">
        <f>SUMIF('Dettaglio Spese Generiche CC'!$E:$E,"AGOSTO 2021",'Dettaglio Spese Generiche CC'!$G:$G)</f>
        <v>788.58</v>
      </c>
      <c r="J5" s="1347">
        <f>SUMIF('Dettaglio Spese Generiche CC'!$E:$E,"SETTEMBRE 2021",'Dettaglio Spese Generiche CC'!$G:$G)</f>
        <v>153.58000000000001</v>
      </c>
      <c r="K5" s="1347">
        <f>SUMIF('Dettaglio Spese Generiche CC'!$E:$E,"OTTOBRE 2021",'Dettaglio Spese Generiche CC'!$G:$G)</f>
        <v>69.42</v>
      </c>
      <c r="L5" s="1347">
        <f>SUMIF('Dettaglio Spese Generiche CC'!$E:$E,"NOVEMBRE 2021",'Dettaglio Spese Generiche CC'!$G:$G)</f>
        <v>310.89</v>
      </c>
      <c r="M5" s="1347">
        <f>SUMIF('Dettaglio Spese Generiche CC'!$E:$E,"DICEMBRE 2021",'Dettaglio Spese Generiche CC'!$G:$G)</f>
        <v>486.00999999999993</v>
      </c>
      <c r="N5" s="1347">
        <f t="shared" si="0"/>
        <v>7111.9500000000007</v>
      </c>
    </row>
    <row r="6" spans="1:14" x14ac:dyDescent="0.25">
      <c r="A6">
        <v>2022</v>
      </c>
      <c r="B6" s="1347">
        <f>SUMIF('Dettaglio Spese Generiche CC'!$E:$E,"GENNAIO 2022",'Dettaglio Spese Generiche CC'!$G:$G)</f>
        <v>312.79000000000002</v>
      </c>
      <c r="C6" s="1347">
        <f>SUMIF('Dettaglio Spese Generiche CC'!$E:$E,"FEBBRAIO 2022",'Dettaglio Spese Generiche CC'!$G:$G)</f>
        <v>619.89</v>
      </c>
      <c r="D6" s="1347">
        <f>SUMIF('Dettaglio Spese Generiche CC'!$E:$E,"MARZO 2022",'Dettaglio Spese Generiche CC'!$G:$G)</f>
        <v>252.27</v>
      </c>
      <c r="E6" s="1347">
        <f>SUMIF('Dettaglio Spese Generiche CC'!$E:$E,"APRILE 2022",'Dettaglio Spese Generiche CC'!$G:$G)</f>
        <v>584.70000000000016</v>
      </c>
      <c r="F6" s="1347">
        <f>SUMIF('Dettaglio Spese Generiche CC'!$E:$E,"MAGGIO 2022",'Dettaglio Spese Generiche CC'!$G:$G)</f>
        <v>450.7</v>
      </c>
      <c r="G6" s="1347">
        <f>SUMIF('Dettaglio Spese Generiche CC'!$E:$E,"GIUGNO 2022",'Dettaglio Spese Generiche CC'!$G:$G)</f>
        <v>273.89</v>
      </c>
      <c r="H6" s="1347">
        <f>SUMIF('Dettaglio Spese Generiche CC'!$E:$E,"LUGLIO 2022",'Dettaglio Spese Generiche CC'!$G:$G)</f>
        <v>366.3</v>
      </c>
      <c r="I6" s="1347">
        <f>SUMIF('Dettaglio Spese Generiche CC'!$E:$E,"AGOSTO 2022",'Dettaglio Spese Generiche CC'!$G:$G)</f>
        <v>440.41999999999996</v>
      </c>
      <c r="J6" s="1347">
        <f>SUMIF('Dettaglio Spese Generiche CC'!$E:$E,"SETTEMBRE 2022",'Dettaglio Spese Generiche CC'!$G:$G)</f>
        <v>251.39000000000007</v>
      </c>
      <c r="K6" s="1347">
        <f>SUMIF('Dettaglio Spese Generiche CC'!$E:$E,"OTTOBRE 2022",'Dettaglio Spese Generiche CC'!$G:$G)</f>
        <v>344.73</v>
      </c>
      <c r="L6" s="1347">
        <f>SUMIF('Dettaglio Spese Generiche CC'!$E:$E,"NOVEMBRE 2022",'Dettaglio Spese Generiche CC'!$G:$G)</f>
        <v>415.08</v>
      </c>
      <c r="M6" s="1347">
        <f>SUMIF('Dettaglio Spese Generiche CC'!$E:$E,"DICEMBRE 2022",'Dettaglio Spese Generiche CC'!$G:$G)</f>
        <v>869.98</v>
      </c>
      <c r="N6" s="1347">
        <f t="shared" si="0"/>
        <v>5182.1399999999994</v>
      </c>
    </row>
    <row r="7" spans="1:14" x14ac:dyDescent="0.25">
      <c r="A7">
        <v>2023</v>
      </c>
      <c r="B7" s="1347">
        <f>SUMIF('Dettaglio Spese Generiche CC'!$E:$E,"GENNAIO 2023",'Dettaglio Spese Generiche CC'!$G:$G)</f>
        <v>449.36999999999995</v>
      </c>
      <c r="C7" s="1347">
        <f>SUMIF('Dettaglio Spese Generiche CC'!$E:$E,"FEBBRAIO 2023",'Dettaglio Spese Generiche CC'!$G:$G)</f>
        <v>335.17</v>
      </c>
      <c r="D7" s="1347">
        <f>SUMIF('Dettaglio Spese Generiche CC'!$E:$E,"MARZO 2023",'Dettaglio Spese Generiche CC'!$G:$G)</f>
        <v>341.64</v>
      </c>
      <c r="E7" s="1347">
        <f>SUMIF('Dettaglio Spese Generiche CC'!$E:$E,"APRILE 2023",'Dettaglio Spese Generiche CC'!$G:$G)</f>
        <v>370.41</v>
      </c>
      <c r="F7" s="1347">
        <f>SUMIF('Dettaglio Spese Generiche CC'!$E:$E,"MAGGIO 2023",'Dettaglio Spese Generiche CC'!$G:$G)</f>
        <v>361.88</v>
      </c>
      <c r="G7" s="1347">
        <f>SUMIF('Dettaglio Spese Generiche CC'!$E:$E,"GIUGNO 2023",'Dettaglio Spese Generiche CC'!$G:$G)</f>
        <v>602.51999999999987</v>
      </c>
      <c r="H7" s="1347">
        <f>SUMIF('Dettaglio Spese Generiche CC'!$E:$E,"LUGLIO 2023",'Dettaglio Spese Generiche CC'!$G:$G)</f>
        <v>606.55000000000007</v>
      </c>
      <c r="I7" s="1347">
        <f>SUMIF('Dettaglio Spese Generiche CC'!$E:$E,"AGOSTO 2023",'Dettaglio Spese Generiche CC'!$G:$G)</f>
        <v>1397.92</v>
      </c>
      <c r="J7" s="1347">
        <f>SUMIF('Dettaglio Spese Generiche CC'!$E:$E,"SETTEMBRE 2023",'Dettaglio Spese Generiche CC'!$G:$G)</f>
        <v>417.89999999999986</v>
      </c>
      <c r="K7" s="1347">
        <f>SUMIF('Dettaglio Spese Generiche CC'!$E:$E,"OTTOBRE 2023",'Dettaglio Spese Generiche CC'!$G:$G)</f>
        <v>606.27</v>
      </c>
      <c r="L7" s="1347">
        <f>SUMIF('Dettaglio Spese Generiche CC'!$E:$E,"NOVEMBRE 2023",'Dettaglio Spese Generiche CC'!$G:$G)</f>
        <v>722.26999999999953</v>
      </c>
      <c r="M7" s="1347">
        <f>SUMIF('Dettaglio Spese Generiche CC'!$E:$E,"DICEMBRE 2023",'Dettaglio Spese Generiche CC'!$G:$G)</f>
        <v>1156.6600000000001</v>
      </c>
      <c r="N7" s="1347">
        <f t="shared" si="0"/>
        <v>7368.5599999999986</v>
      </c>
    </row>
    <row r="8" spans="1:14" x14ac:dyDescent="0.25">
      <c r="A8">
        <v>2024</v>
      </c>
      <c r="B8" s="1347">
        <f>SUMIF('Dettaglio Spese Generiche CC'!$E:$E,"GENNAIO 2024",'Dettaglio Spese Generiche CC'!$G:$G)</f>
        <v>464.87999999999994</v>
      </c>
      <c r="C8" s="1347">
        <f>SUMIF('Dettaglio Spese Generiche CC'!$E:$E,"FEBBRAIO 2024",'Dettaglio Spese Generiche CC'!$G:$G)</f>
        <v>565.69999999999982</v>
      </c>
      <c r="D8" s="1347">
        <f>SUMIF('Dettaglio Spese Generiche CC'!$E:$E,"MARZO 2024",'Dettaglio Spese Generiche CC'!$G:$G)</f>
        <v>485.51999999999987</v>
      </c>
      <c r="E8" s="1347">
        <f>SUMIF('Dettaglio Spese Generiche CC'!$E:$E,"APRILE 2024",'Dettaglio Spese Generiche CC'!$G:$G)</f>
        <v>605.46999999999957</v>
      </c>
      <c r="F8" s="1347">
        <f>SUMIF('Dettaglio Spese Generiche CC'!$E:$E,"MAGGIO 2024",'Dettaglio Spese Generiche CC'!$G:$G)</f>
        <v>365</v>
      </c>
      <c r="G8" s="1347">
        <f>SUMIF('Dettaglio Spese Generiche CC'!$E:$E,"GIUGNO 2024",'Dettaglio Spese Generiche CC'!$G:$G)</f>
        <v>790.88999999999987</v>
      </c>
      <c r="H8" s="1347">
        <f>SUMIF('Dettaglio Spese Generiche CC'!$E:$E,"LUGLIO 2024",'Dettaglio Spese Generiche CC'!$G:$G)</f>
        <v>952.17999999999984</v>
      </c>
      <c r="I8" s="1347">
        <f>SUMIF('Dettaglio Spese Generiche CC'!$E:$E,"AGOSTO 2024",'Dettaglio Spese Generiche CC'!$G:$G)</f>
        <v>1769.1599999999999</v>
      </c>
      <c r="J8" s="1347">
        <f>SUMIF('Dettaglio Spese Generiche CC'!$E:$E,"SETTEMBRE 2024",'Dettaglio Spese Generiche CC'!$G:$G)</f>
        <v>889.21</v>
      </c>
      <c r="K8" s="1347">
        <f>SUMIF('Dettaglio Spese Generiche CC'!$E:$E,"OTTOBRE 2024",'Dettaglio Spese Generiche CC'!$G:$G)</f>
        <v>883.26000000000022</v>
      </c>
      <c r="L8" s="1347">
        <f>SUMIF('Dettaglio Spese Generiche CC'!$E:$E,"NOVEMBRE 2024",'Dettaglio Spese Generiche CC'!$G:$G)</f>
        <v>1471.4400000000005</v>
      </c>
      <c r="M8" s="1347">
        <f>SUMIF('Dettaglio Spese Generiche CC'!$E:$E,"DICEMBRE 2024",'Dettaglio Spese Generiche CC'!$G:$G)</f>
        <v>957.99</v>
      </c>
      <c r="N8" s="1347">
        <f t="shared" si="0"/>
        <v>10200.699999999999</v>
      </c>
    </row>
    <row r="9" spans="1:14" x14ac:dyDescent="0.25">
      <c r="A9">
        <v>2025</v>
      </c>
      <c r="B9" s="1347">
        <f>SUMIF('Dettaglio Spese Generiche CC'!$E:$E,"GENNAIO 2025",'Dettaglio Spese Generiche CC'!$G:$G)</f>
        <v>638.49</v>
      </c>
      <c r="C9" s="1347">
        <f>SUMIF('Dettaglio Spese Generiche CC'!$E:$E,"FEBBRAIO 2025",'Dettaglio Spese Generiche CC'!$G:$G)</f>
        <v>1210.9900000000002</v>
      </c>
      <c r="D9" s="1347">
        <f>SUMIF('Dettaglio Spese Generiche CC'!$E:$E,"MARZO 2025",'Dettaglio Spese Generiche CC'!$G:$G)</f>
        <v>872.45999999999981</v>
      </c>
      <c r="E9" s="1347">
        <f>SUMIF('Dettaglio Spese Generiche CC'!$E:$E,"APRILE 2025",'Dettaglio Spese Generiche CC'!$G:$G)</f>
        <v>1556.5000000000002</v>
      </c>
      <c r="F9" s="1347">
        <f>SUMIF('Dettaglio Spese Generiche CC'!$E:$E,"MAGGIO 2025",'Dettaglio Spese Generiche CC'!$G:$G)</f>
        <v>944.83999999999992</v>
      </c>
      <c r="G9" s="1347">
        <f>SUMIF('Dettaglio Spese Generiche CC'!$E:$E,"GIUGNO 2025",'Dettaglio Spese Generiche CC'!$G:$G)</f>
        <v>1242.7300000000007</v>
      </c>
      <c r="H9" s="1347">
        <f>SUMIF('Dettaglio Spese Generiche CC'!$E:$E,"LUGLIO 2025",'Dettaglio Spese Generiche CC'!$G:$G)</f>
        <v>2077.8280000000004</v>
      </c>
      <c r="I9" s="1347">
        <f>SUMIF('Dettaglio Spese Generiche CC'!$E:$E,"AGOSTO 2025",'Dettaglio Spese Generiche CC'!$G:$G)</f>
        <v>1997.5000000000005</v>
      </c>
      <c r="J9" s="1347">
        <f>SUMIF('Dettaglio Spese Generiche CC'!$E:$E,"SETTEMBRE 2025",'Dettaglio Spese Generiche CC'!$G:$G)</f>
        <v>978.57999999999993</v>
      </c>
      <c r="K9" s="1347">
        <f>SUMIF('Dettaglio Spese Generiche CC'!$E:$E,"OTTOBRE 2025",'Dettaglio Spese Generiche CC'!$G:$G)</f>
        <v>1619.24</v>
      </c>
      <c r="L9" s="1347">
        <f>SUMIF('Dettaglio Spese Generiche CC'!$E:$E,"NOVEMBRE 2025",'Dettaglio Spese Generiche CC'!$G:$G)</f>
        <v>1674.8599999999997</v>
      </c>
      <c r="M9" s="1347">
        <f>SUMIF('Dettaglio Spese Generiche CC'!$E:$E,"DICEMBRE 2025",'Dettaglio Spese Generiche CC'!$G:$G)</f>
        <v>1815.6800000000007</v>
      </c>
      <c r="N9" s="1347">
        <f t="shared" si="0"/>
        <v>16629.698</v>
      </c>
    </row>
    <row r="10" spans="1:14" x14ac:dyDescent="0.25">
      <c r="A10">
        <v>2026</v>
      </c>
      <c r="B10" s="1347">
        <f>SUMIF('Dettaglio Spese Generiche CC'!$E:$E,"GENNAIO 2026",'Dettaglio Spese Generiche CC'!$G:$G)</f>
        <v>1092.6699999999998</v>
      </c>
      <c r="C10" s="1347">
        <f>SUMIF('Dettaglio Spese Generiche CC'!$E:$E,"FEBBRAIO 2026",'Dettaglio Spese Generiche CC'!$G:$G)</f>
        <v>1406.4079999999994</v>
      </c>
      <c r="D10" s="1347">
        <f>SUMIF('Dettaglio Spese Generiche CC'!$E:$E,"MARZO 2026",'Dettaglio Spese Generiche CC'!$G:$G)</f>
        <v>1285.1079999999997</v>
      </c>
      <c r="E10" s="1347">
        <f>SUMIF('Dettaglio Spese Generiche CC'!$E:$E,"APRILE 2026",'Dettaglio Spese Generiche CC'!$G:$G)</f>
        <v>0</v>
      </c>
      <c r="F10" s="1347">
        <f>SUMIF('Dettaglio Spese Generiche CC'!$E:$E,"MAGGIO 2026",'Dettaglio Spese Generiche CC'!$G:$G)</f>
        <v>0</v>
      </c>
      <c r="G10" s="1347">
        <f>SUMIF('Dettaglio Spese Generiche CC'!$E:$E,"GIUGNO 2026",'Dettaglio Spese Generiche CC'!$G:$G)</f>
        <v>0</v>
      </c>
      <c r="H10" s="1347">
        <f>SUMIF('Dettaglio Spese Generiche CC'!$E:$E,"LUGLIO 2026",'Dettaglio Spese Generiche CC'!$G:$G)</f>
        <v>0</v>
      </c>
      <c r="I10" s="1347">
        <f>SUMIF('Dettaglio Spese Generiche CC'!$E:$E,"AGOSTO 2026",'Dettaglio Spese Generiche CC'!$G:$G)</f>
        <v>0</v>
      </c>
      <c r="J10" s="1347">
        <f>SUMIF('Dettaglio Spese Generiche CC'!$E:$E,"SETTEMBRE 2026",'Dettaglio Spese Generiche CC'!$G:$G)</f>
        <v>0</v>
      </c>
      <c r="K10" s="1347">
        <f>SUMIF('Dettaglio Spese Generiche CC'!$E:$E,"OTTOBRE 2026",'Dettaglio Spese Generiche CC'!$G:$G)</f>
        <v>0</v>
      </c>
      <c r="L10" s="1347">
        <f>SUMIF('Dettaglio Spese Generiche CC'!$E:$E,"NOVEMBRE 2026",'Dettaglio Spese Generiche CC'!$G:$G)</f>
        <v>0</v>
      </c>
      <c r="M10" s="1347">
        <f>SUMIF('Dettaglio Spese Generiche CC'!$E:$E,"DICEMBRE 2026",'Dettaglio Spese Generiche CC'!$G:$G)</f>
        <v>0</v>
      </c>
      <c r="N10" s="1347">
        <f t="shared" si="0"/>
        <v>3784.1859999999992</v>
      </c>
    </row>
    <row r="11" spans="1:14" x14ac:dyDescent="0.25">
      <c r="A11">
        <v>2027</v>
      </c>
      <c r="B11" s="1347">
        <f>SUMIF('Dettaglio Spese Generiche CC'!$E:$E,"GENNAIO 2027",'Dettaglio Spese Generiche CC'!$G:$G)</f>
        <v>0</v>
      </c>
      <c r="C11" s="1347">
        <f>SUMIF('Dettaglio Spese Generiche CC'!$E:$E,"FEBBRAIO 2027",'Dettaglio Spese Generiche CC'!$G:$G)</f>
        <v>0</v>
      </c>
      <c r="D11" s="1347">
        <f>SUMIF('Dettaglio Spese Generiche CC'!$E:$E,"MARZO 2027",'Dettaglio Spese Generiche CC'!$G:$G)</f>
        <v>0</v>
      </c>
      <c r="E11" s="1347">
        <f>SUMIF('Dettaglio Spese Generiche CC'!$E:$E,"APRILE 2027",'Dettaglio Spese Generiche CC'!$G:$G)</f>
        <v>0</v>
      </c>
      <c r="F11" s="1347">
        <f>SUMIF('Dettaglio Spese Generiche CC'!$E:$E,"MAGGIO 2027",'Dettaglio Spese Generiche CC'!$G:$G)</f>
        <v>0</v>
      </c>
      <c r="G11" s="1347">
        <f>SUMIF('Dettaglio Spese Generiche CC'!$E:$E,"GIUGNO 2027",'Dettaglio Spese Generiche CC'!$G:$G)</f>
        <v>0</v>
      </c>
      <c r="H11" s="1347">
        <f>SUMIF('Dettaglio Spese Generiche CC'!$E:$E,"LUGLIO 2027",'Dettaglio Spese Generiche CC'!$G:$G)</f>
        <v>0</v>
      </c>
      <c r="I11" s="1347">
        <f>SUMIF('Dettaglio Spese Generiche CC'!$E:$E,"AGOSTO 2027",'Dettaglio Spese Generiche CC'!$G:$G)</f>
        <v>0</v>
      </c>
      <c r="J11" s="1347">
        <f>SUMIF('Dettaglio Spese Generiche CC'!$E:$E,"SETTEMBRE 2027",'Dettaglio Spese Generiche CC'!$G:$G)</f>
        <v>0</v>
      </c>
      <c r="K11" s="1347">
        <f>SUMIF('Dettaglio Spese Generiche CC'!$E:$E,"OTTOBRE 2027",'Dettaglio Spese Generiche CC'!$G:$G)</f>
        <v>0</v>
      </c>
      <c r="L11" s="1347">
        <f>SUMIF('Dettaglio Spese Generiche CC'!$E:$E,"NOVEMBRE 2027",'Dettaglio Spese Generiche CC'!$G:$G)</f>
        <v>0</v>
      </c>
      <c r="M11" s="1347">
        <f>SUMIF('Dettaglio Spese Generiche CC'!$E:$E,"DICEMBRE 2027",'Dettaglio Spese Generiche CC'!$G:$G)</f>
        <v>0</v>
      </c>
      <c r="N11" s="1347">
        <f t="shared" si="0"/>
        <v>0</v>
      </c>
    </row>
    <row r="12" spans="1:14" x14ac:dyDescent="0.25">
      <c r="A12">
        <v>2028</v>
      </c>
      <c r="B12" s="1347">
        <f>SUMIF('Dettaglio Spese Generiche CC'!$E:$E,"GENNAIO 2028",'Dettaglio Spese Generiche CC'!$G:$G)</f>
        <v>0</v>
      </c>
      <c r="C12" s="1347">
        <f>SUMIF('Dettaglio Spese Generiche CC'!$E:$E,"FEBBRAIO 2028",'Dettaglio Spese Generiche CC'!$G:$G)</f>
        <v>0</v>
      </c>
      <c r="D12" s="1347">
        <f>SUMIF('Dettaglio Spese Generiche CC'!$E:$E,"MARZO 2028",'Dettaglio Spese Generiche CC'!$G:$G)</f>
        <v>0</v>
      </c>
      <c r="E12" s="1347">
        <f>SUMIF('Dettaglio Spese Generiche CC'!$E:$E,"APRILE 2028",'Dettaglio Spese Generiche CC'!$G:$G)</f>
        <v>0</v>
      </c>
      <c r="F12" s="1347">
        <f>SUMIF('Dettaglio Spese Generiche CC'!$E:$E,"MAGGIO 2028",'Dettaglio Spese Generiche CC'!$G:$G)</f>
        <v>0</v>
      </c>
      <c r="G12" s="1347">
        <f>SUMIF('Dettaglio Spese Generiche CC'!$E:$E,"GIUGNO 2028",'Dettaglio Spese Generiche CC'!$G:$G)</f>
        <v>0</v>
      </c>
      <c r="H12" s="1347">
        <f>SUMIF('Dettaglio Spese Generiche CC'!$E:$E,"LUGLIO 2028",'Dettaglio Spese Generiche CC'!$G:$G)</f>
        <v>0</v>
      </c>
      <c r="I12" s="1347">
        <f>SUMIF('Dettaglio Spese Generiche CC'!$E:$E,"AGOSTO 2028",'Dettaglio Spese Generiche CC'!$G:$G)</f>
        <v>0</v>
      </c>
      <c r="J12" s="1347">
        <f>SUMIF('Dettaglio Spese Generiche CC'!$E:$E,"SETTEMBRE 2028",'Dettaglio Spese Generiche CC'!$G:$G)</f>
        <v>0</v>
      </c>
      <c r="K12" s="1347">
        <f>SUMIF('Dettaglio Spese Generiche CC'!$E:$E,"OTTOBRE 2028",'Dettaglio Spese Generiche CC'!$G:$G)</f>
        <v>0</v>
      </c>
      <c r="L12" s="1347">
        <f>SUMIF('Dettaglio Spese Generiche CC'!$E:$E,"NOVEMBRE 2028",'Dettaglio Spese Generiche CC'!$G:$G)</f>
        <v>0</v>
      </c>
      <c r="M12" s="1347">
        <f>SUMIF('Dettaglio Spese Generiche CC'!$E:$E,"DICEMBRE 2028",'Dettaglio Spese Generiche CC'!$G:$G)</f>
        <v>0</v>
      </c>
      <c r="N12" s="1347">
        <f t="shared" si="0"/>
        <v>0</v>
      </c>
    </row>
    <row r="13" spans="1:14" x14ac:dyDescent="0.25">
      <c r="A13">
        <v>2029</v>
      </c>
      <c r="B13" s="1347">
        <f>SUMIF('Dettaglio Spese Generiche CC'!$E:$E,"GENNAIO 2029",'Dettaglio Spese Generiche CC'!$G:$G)</f>
        <v>0</v>
      </c>
      <c r="C13" s="1347">
        <f>SUMIF('Dettaglio Spese Generiche CC'!$E:$E,"FEBBRAIO 2029",'Dettaglio Spese Generiche CC'!$G:$G)</f>
        <v>0</v>
      </c>
      <c r="D13" s="1347">
        <f>SUMIF('Dettaglio Spese Generiche CC'!$E:$E,"MARZO 2029",'Dettaglio Spese Generiche CC'!$G:$G)</f>
        <v>0</v>
      </c>
      <c r="E13" s="1347">
        <f>SUMIF('Dettaglio Spese Generiche CC'!$E:$E,"APRILE 2029",'Dettaglio Spese Generiche CC'!$G:$G)</f>
        <v>0</v>
      </c>
      <c r="F13" s="1347">
        <f>SUMIF('Dettaglio Spese Generiche CC'!$E:$E,"MAGGIO 2029",'Dettaglio Spese Generiche CC'!$G:$G)</f>
        <v>0</v>
      </c>
      <c r="G13" s="1347">
        <f>SUMIF('Dettaglio Spese Generiche CC'!$E:$E,"GIUGNO 2029",'Dettaglio Spese Generiche CC'!$G:$G)</f>
        <v>0</v>
      </c>
      <c r="H13" s="1347">
        <f>SUMIF('Dettaglio Spese Generiche CC'!$E:$E,"LUGLIO 2029",'Dettaglio Spese Generiche CC'!$G:$G)</f>
        <v>0</v>
      </c>
      <c r="I13" s="1347">
        <f>SUMIF('Dettaglio Spese Generiche CC'!$E:$E,"AGOSTO 2029",'Dettaglio Spese Generiche CC'!$G:$G)</f>
        <v>0</v>
      </c>
      <c r="J13" s="1347">
        <f>SUMIF('Dettaglio Spese Generiche CC'!$E:$E,"SETTEMBRE 2029",'Dettaglio Spese Generiche CC'!$G:$G)</f>
        <v>0</v>
      </c>
      <c r="K13" s="1347">
        <f>SUMIF('Dettaglio Spese Generiche CC'!$E:$E,"OTTOBRE 2029",'Dettaglio Spese Generiche CC'!$G:$G)</f>
        <v>0</v>
      </c>
      <c r="L13" s="1347">
        <f>SUMIF('Dettaglio Spese Generiche CC'!$E:$E,"NOVEMBRE 2029",'Dettaglio Spese Generiche CC'!$G:$G)</f>
        <v>0</v>
      </c>
      <c r="M13" s="1347">
        <f>SUMIF('Dettaglio Spese Generiche CC'!$E:$E,"DICEMBRE 2029",'Dettaglio Spese Generiche CC'!$G:$G)</f>
        <v>0</v>
      </c>
      <c r="N13" s="1347">
        <f t="shared" si="0"/>
        <v>0</v>
      </c>
    </row>
    <row r="14" spans="1:14" x14ac:dyDescent="0.25">
      <c r="A14">
        <v>2030</v>
      </c>
      <c r="B14" s="1347">
        <f>SUMIF('Dettaglio Spese Generiche CC'!$E:$E,"GENNAIO 2030",'Dettaglio Spese Generiche CC'!$G:$G)</f>
        <v>0</v>
      </c>
      <c r="C14" s="1347">
        <f>SUMIF('Dettaglio Spese Generiche CC'!$E:$E,"FEBBRAIO 2030",'Dettaglio Spese Generiche CC'!$G:$G)</f>
        <v>0</v>
      </c>
      <c r="D14" s="1347">
        <f>SUMIF('Dettaglio Spese Generiche CC'!$E:$E,"MARZO 2030",'Dettaglio Spese Generiche CC'!$G:$G)</f>
        <v>0</v>
      </c>
      <c r="E14" s="1347">
        <f>SUMIF('Dettaglio Spese Generiche CC'!$E:$E,"APRILE 2030",'Dettaglio Spese Generiche CC'!$G:$G)</f>
        <v>0</v>
      </c>
      <c r="F14" s="1347">
        <f>SUMIF('Dettaglio Spese Generiche CC'!$E:$E,"MAGGIO 2030",'Dettaglio Spese Generiche CC'!$G:$G)</f>
        <v>0</v>
      </c>
      <c r="G14" s="1347">
        <f>SUMIF('Dettaglio Spese Generiche CC'!$E:$E,"GIUGNO 2030",'Dettaglio Spese Generiche CC'!$G:$G)</f>
        <v>0</v>
      </c>
      <c r="H14" s="1347">
        <f>SUMIF('Dettaglio Spese Generiche CC'!$E:$E,"LUGLIO 2030",'Dettaglio Spese Generiche CC'!$G:$G)</f>
        <v>0</v>
      </c>
      <c r="I14" s="1347">
        <f>SUMIF('Dettaglio Spese Generiche CC'!$E:$E,"AGOSTO 2030",'Dettaglio Spese Generiche CC'!$G:$G)</f>
        <v>0</v>
      </c>
      <c r="J14" s="1347">
        <f>SUMIF('Dettaglio Spese Generiche CC'!$E:$E,"SETTEMBRE 2030",'Dettaglio Spese Generiche CC'!$G:$G)</f>
        <v>0</v>
      </c>
      <c r="K14" s="1347">
        <f>SUMIF('Dettaglio Spese Generiche CC'!$E:$E,"OTTOBRE 2030",'Dettaglio Spese Generiche CC'!$G:$G)</f>
        <v>0</v>
      </c>
      <c r="L14" s="1347">
        <f>SUMIF('Dettaglio Spese Generiche CC'!$E:$E,"NOVEMBRE 2030",'Dettaglio Spese Generiche CC'!$G:$G)</f>
        <v>0</v>
      </c>
      <c r="M14" s="1347">
        <f>SUMIF('Dettaglio Spese Generiche CC'!$E:$E,"DICEMBRE 2030",'Dettaglio Spese Generiche CC'!$G:$G)</f>
        <v>0</v>
      </c>
      <c r="N14" s="1347">
        <f t="shared" si="0"/>
        <v>0</v>
      </c>
    </row>
    <row r="15" spans="1:14" x14ac:dyDescent="0.25">
      <c r="A15">
        <v>2031</v>
      </c>
      <c r="B15" s="1347">
        <f>SUMIF('Dettaglio Spese Generiche CC'!$E:$E,"GENNAIO 2031",'Dettaglio Spese Generiche CC'!$G:$G)</f>
        <v>0</v>
      </c>
      <c r="C15" s="1347">
        <f>SUMIF('Dettaglio Spese Generiche CC'!$E:$E,"FEBBRAIO 2031",'Dettaglio Spese Generiche CC'!$G:$G)</f>
        <v>0</v>
      </c>
      <c r="D15" s="1347">
        <f>SUMIF('Dettaglio Spese Generiche CC'!$E:$E,"MARZO 2031",'Dettaglio Spese Generiche CC'!$G:$G)</f>
        <v>0</v>
      </c>
      <c r="E15" s="1347">
        <f>SUMIF('Dettaglio Spese Generiche CC'!$E:$E,"APRILE 2031",'Dettaglio Spese Generiche CC'!$G:$G)</f>
        <v>0</v>
      </c>
      <c r="F15" s="1347">
        <f>SUMIF('Dettaglio Spese Generiche CC'!$E:$E,"MAGGIO 2031",'Dettaglio Spese Generiche CC'!$G:$G)</f>
        <v>0</v>
      </c>
      <c r="G15" s="1347">
        <f>SUMIF('Dettaglio Spese Generiche CC'!$E:$E,"GIUGNO 2031",'Dettaglio Spese Generiche CC'!$G:$G)</f>
        <v>0</v>
      </c>
      <c r="H15" s="1347">
        <f>SUMIF('Dettaglio Spese Generiche CC'!$E:$E,"LUGLIO 2031",'Dettaglio Spese Generiche CC'!$G:$G)</f>
        <v>0</v>
      </c>
      <c r="I15" s="1347">
        <f>SUMIF('Dettaglio Spese Generiche CC'!$E:$E,"AGOSTO 2031",'Dettaglio Spese Generiche CC'!$G:$G)</f>
        <v>0</v>
      </c>
      <c r="J15" s="1347">
        <f>SUMIF('Dettaglio Spese Generiche CC'!$E:$E,"SETTEMBRE 2031",'Dettaglio Spese Generiche CC'!$G:$G)</f>
        <v>0</v>
      </c>
      <c r="K15" s="1347">
        <f>SUMIF('Dettaglio Spese Generiche CC'!$E:$E,"OTTOBRE 2031",'Dettaglio Spese Generiche CC'!$G:$G)</f>
        <v>0</v>
      </c>
      <c r="L15" s="1347">
        <f>SUMIF('Dettaglio Spese Generiche CC'!$E:$E,"NOVEMBRE 2031",'Dettaglio Spese Generiche CC'!$G:$G)</f>
        <v>0</v>
      </c>
      <c r="M15" s="1347">
        <f>SUMIF('Dettaglio Spese Generiche CC'!$E:$E,"DICEMBRE 2031",'Dettaglio Spese Generiche CC'!$G:$G)</f>
        <v>0</v>
      </c>
      <c r="N15" s="1347">
        <f t="shared" si="0"/>
        <v>0</v>
      </c>
    </row>
    <row r="16" spans="1:14" x14ac:dyDescent="0.25">
      <c r="A16">
        <v>2032</v>
      </c>
      <c r="B16" s="1347">
        <f>SUMIF('Dettaglio Spese Generiche CC'!$E:$E,"GENNAIO 2032",'Dettaglio Spese Generiche CC'!$G:$G)</f>
        <v>0</v>
      </c>
      <c r="C16" s="1347">
        <f>SUMIF('Dettaglio Spese Generiche CC'!$E:$E,"FEBBRAIO 2032",'Dettaglio Spese Generiche CC'!$G:$G)</f>
        <v>0</v>
      </c>
      <c r="D16" s="1347">
        <f>SUMIF('Dettaglio Spese Generiche CC'!$E:$E,"MARZO 2032",'Dettaglio Spese Generiche CC'!$G:$G)</f>
        <v>0</v>
      </c>
      <c r="E16" s="1347">
        <f>SUMIF('Dettaglio Spese Generiche CC'!$E:$E,"APRILE 2032",'Dettaglio Spese Generiche CC'!$G:$G)</f>
        <v>0</v>
      </c>
      <c r="F16" s="1347">
        <f>SUMIF('Dettaglio Spese Generiche CC'!$E:$E,"MAGGIO 2032",'Dettaglio Spese Generiche CC'!$G:$G)</f>
        <v>0</v>
      </c>
      <c r="G16" s="1347">
        <f>SUMIF('Dettaglio Spese Generiche CC'!$E:$E,"GIUGNO 2032",'Dettaglio Spese Generiche CC'!$G:$G)</f>
        <v>0</v>
      </c>
      <c r="H16" s="1347">
        <f>SUMIF('Dettaglio Spese Generiche CC'!$E:$E,"LUGLIO 2032",'Dettaglio Spese Generiche CC'!$G:$G)</f>
        <v>0</v>
      </c>
      <c r="I16" s="1347">
        <f>SUMIF('Dettaglio Spese Generiche CC'!$E:$E,"AGOSTO 2032",'Dettaglio Spese Generiche CC'!$G:$G)</f>
        <v>0</v>
      </c>
      <c r="J16" s="1347">
        <f>SUMIF('Dettaglio Spese Generiche CC'!$E:$E,"SETTEMBRE 2032",'Dettaglio Spese Generiche CC'!$G:$G)</f>
        <v>0</v>
      </c>
      <c r="K16" s="1347">
        <f>SUMIF('Dettaglio Spese Generiche CC'!$E:$E,"OTTOBRE 2032",'Dettaglio Spese Generiche CC'!$G:$G)</f>
        <v>0</v>
      </c>
      <c r="L16" s="1347">
        <f>SUMIF('Dettaglio Spese Generiche CC'!$E:$E,"NOVEMBRE 2032",'Dettaglio Spese Generiche CC'!$G:$G)</f>
        <v>0</v>
      </c>
      <c r="M16" s="1347">
        <f>SUMIF('Dettaglio Spese Generiche CC'!$E:$E,"DICEMBRE 2032",'Dettaglio Spese Generiche CC'!$G:$G)</f>
        <v>0</v>
      </c>
      <c r="N16" s="1347">
        <f t="shared" si="0"/>
        <v>0</v>
      </c>
    </row>
    <row r="17" spans="1:14" x14ac:dyDescent="0.25">
      <c r="A17">
        <v>2033</v>
      </c>
      <c r="B17" s="1347">
        <f>SUMIF('Dettaglio Spese Generiche CC'!$E:$E,"GENNAIO 2033",'Dettaglio Spese Generiche CC'!$G:$G)</f>
        <v>0</v>
      </c>
      <c r="C17" s="1347">
        <f>SUMIF('Dettaglio Spese Generiche CC'!$E:$E,"FEBBRAIO 2033",'Dettaglio Spese Generiche CC'!$G:$G)</f>
        <v>0</v>
      </c>
      <c r="D17" s="1347">
        <f>SUMIF('Dettaglio Spese Generiche CC'!$E:$E,"MARZO 2033",'Dettaglio Spese Generiche CC'!$G:$G)</f>
        <v>0</v>
      </c>
      <c r="E17" s="1347">
        <f>SUMIF('Dettaglio Spese Generiche CC'!$E:$E,"APRILE 2033",'Dettaglio Spese Generiche CC'!$G:$G)</f>
        <v>0</v>
      </c>
      <c r="F17" s="1347">
        <f>SUMIF('Dettaglio Spese Generiche CC'!$E:$E,"MAGGIO 2033",'Dettaglio Spese Generiche CC'!$G:$G)</f>
        <v>0</v>
      </c>
      <c r="G17" s="1347">
        <f>SUMIF('Dettaglio Spese Generiche CC'!$E:$E,"GIUGNO 2033",'Dettaglio Spese Generiche CC'!$G:$G)</f>
        <v>0</v>
      </c>
      <c r="H17" s="1347">
        <f>SUMIF('Dettaglio Spese Generiche CC'!$E:$E,"LUGLIO 2033",'Dettaglio Spese Generiche CC'!$G:$G)</f>
        <v>0</v>
      </c>
      <c r="I17" s="1347">
        <f>SUMIF('Dettaglio Spese Generiche CC'!$E:$E,"AGOSTO 2033",'Dettaglio Spese Generiche CC'!$G:$G)</f>
        <v>0</v>
      </c>
      <c r="J17" s="1347">
        <f>SUMIF('Dettaglio Spese Generiche CC'!$E:$E,"SETTEMBRE 2033",'Dettaglio Spese Generiche CC'!$G:$G)</f>
        <v>0</v>
      </c>
      <c r="K17" s="1347">
        <f>SUMIF('Dettaglio Spese Generiche CC'!$E:$E,"OTTOBRE 2033",'Dettaglio Spese Generiche CC'!$G:$G)</f>
        <v>0</v>
      </c>
      <c r="L17" s="1347">
        <f>SUMIF('Dettaglio Spese Generiche CC'!$E:$E,"NOVEMBRE 2033",'Dettaglio Spese Generiche CC'!$G:$G)</f>
        <v>0</v>
      </c>
      <c r="M17" s="1347">
        <f>SUMIF('Dettaglio Spese Generiche CC'!$E:$E,"DICEMBRE 2033",'Dettaglio Spese Generiche CC'!$G:$G)</f>
        <v>0</v>
      </c>
      <c r="N17" s="1347">
        <f t="shared" si="0"/>
        <v>0</v>
      </c>
    </row>
    <row r="18" spans="1:14" x14ac:dyDescent="0.25">
      <c r="A18">
        <v>2034</v>
      </c>
      <c r="B18" s="1347">
        <f>SUMIF('Dettaglio Spese Generiche CC'!$E:$E,"GENNAIO 2034",'Dettaglio Spese Generiche CC'!$G:$G)</f>
        <v>0</v>
      </c>
      <c r="C18" s="1347">
        <f>SUMIF('Dettaglio Spese Generiche CC'!$E:$E,"FEBBRAIO 2034",'Dettaglio Spese Generiche CC'!$G:$G)</f>
        <v>0</v>
      </c>
      <c r="D18" s="1347">
        <f>SUMIF('Dettaglio Spese Generiche CC'!$E:$E,"MARZO 2034",'Dettaglio Spese Generiche CC'!$G:$G)</f>
        <v>0</v>
      </c>
      <c r="E18" s="1347">
        <f>SUMIF('Dettaglio Spese Generiche CC'!$E:$E,"APRILE 2034",'Dettaglio Spese Generiche CC'!$G:$G)</f>
        <v>0</v>
      </c>
      <c r="F18" s="1347">
        <f>SUMIF('Dettaglio Spese Generiche CC'!$E:$E,"MAGGIO 2034",'Dettaglio Spese Generiche CC'!$G:$G)</f>
        <v>0</v>
      </c>
      <c r="G18" s="1347">
        <f>SUMIF('Dettaglio Spese Generiche CC'!$E:$E,"GIUGNO 2034",'Dettaglio Spese Generiche CC'!$G:$G)</f>
        <v>0</v>
      </c>
      <c r="H18" s="1347">
        <f>SUMIF('Dettaglio Spese Generiche CC'!$E:$E,"LUGLIO 2034",'Dettaglio Spese Generiche CC'!$G:$G)</f>
        <v>0</v>
      </c>
      <c r="I18" s="1347">
        <f>SUMIF('Dettaglio Spese Generiche CC'!$E:$E,"AGOSTO 2034",'Dettaglio Spese Generiche CC'!$G:$G)</f>
        <v>0</v>
      </c>
      <c r="J18" s="1347">
        <f>SUMIF('Dettaglio Spese Generiche CC'!$E:$E,"SETTEMBRE 2034",'Dettaglio Spese Generiche CC'!$G:$G)</f>
        <v>0</v>
      </c>
      <c r="K18" s="1347">
        <f>SUMIF('Dettaglio Spese Generiche CC'!$E:$E,"OTTOBRE 2034",'Dettaglio Spese Generiche CC'!$G:$G)</f>
        <v>0</v>
      </c>
      <c r="L18" s="1347">
        <f>SUMIF('Dettaglio Spese Generiche CC'!$E:$E,"NOVEMBRE 2034",'Dettaglio Spese Generiche CC'!$G:$G)</f>
        <v>0</v>
      </c>
      <c r="M18" s="1347">
        <f>SUMIF('Dettaglio Spese Generiche CC'!$E:$E,"DICEMBRE 2034",'Dettaglio Spese Generiche CC'!$G:$G)</f>
        <v>0</v>
      </c>
      <c r="N18" s="1347">
        <f t="shared" si="0"/>
        <v>0</v>
      </c>
    </row>
    <row r="19" spans="1:14" x14ac:dyDescent="0.25">
      <c r="A19">
        <v>2035</v>
      </c>
      <c r="B19" s="1347">
        <f>SUMIF('Dettaglio Spese Generiche CC'!$E:$E,"GENNAIO 2035",'Dettaglio Spese Generiche CC'!$G:$G)</f>
        <v>0</v>
      </c>
      <c r="C19" s="1347">
        <f>SUMIF('Dettaglio Spese Generiche CC'!$E:$E,"FEBBRAIO 2035",'Dettaglio Spese Generiche CC'!$G:$G)</f>
        <v>0</v>
      </c>
      <c r="D19" s="1347">
        <f>SUMIF('Dettaglio Spese Generiche CC'!$E:$E,"MARZO 2035",'Dettaglio Spese Generiche CC'!$G:$G)</f>
        <v>0</v>
      </c>
      <c r="E19" s="1347">
        <f>SUMIF('Dettaglio Spese Generiche CC'!$E:$E,"APRILE 2035",'Dettaglio Spese Generiche CC'!$G:$G)</f>
        <v>0</v>
      </c>
      <c r="F19" s="1347">
        <f>SUMIF('Dettaglio Spese Generiche CC'!$E:$E,"MAGGIO 2035",'Dettaglio Spese Generiche CC'!$G:$G)</f>
        <v>0</v>
      </c>
      <c r="G19" s="1347">
        <f>SUMIF('Dettaglio Spese Generiche CC'!$E:$E,"GIUGNO 2035",'Dettaglio Spese Generiche CC'!$G:$G)</f>
        <v>0</v>
      </c>
      <c r="H19" s="1347">
        <f>SUMIF('Dettaglio Spese Generiche CC'!$E:$E,"LUGLIO 2035",'Dettaglio Spese Generiche CC'!$G:$G)</f>
        <v>0</v>
      </c>
      <c r="I19" s="1347">
        <f>SUMIF('Dettaglio Spese Generiche CC'!$E:$E,"AGOSTO 2035",'Dettaglio Spese Generiche CC'!$G:$G)</f>
        <v>0</v>
      </c>
      <c r="J19" s="1347">
        <f>SUMIF('Dettaglio Spese Generiche CC'!$E:$E,"SETTEMBRE 2035",'Dettaglio Spese Generiche CC'!$G:$G)</f>
        <v>0</v>
      </c>
      <c r="K19" s="1347">
        <f>SUMIF('Dettaglio Spese Generiche CC'!$E:$E,"OTTOBRE 2035",'Dettaglio Spese Generiche CC'!$G:$G)</f>
        <v>0</v>
      </c>
      <c r="L19" s="1347">
        <f>SUMIF('Dettaglio Spese Generiche CC'!$E:$E,"NOVEMBRE 2035",'Dettaglio Spese Generiche CC'!$G:$G)</f>
        <v>0</v>
      </c>
      <c r="M19" s="1347">
        <f>SUMIF('Dettaglio Spese Generiche CC'!$E:$E,"DICEMBRE 2035",'Dettaglio Spese Generiche CC'!$G:$G)</f>
        <v>0</v>
      </c>
      <c r="N19" s="1347">
        <f t="shared" si="0"/>
        <v>0</v>
      </c>
    </row>
    <row r="20" spans="1:14" x14ac:dyDescent="0.25">
      <c r="A20">
        <v>2036</v>
      </c>
      <c r="B20" s="1347">
        <f>SUMIF('Dettaglio Spese Generiche CC'!$E:$E,"GENNAIO 2036",'Dettaglio Spese Generiche CC'!$G:$G)</f>
        <v>0</v>
      </c>
      <c r="C20" s="1347">
        <f>SUMIF('Dettaglio Spese Generiche CC'!$E:$E,"FEBBRAIO 2036",'Dettaglio Spese Generiche CC'!$G:$G)</f>
        <v>0</v>
      </c>
      <c r="D20" s="1347">
        <f>SUMIF('Dettaglio Spese Generiche CC'!$E:$E,"MARZO 2036",'Dettaglio Spese Generiche CC'!$G:$G)</f>
        <v>0</v>
      </c>
      <c r="E20" s="1347">
        <f>SUMIF('Dettaglio Spese Generiche CC'!$E:$E,"APRILE 2036",'Dettaglio Spese Generiche CC'!$G:$G)</f>
        <v>0</v>
      </c>
      <c r="F20" s="1347">
        <f>SUMIF('Dettaglio Spese Generiche CC'!$E:$E,"MAGGIO 2036",'Dettaglio Spese Generiche CC'!$G:$G)</f>
        <v>0</v>
      </c>
      <c r="G20" s="1347">
        <f>SUMIF('Dettaglio Spese Generiche CC'!$E:$E,"GIUGNO 2036",'Dettaglio Spese Generiche CC'!$G:$G)</f>
        <v>0</v>
      </c>
      <c r="H20" s="1347">
        <f>SUMIF('Dettaglio Spese Generiche CC'!$E:$E,"LUGLIO 2036",'Dettaglio Spese Generiche CC'!$G:$G)</f>
        <v>0</v>
      </c>
      <c r="I20" s="1347">
        <f>SUMIF('Dettaglio Spese Generiche CC'!$E:$E,"AGOSTO 2036",'Dettaglio Spese Generiche CC'!$G:$G)</f>
        <v>0</v>
      </c>
      <c r="J20" s="1347">
        <f>SUMIF('Dettaglio Spese Generiche CC'!$E:$E,"SETTEMBRE 2036",'Dettaglio Spese Generiche CC'!$G:$G)</f>
        <v>0</v>
      </c>
      <c r="K20" s="1347">
        <f>SUMIF('Dettaglio Spese Generiche CC'!$E:$E,"OTTOBRE 2036",'Dettaglio Spese Generiche CC'!$G:$G)</f>
        <v>0</v>
      </c>
      <c r="L20" s="1347">
        <f>SUMIF('Dettaglio Spese Generiche CC'!$E:$E,"NOVEMBRE 2036",'Dettaglio Spese Generiche CC'!$G:$G)</f>
        <v>0</v>
      </c>
      <c r="M20" s="1347">
        <f>SUMIF('Dettaglio Spese Generiche CC'!$E:$E,"DICEMBRE 2036",'Dettaglio Spese Generiche CC'!$G:$G)</f>
        <v>0</v>
      </c>
      <c r="N20" s="1347">
        <f t="shared" si="0"/>
        <v>0</v>
      </c>
    </row>
    <row r="21" spans="1:14" x14ac:dyDescent="0.25">
      <c r="A21">
        <v>2037</v>
      </c>
      <c r="B21" s="1347">
        <f>SUMIF('Dettaglio Spese Generiche CC'!$E:$E,"GENNAIO 2037",'Dettaglio Spese Generiche CC'!$G:$G)</f>
        <v>0</v>
      </c>
      <c r="C21" s="1347">
        <f>SUMIF('Dettaglio Spese Generiche CC'!$E:$E,"FEBBRAIO 2037",'Dettaglio Spese Generiche CC'!$G:$G)</f>
        <v>0</v>
      </c>
      <c r="D21" s="1347">
        <f>SUMIF('Dettaglio Spese Generiche CC'!$E:$E,"MARZO 2037",'Dettaglio Spese Generiche CC'!$G:$G)</f>
        <v>0</v>
      </c>
      <c r="E21" s="1347">
        <f>SUMIF('Dettaglio Spese Generiche CC'!$E:$E,"APRILE 2037",'Dettaglio Spese Generiche CC'!$G:$G)</f>
        <v>0</v>
      </c>
      <c r="F21" s="1347">
        <f>SUMIF('Dettaglio Spese Generiche CC'!$E:$E,"MAGGIO 2037",'Dettaglio Spese Generiche CC'!$G:$G)</f>
        <v>0</v>
      </c>
      <c r="G21" s="1347">
        <f>SUMIF('Dettaglio Spese Generiche CC'!$E:$E,"GIUGNO 2037",'Dettaglio Spese Generiche CC'!$G:$G)</f>
        <v>0</v>
      </c>
      <c r="H21" s="1347">
        <f>SUMIF('Dettaglio Spese Generiche CC'!$E:$E,"LUGLIO 2037",'Dettaglio Spese Generiche CC'!$G:$G)</f>
        <v>0</v>
      </c>
      <c r="I21" s="1347">
        <f>SUMIF('Dettaglio Spese Generiche CC'!$E:$E,"AGOSTO 2037",'Dettaglio Spese Generiche CC'!$G:$G)</f>
        <v>0</v>
      </c>
      <c r="J21" s="1347">
        <f>SUMIF('Dettaglio Spese Generiche CC'!$E:$E,"SETTEMBRE 2037",'Dettaglio Spese Generiche CC'!$G:$G)</f>
        <v>0</v>
      </c>
      <c r="K21" s="1347">
        <f>SUMIF('Dettaglio Spese Generiche CC'!$E:$E,"OTTOBRE 2037",'Dettaglio Spese Generiche CC'!$G:$G)</f>
        <v>0</v>
      </c>
      <c r="L21" s="1347">
        <f>SUMIF('Dettaglio Spese Generiche CC'!$E:$E,"NOVEMBRE 2037",'Dettaglio Spese Generiche CC'!$G:$G)</f>
        <v>0</v>
      </c>
      <c r="M21" s="1347">
        <f>SUMIF('Dettaglio Spese Generiche CC'!$E:$E,"DICEMBRE 2037",'Dettaglio Spese Generiche CC'!$G:$G)</f>
        <v>0</v>
      </c>
      <c r="N21" s="1347">
        <f t="shared" si="0"/>
        <v>0</v>
      </c>
    </row>
    <row r="22" spans="1:14" x14ac:dyDescent="0.25">
      <c r="A22">
        <v>2038</v>
      </c>
      <c r="B22" s="1347">
        <f>SUMIF('Dettaglio Spese Generiche CC'!$E:$E,"GENNAIO 2038",'Dettaglio Spese Generiche CC'!$G:$G)</f>
        <v>0</v>
      </c>
      <c r="C22" s="1347">
        <f>SUMIF('Dettaglio Spese Generiche CC'!$E:$E,"FEBBRAIO 2038",'Dettaglio Spese Generiche CC'!$G:$G)</f>
        <v>0</v>
      </c>
      <c r="D22" s="1347">
        <f>SUMIF('Dettaglio Spese Generiche CC'!$E:$E,"MARZO 2038",'Dettaglio Spese Generiche CC'!$G:$G)</f>
        <v>0</v>
      </c>
      <c r="E22" s="1347">
        <f>SUMIF('Dettaglio Spese Generiche CC'!$E:$E,"APRILE 2038",'Dettaglio Spese Generiche CC'!$G:$G)</f>
        <v>0</v>
      </c>
      <c r="F22" s="1347">
        <f>SUMIF('Dettaglio Spese Generiche CC'!$E:$E,"MAGGIO 2038",'Dettaglio Spese Generiche CC'!$G:$G)</f>
        <v>0</v>
      </c>
      <c r="G22" s="1347">
        <f>SUMIF('Dettaglio Spese Generiche CC'!$E:$E,"GIUGNO 2038",'Dettaglio Spese Generiche CC'!$G:$G)</f>
        <v>0</v>
      </c>
      <c r="H22" s="1347">
        <f>SUMIF('Dettaglio Spese Generiche CC'!$E:$E,"LUGLIO 2038",'Dettaglio Spese Generiche CC'!$G:$G)</f>
        <v>0</v>
      </c>
      <c r="I22" s="1347">
        <f>SUMIF('Dettaglio Spese Generiche CC'!$E:$E,"AGOSTO 2038",'Dettaglio Spese Generiche CC'!$G:$G)</f>
        <v>0</v>
      </c>
      <c r="J22" s="1347">
        <f>SUMIF('Dettaglio Spese Generiche CC'!$E:$E,"SETTEMBRE 2038",'Dettaglio Spese Generiche CC'!$G:$G)</f>
        <v>0</v>
      </c>
      <c r="K22" s="1347">
        <f>SUMIF('Dettaglio Spese Generiche CC'!$E:$E,"OTTOBRE 2038",'Dettaglio Spese Generiche CC'!$G:$G)</f>
        <v>0</v>
      </c>
      <c r="L22" s="1347">
        <f>SUMIF('Dettaglio Spese Generiche CC'!$E:$E,"NOVEMBRE 2038",'Dettaglio Spese Generiche CC'!$G:$G)</f>
        <v>0</v>
      </c>
      <c r="M22" s="1347">
        <f>SUMIF('Dettaglio Spese Generiche CC'!$E:$E,"DICEMBRE 2038",'Dettaglio Spese Generiche CC'!$G:$G)</f>
        <v>0</v>
      </c>
      <c r="N22" s="1347">
        <f t="shared" si="0"/>
        <v>0</v>
      </c>
    </row>
    <row r="23" spans="1:14" x14ac:dyDescent="0.25">
      <c r="A23">
        <v>2039</v>
      </c>
      <c r="B23" s="1347">
        <f>SUMIF('Dettaglio Spese Generiche CC'!$E:$E,"GENNAIO 2039",'Dettaglio Spese Generiche CC'!$G:$G)</f>
        <v>0</v>
      </c>
      <c r="C23" s="1347">
        <f>SUMIF('Dettaglio Spese Generiche CC'!$E:$E,"FEBBRAIO 2039",'Dettaglio Spese Generiche CC'!$G:$G)</f>
        <v>0</v>
      </c>
      <c r="D23" s="1347">
        <f>SUMIF('Dettaglio Spese Generiche CC'!$E:$E,"MARZO 2039",'Dettaglio Spese Generiche CC'!$G:$G)</f>
        <v>0</v>
      </c>
      <c r="E23" s="1347">
        <f>SUMIF('Dettaglio Spese Generiche CC'!$E:$E,"APRILE 2039",'Dettaglio Spese Generiche CC'!$G:$G)</f>
        <v>0</v>
      </c>
      <c r="F23" s="1347">
        <f>SUMIF('Dettaglio Spese Generiche CC'!$E:$E,"MAGGIO 2039",'Dettaglio Spese Generiche CC'!$G:$G)</f>
        <v>0</v>
      </c>
      <c r="G23" s="1347">
        <f>SUMIF('Dettaglio Spese Generiche CC'!$E:$E,"GIUGNO 2039",'Dettaglio Spese Generiche CC'!$G:$G)</f>
        <v>0</v>
      </c>
      <c r="H23" s="1347">
        <f>SUMIF('Dettaglio Spese Generiche CC'!$E:$E,"LUGLIO 2039",'Dettaglio Spese Generiche CC'!$G:$G)</f>
        <v>0</v>
      </c>
      <c r="I23" s="1347">
        <f>SUMIF('Dettaglio Spese Generiche CC'!$E:$E,"AGOSTO 2039",'Dettaglio Spese Generiche CC'!$G:$G)</f>
        <v>0</v>
      </c>
      <c r="J23" s="1347">
        <f>SUMIF('Dettaglio Spese Generiche CC'!$E:$E,"SETTEMBRE 2039",'Dettaglio Spese Generiche CC'!$G:$G)</f>
        <v>0</v>
      </c>
      <c r="K23" s="1347">
        <f>SUMIF('Dettaglio Spese Generiche CC'!$E:$E,"OTTOBRE 2039",'Dettaglio Spese Generiche CC'!$G:$G)</f>
        <v>0</v>
      </c>
      <c r="L23" s="1347">
        <f>SUMIF('Dettaglio Spese Generiche CC'!$E:$E,"NOVEMBRE 2039",'Dettaglio Spese Generiche CC'!$G:$G)</f>
        <v>0</v>
      </c>
      <c r="M23" s="1347">
        <f>SUMIF('Dettaglio Spese Generiche CC'!$E:$E,"DICEMBRE 2039",'Dettaglio Spese Generiche CC'!$G:$G)</f>
        <v>0</v>
      </c>
      <c r="N23" s="1347">
        <f t="shared" si="0"/>
        <v>0</v>
      </c>
    </row>
    <row r="24" spans="1:14" x14ac:dyDescent="0.25">
      <c r="A24">
        <v>2040</v>
      </c>
      <c r="B24" s="1347">
        <f>SUMIF('Dettaglio Spese Generiche CC'!$E:$E,"GENNAIO 2040",'Dettaglio Spese Generiche CC'!$G:$G)</f>
        <v>0</v>
      </c>
      <c r="C24" s="1347">
        <f>SUMIF('Dettaglio Spese Generiche CC'!$E:$E,"FEBBRAIO 2040",'Dettaglio Spese Generiche CC'!$G:$G)</f>
        <v>0</v>
      </c>
      <c r="D24" s="1347">
        <f>SUMIF('Dettaglio Spese Generiche CC'!$E:$E,"MARZO 2040",'Dettaglio Spese Generiche CC'!$G:$G)</f>
        <v>0</v>
      </c>
      <c r="E24" s="1347">
        <f>SUMIF('Dettaglio Spese Generiche CC'!$E:$E,"APRILE 2040",'Dettaglio Spese Generiche CC'!$G:$G)</f>
        <v>0</v>
      </c>
      <c r="F24" s="1347">
        <f>SUMIF('Dettaglio Spese Generiche CC'!$E:$E,"MAGGIO 2040",'Dettaglio Spese Generiche CC'!$G:$G)</f>
        <v>0</v>
      </c>
      <c r="G24" s="1347">
        <f>SUMIF('Dettaglio Spese Generiche CC'!$E:$E,"GIUGNO 2040",'Dettaglio Spese Generiche CC'!$G:$G)</f>
        <v>0</v>
      </c>
      <c r="H24" s="1347">
        <f>SUMIF('Dettaglio Spese Generiche CC'!$E:$E,"LUGLIO 2040",'Dettaglio Spese Generiche CC'!$G:$G)</f>
        <v>0</v>
      </c>
      <c r="I24" s="1347">
        <f>SUMIF('Dettaglio Spese Generiche CC'!$E:$E,"AGOSTO 2040",'Dettaglio Spese Generiche CC'!$G:$G)</f>
        <v>0</v>
      </c>
      <c r="J24" s="1347">
        <f>SUMIF('Dettaglio Spese Generiche CC'!$E:$E,"SETTEMBRE 2040",'Dettaglio Spese Generiche CC'!$G:$G)</f>
        <v>0</v>
      </c>
      <c r="K24" s="1347">
        <f>SUMIF('Dettaglio Spese Generiche CC'!$E:$E,"OTTOBRE 2040",'Dettaglio Spese Generiche CC'!$G:$G)</f>
        <v>0</v>
      </c>
      <c r="L24" s="1347">
        <f>SUMIF('Dettaglio Spese Generiche CC'!$E:$E,"NOVEMBRE 2040",'Dettaglio Spese Generiche CC'!$G:$G)</f>
        <v>0</v>
      </c>
      <c r="M24" s="1347">
        <f>SUMIF('Dettaglio Spese Generiche CC'!$E:$E,"DICEMBRE 2040",'Dettaglio Spese Generiche CC'!$G:$G)</f>
        <v>0</v>
      </c>
      <c r="N24" s="1347">
        <f t="shared" si="0"/>
        <v>0</v>
      </c>
    </row>
    <row r="25" spans="1:14" x14ac:dyDescent="0.25">
      <c r="A25">
        <v>2041</v>
      </c>
      <c r="B25" s="1347">
        <f>SUMIF('Dettaglio Spese Generiche CC'!$E:$E,"GENNAIO 2041",'Dettaglio Spese Generiche CC'!$G:$G)</f>
        <v>0</v>
      </c>
      <c r="C25" s="1347">
        <f>SUMIF('Dettaglio Spese Generiche CC'!$E:$E,"FEBBRAIO 2041",'Dettaglio Spese Generiche CC'!$G:$G)</f>
        <v>0</v>
      </c>
      <c r="D25" s="1347">
        <f>SUMIF('Dettaglio Spese Generiche CC'!$E:$E,"MARZO 2041",'Dettaglio Spese Generiche CC'!$G:$G)</f>
        <v>0</v>
      </c>
      <c r="E25" s="1347">
        <f>SUMIF('Dettaglio Spese Generiche CC'!$E:$E,"APRILE 2041",'Dettaglio Spese Generiche CC'!$G:$G)</f>
        <v>0</v>
      </c>
      <c r="F25" s="1347">
        <f>SUMIF('Dettaglio Spese Generiche CC'!$E:$E,"MAGGIO 2041",'Dettaglio Spese Generiche CC'!$G:$G)</f>
        <v>0</v>
      </c>
      <c r="G25" s="1347">
        <f>SUMIF('Dettaglio Spese Generiche CC'!$E:$E,"GIUGNO 2041",'Dettaglio Spese Generiche CC'!$G:$G)</f>
        <v>0</v>
      </c>
      <c r="H25" s="1347">
        <f>SUMIF('Dettaglio Spese Generiche CC'!$E:$E,"LUGLIO 2041",'Dettaglio Spese Generiche CC'!$G:$G)</f>
        <v>0</v>
      </c>
      <c r="I25" s="1347">
        <f>SUMIF('Dettaglio Spese Generiche CC'!$E:$E,"AGOSTO 2041",'Dettaglio Spese Generiche CC'!$G:$G)</f>
        <v>0</v>
      </c>
      <c r="J25" s="1347">
        <f>SUMIF('Dettaglio Spese Generiche CC'!$E:$E,"SETTEMBRE 2041",'Dettaglio Spese Generiche CC'!$G:$G)</f>
        <v>0</v>
      </c>
      <c r="K25" s="1347">
        <f>SUMIF('Dettaglio Spese Generiche CC'!$E:$E,"OTTOBRE 2041",'Dettaglio Spese Generiche CC'!$G:$G)</f>
        <v>0</v>
      </c>
      <c r="L25" s="1347">
        <f>SUMIF('Dettaglio Spese Generiche CC'!$E:$E,"NOVEMBRE 2041",'Dettaglio Spese Generiche CC'!$G:$G)</f>
        <v>0</v>
      </c>
      <c r="M25" s="1347">
        <f>SUMIF('Dettaglio Spese Generiche CC'!$E:$E,"DICEMBRE 2041",'Dettaglio Spese Generiche CC'!$G:$G)</f>
        <v>0</v>
      </c>
      <c r="N25" s="1347">
        <f t="shared" si="0"/>
        <v>0</v>
      </c>
    </row>
    <row r="26" spans="1:14" x14ac:dyDescent="0.25">
      <c r="A26">
        <v>2042</v>
      </c>
      <c r="B26" s="1347">
        <f>SUMIF('Dettaglio Spese Generiche CC'!$E:$E,"GENNAIO 2042",'Dettaglio Spese Generiche CC'!$G:$G)</f>
        <v>0</v>
      </c>
      <c r="C26" s="1347">
        <f>SUMIF('Dettaglio Spese Generiche CC'!$E:$E,"FEBBRAIO 2042",'Dettaglio Spese Generiche CC'!$G:$G)</f>
        <v>0</v>
      </c>
      <c r="D26" s="1347">
        <f>SUMIF('Dettaglio Spese Generiche CC'!$E:$E,"MARZO 2042",'Dettaglio Spese Generiche CC'!$G:$G)</f>
        <v>0</v>
      </c>
      <c r="E26" s="1347">
        <f>SUMIF('Dettaglio Spese Generiche CC'!$E:$E,"APRILE 2042",'Dettaglio Spese Generiche CC'!$G:$G)</f>
        <v>0</v>
      </c>
      <c r="F26" s="1347">
        <f>SUMIF('Dettaglio Spese Generiche CC'!$E:$E,"MAGGIO 2042",'Dettaglio Spese Generiche CC'!$G:$G)</f>
        <v>0</v>
      </c>
      <c r="G26" s="1347">
        <f>SUMIF('Dettaglio Spese Generiche CC'!$E:$E,"GIUGNO 2042",'Dettaglio Spese Generiche CC'!$G:$G)</f>
        <v>0</v>
      </c>
      <c r="H26" s="1347">
        <f>SUMIF('Dettaglio Spese Generiche CC'!$E:$E,"LUGLIO 2042",'Dettaglio Spese Generiche CC'!$G:$G)</f>
        <v>0</v>
      </c>
      <c r="I26" s="1347">
        <f>SUMIF('Dettaglio Spese Generiche CC'!$E:$E,"AGOSTO 2042",'Dettaglio Spese Generiche CC'!$G:$G)</f>
        <v>0</v>
      </c>
      <c r="J26" s="1347">
        <f>SUMIF('Dettaglio Spese Generiche CC'!$E:$E,"SETTEMBRE 2042",'Dettaglio Spese Generiche CC'!$G:$G)</f>
        <v>0</v>
      </c>
      <c r="K26" s="1347">
        <f>SUMIF('Dettaglio Spese Generiche CC'!$E:$E,"OTTOBRE 2042",'Dettaglio Spese Generiche CC'!$G:$G)</f>
        <v>0</v>
      </c>
      <c r="L26" s="1347">
        <f>SUMIF('Dettaglio Spese Generiche CC'!$E:$E,"NOVEMBRE 2042",'Dettaglio Spese Generiche CC'!$G:$G)</f>
        <v>0</v>
      </c>
      <c r="M26" s="1347">
        <f>SUMIF('Dettaglio Spese Generiche CC'!$E:$E,"DICEMBRE 2042",'Dettaglio Spese Generiche CC'!$G:$G)</f>
        <v>0</v>
      </c>
      <c r="N26" s="1347">
        <f t="shared" si="0"/>
        <v>0</v>
      </c>
    </row>
    <row r="27" spans="1:14" x14ac:dyDescent="0.25">
      <c r="A27">
        <v>2043</v>
      </c>
      <c r="B27" s="1347">
        <f>SUMIF('Dettaglio Spese Generiche CC'!$E:$E,"GENNAIO 2043",'Dettaglio Spese Generiche CC'!$G:$G)</f>
        <v>0</v>
      </c>
      <c r="C27" s="1347">
        <f>SUMIF('Dettaglio Spese Generiche CC'!$E:$E,"FEBBRAIO 2043",'Dettaglio Spese Generiche CC'!$G:$G)</f>
        <v>0</v>
      </c>
      <c r="D27" s="1347">
        <f>SUMIF('Dettaglio Spese Generiche CC'!$E:$E,"MARZO 2043",'Dettaglio Spese Generiche CC'!$G:$G)</f>
        <v>0</v>
      </c>
      <c r="E27" s="1347">
        <f>SUMIF('Dettaglio Spese Generiche CC'!$E:$E,"APRILE 2043",'Dettaglio Spese Generiche CC'!$G:$G)</f>
        <v>0</v>
      </c>
      <c r="F27" s="1347">
        <f>SUMIF('Dettaglio Spese Generiche CC'!$E:$E,"MAGGIO 2043",'Dettaglio Spese Generiche CC'!$G:$G)</f>
        <v>0</v>
      </c>
      <c r="G27" s="1347">
        <f>SUMIF('Dettaglio Spese Generiche CC'!$E:$E,"GIUGNO 2043",'Dettaglio Spese Generiche CC'!$G:$G)</f>
        <v>0</v>
      </c>
      <c r="H27" s="1347">
        <f>SUMIF('Dettaglio Spese Generiche CC'!$E:$E,"LUGLIO 2043",'Dettaglio Spese Generiche CC'!$G:$G)</f>
        <v>0</v>
      </c>
      <c r="I27" s="1347">
        <f>SUMIF('Dettaglio Spese Generiche CC'!$E:$E,"AGOSTO 2043",'Dettaglio Spese Generiche CC'!$G:$G)</f>
        <v>0</v>
      </c>
      <c r="J27" s="1347">
        <f>SUMIF('Dettaglio Spese Generiche CC'!$E:$E,"SETTEMBRE 2043",'Dettaglio Spese Generiche CC'!$G:$G)</f>
        <v>0</v>
      </c>
      <c r="K27" s="1347">
        <f>SUMIF('Dettaglio Spese Generiche CC'!$E:$E,"OTTOBRE 2043",'Dettaglio Spese Generiche CC'!$G:$G)</f>
        <v>0</v>
      </c>
      <c r="L27" s="1347">
        <f>SUMIF('Dettaglio Spese Generiche CC'!$E:$E,"NOVEMBRE 2043",'Dettaglio Spese Generiche CC'!$G:$G)</f>
        <v>0</v>
      </c>
      <c r="M27" s="1347">
        <f>SUMIF('Dettaglio Spese Generiche CC'!$E:$E,"DICEMBRE 2043",'Dettaglio Spese Generiche CC'!$G:$G)</f>
        <v>0</v>
      </c>
      <c r="N27" s="1347">
        <f t="shared" si="0"/>
        <v>0</v>
      </c>
    </row>
    <row r="28" spans="1:14" x14ac:dyDescent="0.25">
      <c r="A28">
        <v>2044</v>
      </c>
      <c r="B28" s="1347">
        <f>SUMIF('Dettaglio Spese Generiche CC'!$E:$E,"GENNAIO 2044",'Dettaglio Spese Generiche CC'!$G:$G)</f>
        <v>0</v>
      </c>
      <c r="C28" s="1347">
        <f>SUMIF('Dettaglio Spese Generiche CC'!$E:$E,"FEBBRAIO 2044",'Dettaglio Spese Generiche CC'!$G:$G)</f>
        <v>0</v>
      </c>
      <c r="D28" s="1347">
        <f>SUMIF('Dettaglio Spese Generiche CC'!$E:$E,"MARZO 2044",'Dettaglio Spese Generiche CC'!$G:$G)</f>
        <v>0</v>
      </c>
      <c r="E28" s="1347">
        <f>SUMIF('Dettaglio Spese Generiche CC'!$E:$E,"APRILE 2044",'Dettaglio Spese Generiche CC'!$G:$G)</f>
        <v>0</v>
      </c>
      <c r="F28" s="1347">
        <f>SUMIF('Dettaglio Spese Generiche CC'!$E:$E,"MAGGIO 2044",'Dettaglio Spese Generiche CC'!$G:$G)</f>
        <v>0</v>
      </c>
      <c r="G28" s="1347">
        <f>SUMIF('Dettaglio Spese Generiche CC'!$E:$E,"GIUGNO 2044",'Dettaglio Spese Generiche CC'!$G:$G)</f>
        <v>0</v>
      </c>
      <c r="H28" s="1347">
        <f>SUMIF('Dettaglio Spese Generiche CC'!$E:$E,"LUGLIO 2044",'Dettaglio Spese Generiche CC'!$G:$G)</f>
        <v>0</v>
      </c>
      <c r="I28" s="1347">
        <f>SUMIF('Dettaglio Spese Generiche CC'!$E:$E,"AGOSTO 2044",'Dettaglio Spese Generiche CC'!$G:$G)</f>
        <v>0</v>
      </c>
      <c r="J28" s="1347">
        <f>SUMIF('Dettaglio Spese Generiche CC'!$E:$E,"SETTEMBRE 2044",'Dettaglio Spese Generiche CC'!$G:$G)</f>
        <v>0</v>
      </c>
      <c r="K28" s="1347">
        <f>SUMIF('Dettaglio Spese Generiche CC'!$E:$E,"OTTOBRE 2044",'Dettaglio Spese Generiche CC'!$G:$G)</f>
        <v>0</v>
      </c>
      <c r="L28" s="1347">
        <f>SUMIF('Dettaglio Spese Generiche CC'!$E:$E,"NOVEMBRE 2044",'Dettaglio Spese Generiche CC'!$G:$G)</f>
        <v>0</v>
      </c>
      <c r="M28" s="1347">
        <f>SUMIF('Dettaglio Spese Generiche CC'!$E:$E,"DICEMBRE 2044",'Dettaglio Spese Generiche CC'!$G:$G)</f>
        <v>0</v>
      </c>
      <c r="N28" s="1347">
        <f t="shared" si="0"/>
        <v>0</v>
      </c>
    </row>
    <row r="29" spans="1:14" x14ac:dyDescent="0.25">
      <c r="A29" s="1352" t="s">
        <v>397</v>
      </c>
      <c r="B29" s="1353">
        <f t="shared" ref="B29:N29" si="1">SUM(B3:B28)</f>
        <v>4180.6499999999996</v>
      </c>
      <c r="C29" s="1353">
        <f t="shared" si="1"/>
        <v>5298.2379999999994</v>
      </c>
      <c r="D29" s="1353">
        <f t="shared" si="1"/>
        <v>4782.1880000000001</v>
      </c>
      <c r="E29" s="1353">
        <f t="shared" si="1"/>
        <v>4536.49</v>
      </c>
      <c r="F29" s="1353">
        <f t="shared" si="1"/>
        <v>3836.34</v>
      </c>
      <c r="G29" s="1353">
        <f t="shared" si="1"/>
        <v>3978.5200000000004</v>
      </c>
      <c r="H29" s="1353">
        <f t="shared" si="1"/>
        <v>5977.5780000000013</v>
      </c>
      <c r="I29" s="1353">
        <f t="shared" si="1"/>
        <v>8776.6</v>
      </c>
      <c r="J29" s="1353">
        <f t="shared" si="1"/>
        <v>3435.66</v>
      </c>
      <c r="K29" s="1353">
        <f t="shared" si="1"/>
        <v>4192.4400000000005</v>
      </c>
      <c r="L29" s="1353">
        <f t="shared" si="1"/>
        <v>5316.6299999999992</v>
      </c>
      <c r="M29" s="1353">
        <f t="shared" si="1"/>
        <v>7416.85</v>
      </c>
      <c r="N29" s="1353">
        <f t="shared" si="1"/>
        <v>61728.183999999994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 x14ac:dyDescent="0.2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 x14ac:dyDescent="0.3">
      <c r="A1" s="1351" t="s">
        <v>1211</v>
      </c>
    </row>
    <row r="3" spans="1:9" x14ac:dyDescent="0.25">
      <c r="A3" s="1344"/>
      <c r="B3" s="1344">
        <v>2020</v>
      </c>
      <c r="C3" s="1344">
        <v>2021</v>
      </c>
      <c r="D3" s="1344">
        <v>2022</v>
      </c>
      <c r="E3" s="1344">
        <v>2023</v>
      </c>
      <c r="F3" s="1344">
        <v>2024</v>
      </c>
      <c r="G3" s="1344">
        <v>2025</v>
      </c>
      <c r="H3" s="1344">
        <v>2026</v>
      </c>
      <c r="I3" s="1344" t="s">
        <v>397</v>
      </c>
    </row>
    <row r="4" spans="1:9" x14ac:dyDescent="0.25">
      <c r="A4" s="1343" t="s">
        <v>183</v>
      </c>
      <c r="B4" s="1347">
        <f>SUMIF('SPESE COINTESTATO'!$F:$F,CONCATENATE($A4," ",B$3),'SPESE COINTESTATO'!$H:$H)*(-1)</f>
        <v>0</v>
      </c>
      <c r="C4" s="1347">
        <f>SUMIF('SPESE COINTESTATO'!$F:$F,CONCATENATE($A4," ",C$3),'SPESE COINTESTATO'!$H:$H)*(-1)</f>
        <v>122.02999999999997</v>
      </c>
      <c r="D4" s="1347">
        <f>SUMIF('SPESE COINTESTATO'!$F:$F,CONCATENATE($A4," ",D$3),'SPESE COINTESTATO'!$H:$H)*(-1)</f>
        <v>-51.809999999999981</v>
      </c>
      <c r="E4" s="1347">
        <f>SUMIF('SPESE COINTESTATO'!$F:$F,CONCATENATE($A4," ",E$3),'SPESE COINTESTATO'!$H:$H)*(-1)</f>
        <v>-48.389999999999986</v>
      </c>
      <c r="F4" s="1347">
        <f>SUMIF('SPESE COINTESTATO'!$F:$F,CONCATENATE($A4," ",F$3),'SPESE COINTESTATO'!$H:$H)*(-1)</f>
        <v>-9.7899999999999636</v>
      </c>
      <c r="G4" s="1347">
        <f>SUMIF('SPESE COINTESTATO'!$F:$F,CONCATENATE($A4," ",G$3),'SPESE COINTESTATO'!$H:$H)*(-1)</f>
        <v>35.539999999999964</v>
      </c>
      <c r="H4" s="1347">
        <f>SUMIF('SPESE COINTESTATO'!$F:$F,CONCATENATE($A4," ",H$3),'SPESE COINTESTATO'!$H:$H)*(-1)</f>
        <v>100.99000000000001</v>
      </c>
      <c r="I4" s="1347">
        <f t="shared" ref="I4:I15" si="0">SUM(B4:H4)</f>
        <v>148.57000000000002</v>
      </c>
    </row>
    <row r="5" spans="1:9" x14ac:dyDescent="0.25">
      <c r="A5" s="1343" t="s">
        <v>176</v>
      </c>
      <c r="B5" s="1347">
        <f>SUMIF('SPESE COINTESTATO'!$F:$F,CONCATENATE($A5," ",B$3),'SPESE COINTESTATO'!$H:$H)*(-1)</f>
        <v>0</v>
      </c>
      <c r="C5" s="1347">
        <f>SUMIF('SPESE COINTESTATO'!$F:$F,CONCATENATE($A5," ",C$3),'SPESE COINTESTATO'!$H:$H)*(-1)</f>
        <v>-113.96000000000004</v>
      </c>
      <c r="D5" s="1347">
        <f>SUMIF('SPESE COINTESTATO'!$F:$F,CONCATENATE($A5," ",D$3),'SPESE COINTESTATO'!$H:$H)*(-1)</f>
        <v>-29.359999999999957</v>
      </c>
      <c r="E5" s="1347">
        <f>SUMIF('SPESE COINTESTATO'!$F:$F,CONCATENATE($A5," ",E$3),'SPESE COINTESTATO'!$H:$H)*(-1)</f>
        <v>55.909999999999968</v>
      </c>
      <c r="F5" s="1347">
        <f>SUMIF('SPESE COINTESTATO'!$F:$F,CONCATENATE($A5," ",F$3),'SPESE COINTESTATO'!$H:$H)*(-1)</f>
        <v>-5.2100000000000364</v>
      </c>
      <c r="G5" s="1347">
        <f>SUMIF('SPESE COINTESTATO'!$F:$F,CONCATENATE($A5," ",G$3),'SPESE COINTESTATO'!$H:$H)*(-1)</f>
        <v>-14.649999999999977</v>
      </c>
      <c r="H5" s="1347">
        <f>SUMIF('SPESE COINTESTATO'!$F:$F,CONCATENATE($A5," ",H$3),'SPESE COINTESTATO'!$H:$H)*(-1)</f>
        <v>-179.14999999999998</v>
      </c>
      <c r="I5" s="1347">
        <f t="shared" si="0"/>
        <v>-286.42</v>
      </c>
    </row>
    <row r="6" spans="1:9" x14ac:dyDescent="0.25">
      <c r="A6" s="1343" t="s">
        <v>168</v>
      </c>
      <c r="B6" s="1347">
        <f>SUMIF('SPESE COINTESTATO'!$F:$F,CONCATENATE($A6," ",B$3),'SPESE COINTESTATO'!$H:$H)*(-1)</f>
        <v>0</v>
      </c>
      <c r="C6" s="1347">
        <f>SUMIF('SPESE COINTESTATO'!$F:$F,CONCATENATE($A6," ",C$3),'SPESE COINTESTATO'!$H:$H)*(-1)</f>
        <v>-29.029999999999973</v>
      </c>
      <c r="D6" s="1347">
        <f>SUMIF('SPESE COINTESTATO'!$F:$F,CONCATENATE($A6," ",D$3),'SPESE COINTESTATO'!$H:$H)*(-1)</f>
        <v>-316.59000000000003</v>
      </c>
      <c r="E6" s="1347">
        <f>SUMIF('SPESE COINTESTATO'!$F:$F,CONCATENATE($A6," ",E$3),'SPESE COINTESTATO'!$H:$H)*(-1)</f>
        <v>-47.790000000000077</v>
      </c>
      <c r="F6" s="1347">
        <f>SUMIF('SPESE COINTESTATO'!$F:$F,CONCATENATE($A6," ",F$3),'SPESE COINTESTATO'!$H:$H)*(-1)</f>
        <v>35.350000000000023</v>
      </c>
      <c r="G6" s="1347">
        <f>SUMIF('SPESE COINTESTATO'!$F:$F,CONCATENATE($A6," ",G$3),'SPESE COINTESTATO'!$H:$H)*(-1)</f>
        <v>60.72000000000002</v>
      </c>
      <c r="H6" s="1347">
        <f>SUMIF('SPESE COINTESTATO'!$F:$F,CONCATENATE($A6," ",H$3),'SPESE COINTESTATO'!$H:$H)*(-1)</f>
        <v>19.900000000000023</v>
      </c>
      <c r="I6" s="1347">
        <f t="shared" si="0"/>
        <v>-277.44</v>
      </c>
    </row>
    <row r="7" spans="1:9" x14ac:dyDescent="0.25">
      <c r="A7" s="1343" t="s">
        <v>159</v>
      </c>
      <c r="B7" s="1347">
        <f>SUMIF('SPESE COINTESTATO'!$F:$F,CONCATENATE($A7," ",B$3),'SPESE COINTESTATO'!$H:$H)*(-1)</f>
        <v>0</v>
      </c>
      <c r="C7" s="1347">
        <f>SUMIF('SPESE COINTESTATO'!$F:$F,CONCATENATE($A7," ",C$3),'SPESE COINTESTATO'!$H:$H)*(-1)</f>
        <v>-98.81</v>
      </c>
      <c r="D7" s="1347">
        <f>SUMIF('SPESE COINTESTATO'!$F:$F,CONCATENATE($A7," ",D$3),'SPESE COINTESTATO'!$H:$H)*(-1)</f>
        <v>-165.20999999999998</v>
      </c>
      <c r="E7" s="1347">
        <f>SUMIF('SPESE COINTESTATO'!$F:$F,CONCATENATE($A7," ",E$3),'SPESE COINTESTATO'!$H:$H)*(-1)</f>
        <v>35.850000000000023</v>
      </c>
      <c r="F7" s="1347">
        <f>SUMIF('SPESE COINTESTATO'!$F:$F,CONCATENATE($A7," ",F$3),'SPESE COINTESTATO'!$H:$H)*(-1)</f>
        <v>-29.149999999999977</v>
      </c>
      <c r="G7" s="1347">
        <f>SUMIF('SPESE COINTESTATO'!$F:$F,CONCATENATE($A7," ",G$3),'SPESE COINTESTATO'!$H:$H)*(-1)</f>
        <v>0.65999999999996817</v>
      </c>
      <c r="H7" s="1347">
        <f>SUMIF('SPESE COINTESTATO'!$F:$F,CONCATENATE($A7," ",H$3),'SPESE COINTESTATO'!$H:$H)*(-1)</f>
        <v>-179.34000000000003</v>
      </c>
      <c r="I7" s="1347">
        <f t="shared" si="0"/>
        <v>-436</v>
      </c>
    </row>
    <row r="8" spans="1:9" x14ac:dyDescent="0.25">
      <c r="A8" s="1343" t="s">
        <v>143</v>
      </c>
      <c r="B8" s="1347">
        <f>SUMIF('SPESE COINTESTATO'!$F:$F,CONCATENATE($A8," ",B$3),'SPESE COINTESTATO'!$H:$H)*(-1)</f>
        <v>0</v>
      </c>
      <c r="C8" s="1347">
        <f>SUMIF('SPESE COINTESTATO'!$F:$F,CONCATENATE($A8," ",C$3),'SPESE COINTESTATO'!$H:$H)*(-1)</f>
        <v>67.930000000000064</v>
      </c>
      <c r="D8" s="1347">
        <f>SUMIF('SPESE COINTESTATO'!$F:$F,CONCATENATE($A8," ",D$3),'SPESE COINTESTATO'!$H:$H)*(-1)</f>
        <v>-44.53000000000003</v>
      </c>
      <c r="E8" s="1347">
        <f>SUMIF('SPESE COINTESTATO'!$F:$F,CONCATENATE($A8," ",E$3),'SPESE COINTESTATO'!$H:$H)*(-1)</f>
        <v>-46.330000000000041</v>
      </c>
      <c r="F8" s="1347">
        <f>SUMIF('SPESE COINTESTATO'!$F:$F,CONCATENATE($A8," ",F$3),'SPESE COINTESTATO'!$H:$H)*(-1)</f>
        <v>45.409999999999968</v>
      </c>
      <c r="G8" s="1347">
        <f>SUMIF('SPESE COINTESTATO'!$F:$F,CONCATENATE($A8," ",G$3),'SPESE COINTESTATO'!$H:$H)*(-1)</f>
        <v>60.789999999999964</v>
      </c>
      <c r="H8" s="1347">
        <f>SUMIF('SPESE COINTESTATO'!$F:$F,CONCATENATE($A8," ",H$3),'SPESE COINTESTATO'!$H:$H)*(-1)</f>
        <v>0.78999999999996362</v>
      </c>
      <c r="I8" s="1347">
        <f t="shared" si="0"/>
        <v>84.059999999999889</v>
      </c>
    </row>
    <row r="9" spans="1:9" x14ac:dyDescent="0.25">
      <c r="A9" s="1343" t="s">
        <v>131</v>
      </c>
      <c r="B9" s="1347">
        <f>SUMIF('SPESE COINTESTATO'!$F:$F,CONCATENATE($A9," ",B$3),'SPESE COINTESTATO'!$H:$H)*(-1)</f>
        <v>0</v>
      </c>
      <c r="C9" s="1347">
        <f>SUMIF('SPESE COINTESTATO'!$F:$F,CONCATENATE($A9," ",C$3),'SPESE COINTESTATO'!$H:$H)*(-1)</f>
        <v>-65.170000000000044</v>
      </c>
      <c r="D9" s="1347">
        <f>SUMIF('SPESE COINTESTATO'!$F:$F,CONCATENATE($A9," ",D$3),'SPESE COINTESTATO'!$H:$H)*(-1)</f>
        <v>-165.40000000000003</v>
      </c>
      <c r="E9" s="1347">
        <f>SUMIF('SPESE COINTESTATO'!$F:$F,CONCATENATE($A9," ",E$3),'SPESE COINTESTATO'!$H:$H)*(-1)</f>
        <v>4.910000000000025</v>
      </c>
      <c r="F9" s="1347">
        <f>SUMIF('SPESE COINTESTATO'!$F:$F,CONCATENATE($A9," ",F$3),'SPESE COINTESTATO'!$H:$H)*(-1)</f>
        <v>45.230000000000018</v>
      </c>
      <c r="G9" s="1347">
        <f>SUMIF('SPESE COINTESTATO'!$F:$F,CONCATENATE($A9," ",G$3),'SPESE COINTESTATO'!$H:$H)*(-1)</f>
        <v>0.78999999999996362</v>
      </c>
      <c r="H9" s="1347">
        <f>SUMIF('SPESE COINTESTATO'!$F:$F,CONCATENATE($A9," ",H$3),'SPESE COINTESTATO'!$H:$H)*(-1)</f>
        <v>0.78999999999996362</v>
      </c>
      <c r="I9" s="1347">
        <f t="shared" si="0"/>
        <v>-178.85000000000011</v>
      </c>
    </row>
    <row r="10" spans="1:9" x14ac:dyDescent="0.25">
      <c r="A10" s="1343" t="s">
        <v>119</v>
      </c>
      <c r="B10" s="1347">
        <f>SUMIF('SPESE COINTESTATO'!$F:$F,CONCATENATE($A10," ",B$3),'SPESE COINTESTATO'!$H:$H)*(-1)</f>
        <v>0</v>
      </c>
      <c r="C10" s="1347">
        <f>SUMIF('SPESE COINTESTATO'!$F:$F,CONCATENATE($A10," ",C$3),'SPESE COINTESTATO'!$H:$H)*(-1)</f>
        <v>-32.57000000000005</v>
      </c>
      <c r="D10" s="1347">
        <f>SUMIF('SPESE COINTESTATO'!$F:$F,CONCATENATE($A10," ",D$3),'SPESE COINTESTATO'!$H:$H)*(-1)</f>
        <v>172.60000000000008</v>
      </c>
      <c r="E10" s="1347">
        <f>SUMIF('SPESE COINTESTATO'!$F:$F,CONCATENATE($A10," ",E$3),'SPESE COINTESTATO'!$H:$H)*(-1)</f>
        <v>4.7900000000000205</v>
      </c>
      <c r="F10" s="1347">
        <f>SUMIF('SPESE COINTESTATO'!$F:$F,CONCATENATE($A10," ",F$3),'SPESE COINTESTATO'!$H:$H)*(-1)</f>
        <v>-105.14999999999998</v>
      </c>
      <c r="G10" s="1347">
        <f>SUMIF('SPESE COINTESTATO'!$F:$F,CONCATENATE($A10," ",G$3),'SPESE COINTESTATO'!$H:$H)*(-1)</f>
        <v>-39.149999999999977</v>
      </c>
      <c r="H10" s="1347">
        <f>SUMIF('SPESE COINTESTATO'!$F:$F,CONCATENATE($A10," ",H$3),'SPESE COINTESTATO'!$H:$H)*(-1)</f>
        <v>-9.6499999999999773</v>
      </c>
      <c r="I10" s="1347">
        <f t="shared" si="0"/>
        <v>-9.1299999999998818</v>
      </c>
    </row>
    <row r="11" spans="1:9" x14ac:dyDescent="0.25">
      <c r="A11" s="1343" t="s">
        <v>80</v>
      </c>
      <c r="B11" s="1347">
        <f>SUMIF('SPESE COINTESTATO'!$F:$F,CONCATENATE($A11," ",B$3),'SPESE COINTESTATO'!$H:$H)*(-1)</f>
        <v>0</v>
      </c>
      <c r="C11" s="1347">
        <f>SUMIF('SPESE COINTESTATO'!$F:$F,CONCATENATE($A11," ",C$3),'SPESE COINTESTATO'!$H:$H)*(-1)</f>
        <v>-185.34000000000003</v>
      </c>
      <c r="D11" s="1347">
        <f>SUMIF('SPESE COINTESTATO'!$F:$F,CONCATENATE($A11," ",D$3),'SPESE COINTESTATO'!$H:$H)*(-1)</f>
        <v>4.8499999999999659</v>
      </c>
      <c r="E11" s="1347">
        <f>SUMIF('SPESE COINTESTATO'!$F:$F,CONCATENATE($A11," ",E$3),'SPESE COINTESTATO'!$H:$H)*(-1)</f>
        <v>4.4799999999999613</v>
      </c>
      <c r="F11" s="1347">
        <f>SUMIF('SPESE COINTESTATO'!$F:$F,CONCATENATE($A11," ",F$3),'SPESE COINTESTATO'!$H:$H)*(-1)</f>
        <v>45.289999999999964</v>
      </c>
      <c r="G11" s="1347">
        <f>SUMIF('SPESE COINTESTATO'!$F:$F,CONCATENATE($A11," ",G$3),'SPESE COINTESTATO'!$H:$H)*(-1)</f>
        <v>60.850000000000023</v>
      </c>
      <c r="H11" s="1347">
        <f>SUMIF('SPESE COINTESTATO'!$F:$F,CONCATENATE($A11," ",H$3),'SPESE COINTESTATO'!$H:$H)*(-1)</f>
        <v>60.850000000000023</v>
      </c>
      <c r="I11" s="1347">
        <f t="shared" si="0"/>
        <v>-9.0200000000000955</v>
      </c>
    </row>
    <row r="12" spans="1:9" x14ac:dyDescent="0.25">
      <c r="A12" s="1343" t="s">
        <v>68</v>
      </c>
      <c r="B12" s="1347">
        <f>SUMIF('SPESE COINTESTATO'!$F:$F,CONCATENATE($A12," ",B$3),'SPESE COINTESTATO'!$H:$H)*(-1)</f>
        <v>0</v>
      </c>
      <c r="C12" s="1347">
        <f>SUMIF('SPESE COINTESTATO'!$F:$F,CONCATENATE($A12," ",C$3),'SPESE COINTESTATO'!$H:$H)*(-1)</f>
        <v>17.930000000000021</v>
      </c>
      <c r="D12" s="1347">
        <f>SUMIF('SPESE COINTESTATO'!$F:$F,CONCATENATE($A12," ",D$3),'SPESE COINTESTATO'!$H:$H)*(-1)</f>
        <v>4.910000000000025</v>
      </c>
      <c r="E12" s="1347">
        <f>SUMIF('SPESE COINTESTATO'!$F:$F,CONCATENATE($A12," ",E$3),'SPESE COINTESTATO'!$H:$H)*(-1)</f>
        <v>4.7900000000000205</v>
      </c>
      <c r="F12" s="1347">
        <f>SUMIF('SPESE COINTESTATO'!$F:$F,CONCATENATE($A12," ",F$3),'SPESE COINTESTATO'!$H:$H)*(-1)</f>
        <v>45.350000000000023</v>
      </c>
      <c r="G12" s="1347">
        <f>SUMIF('SPESE COINTESTATO'!$F:$F,CONCATENATE($A12," ",G$3),'SPESE COINTESTATO'!$H:$H)*(-1)</f>
        <v>-39.149999999999977</v>
      </c>
      <c r="H12" s="1347">
        <f>SUMIF('SPESE COINTESTATO'!$F:$F,CONCATENATE($A12," ",H$3),'SPESE COINTESTATO'!$H:$H)*(-1)</f>
        <v>60.850000000000023</v>
      </c>
      <c r="I12" s="1347">
        <f t="shared" si="0"/>
        <v>94.680000000000135</v>
      </c>
    </row>
    <row r="13" spans="1:9" x14ac:dyDescent="0.25">
      <c r="A13" s="1343" t="s">
        <v>215</v>
      </c>
      <c r="B13" s="1347">
        <f>SUMIF('SPESE COINTESTATO'!$F:$F,CONCATENATE($A13," ",B$3),'SPESE COINTESTATO'!$H:$H)*(-1)</f>
        <v>-0.56000000000000005</v>
      </c>
      <c r="C13" s="1347">
        <f>SUMIF('SPESE COINTESTATO'!$F:$F,CONCATENATE($A13," ",C$3),'SPESE COINTESTATO'!$H:$H)*(-1)</f>
        <v>-90.280000000000044</v>
      </c>
      <c r="D13" s="1347">
        <f>SUMIF('SPESE COINTESTATO'!$F:$F,CONCATENATE($A13," ",D$3),'SPESE COINTESTATO'!$H:$H)*(-1)</f>
        <v>4.7900000000000205</v>
      </c>
      <c r="E13" s="1347">
        <f>SUMIF('SPESE COINTESTATO'!$F:$F,CONCATENATE($A13," ",E$3),'SPESE COINTESTATO'!$H:$H)*(-1)</f>
        <v>4.7299999999999613</v>
      </c>
      <c r="F13" s="1347">
        <f>SUMIF('SPESE COINTESTATO'!$F:$F,CONCATENATE($A13," ",F$3),'SPESE COINTESTATO'!$H:$H)*(-1)</f>
        <v>45.350000000000023</v>
      </c>
      <c r="G13" s="1347">
        <f>SUMIF('SPESE COINTESTATO'!$F:$F,CONCATENATE($A13," ",G$3),'SPESE COINTESTATO'!$H:$H)*(-1)</f>
        <v>90.909999999999968</v>
      </c>
      <c r="H13" s="1347">
        <f>SUMIF('SPESE COINTESTATO'!$F:$F,CONCATENATE($A13," ",H$3),'SPESE COINTESTATO'!$H:$H)*(-1)</f>
        <v>60.850000000000023</v>
      </c>
      <c r="I13" s="1347">
        <f t="shared" si="0"/>
        <v>115.78999999999995</v>
      </c>
    </row>
    <row r="14" spans="1:9" x14ac:dyDescent="0.25">
      <c r="A14" s="1343" t="s">
        <v>207</v>
      </c>
      <c r="B14" s="1347">
        <f>SUMIF('SPESE COINTESTATO'!$F:$F,CONCATENATE($A14," ",B$3),'SPESE COINTESTATO'!$H:$H)*(-1)</f>
        <v>4842.3699999999953</v>
      </c>
      <c r="C14" s="1347">
        <f>SUMIF('SPESE COINTESTATO'!$F:$F,CONCATENATE($A14," ",C$3),'SPESE COINTESTATO'!$H:$H)*(-1)</f>
        <v>17.930000000000021</v>
      </c>
      <c r="D14" s="1347">
        <f>SUMIF('SPESE COINTESTATO'!$F:$F,CONCATENATE($A14," ",D$3),'SPESE COINTESTATO'!$H:$H)*(-1)</f>
        <v>4.7900000000000205</v>
      </c>
      <c r="E14" s="1347">
        <f>SUMIF('SPESE COINTESTATO'!$F:$F,CONCATENATE($A14," ",E$3),'SPESE COINTESTATO'!$H:$H)*(-1)</f>
        <v>-248.31</v>
      </c>
      <c r="F14" s="1347">
        <f>SUMIF('SPESE COINTESTATO'!$F:$F,CONCATENATE($A14," ",F$3),'SPESE COINTESTATO'!$H:$H)*(-1)</f>
        <v>45.159999999999968</v>
      </c>
      <c r="G14" s="1347">
        <f>SUMIF('SPESE COINTESTATO'!$F:$F,CONCATENATE($A14," ",G$3),'SPESE COINTESTATO'!$H:$H)*(-1)</f>
        <v>20.850000000000023</v>
      </c>
      <c r="H14" s="1347">
        <f>SUMIF('SPESE COINTESTATO'!$F:$F,CONCATENATE($A14," ",H$3),'SPESE COINTESTATO'!$H:$H)*(-1)</f>
        <v>60.850000000000023</v>
      </c>
      <c r="I14" s="1347">
        <f t="shared" si="0"/>
        <v>4743.6399999999958</v>
      </c>
    </row>
    <row r="15" spans="1:9" x14ac:dyDescent="0.25">
      <c r="A15" s="1343" t="s">
        <v>188</v>
      </c>
      <c r="B15" s="1347">
        <f>SUMIF('SPESE COINTESTATO'!$F:$F,CONCATENATE($A15," ",B$3),'SPESE COINTESTATO'!$H:$H)*(-1)</f>
        <v>-4435.5599999999995</v>
      </c>
      <c r="C15" s="1347">
        <f>SUMIF('SPESE COINTESTATO'!$F:$F,CONCATENATE($A15," ",C$3),'SPESE COINTESTATO'!$H:$H)*(-1)</f>
        <v>596.97</v>
      </c>
      <c r="D15" s="1347">
        <f>SUMIF('SPESE COINTESTATO'!$F:$F,CONCATENATE($A15," ",D$3),'SPESE COINTESTATO'!$H:$H)*(-1)</f>
        <v>31.569999999999993</v>
      </c>
      <c r="E15" s="1347">
        <f>SUMIF('SPESE COINTESTATO'!$F:$F,CONCATENATE($A15," ",E$3),'SPESE COINTESTATO'!$H:$H)*(-1)</f>
        <v>234.79000000000002</v>
      </c>
      <c r="F15" s="1347">
        <f>SUMIF('SPESE COINTESTATO'!$F:$F,CONCATENATE($A15," ",F$3),'SPESE COINTESTATO'!$H:$H)*(-1)</f>
        <v>-182.68999999999994</v>
      </c>
      <c r="G15" s="1347">
        <f>SUMIF('SPESE COINTESTATO'!$F:$F,CONCATENATE($A15," ",G$3),'SPESE COINTESTATO'!$H:$H)*(-1)</f>
        <v>-151.88</v>
      </c>
      <c r="H15" s="1347">
        <f>SUMIF('SPESE COINTESTATO'!$F:$F,CONCATENATE($A15," ",H$3),'SPESE COINTESTATO'!$H:$H)*(-1)</f>
        <v>-192.30999999999995</v>
      </c>
      <c r="I15" s="1347">
        <f t="shared" si="0"/>
        <v>-4099.1099999999988</v>
      </c>
    </row>
    <row r="16" spans="1:9" x14ac:dyDescent="0.25">
      <c r="A16" s="1352" t="s">
        <v>397</v>
      </c>
      <c r="B16" s="1353">
        <f t="shared" ref="B16:I16" si="1">SUM(B4:B15)</f>
        <v>406.24999999999545</v>
      </c>
      <c r="C16" s="1353">
        <f t="shared" si="1"/>
        <v>207.62999999999994</v>
      </c>
      <c r="D16" s="1353">
        <f t="shared" si="1"/>
        <v>-549.3900000000001</v>
      </c>
      <c r="E16" s="1353">
        <f t="shared" si="1"/>
        <v>-40.570000000000107</v>
      </c>
      <c r="F16" s="1353">
        <f t="shared" si="1"/>
        <v>-24.849999999999909</v>
      </c>
      <c r="G16" s="1353">
        <f t="shared" si="1"/>
        <v>86.279999999999973</v>
      </c>
      <c r="H16" s="1353">
        <f t="shared" si="1"/>
        <v>-194.57999999999987</v>
      </c>
      <c r="I16" s="1353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 x14ac:dyDescent="0.25"/>
  <cols>
    <col min="1" max="1" width="34.28515625" customWidth="1"/>
    <col min="2" max="8" width="15.28515625" customWidth="1"/>
  </cols>
  <sheetData>
    <row r="1" spans="1:8" ht="18.75" x14ac:dyDescent="0.3">
      <c r="A1" s="1351" t="s">
        <v>1218</v>
      </c>
    </row>
    <row r="3" spans="1:8" x14ac:dyDescent="0.25">
      <c r="A3" s="1376" t="s">
        <v>384</v>
      </c>
      <c r="B3" s="1378">
        <v>2020</v>
      </c>
      <c r="C3" s="1378">
        <v>2021</v>
      </c>
      <c r="D3" s="1378">
        <v>2022</v>
      </c>
      <c r="E3" s="1378">
        <v>2023</v>
      </c>
      <c r="F3" s="1378">
        <v>2024</v>
      </c>
      <c r="G3" s="1378">
        <v>2025</v>
      </c>
      <c r="H3" s="1380">
        <v>2026</v>
      </c>
    </row>
    <row r="4" spans="1:8" x14ac:dyDescent="0.25">
      <c r="A4" s="1389" t="s">
        <v>385</v>
      </c>
      <c r="B4" s="1347">
        <f>BILANCIO!K41</f>
        <v>6.333333333333333</v>
      </c>
      <c r="C4" s="1347">
        <f>BILANCIO!L41</f>
        <v>5.75</v>
      </c>
      <c r="D4" s="1347">
        <f>BILANCIO!M41</f>
        <v>4.916666666666667</v>
      </c>
      <c r="E4" s="1347">
        <f>BILANCIO!N41</f>
        <v>3.6658333333333335</v>
      </c>
      <c r="F4" s="1347">
        <f>BILANCIO!O41</f>
        <v>3.999166666666667</v>
      </c>
      <c r="G4" s="1347">
        <f>BILANCIO!P41</f>
        <v>3.9158333333333335</v>
      </c>
      <c r="H4" s="1381">
        <f>BILANCIO!Q41</f>
        <v>3.9158333333333335</v>
      </c>
    </row>
    <row r="5" spans="1:8" x14ac:dyDescent="0.25">
      <c r="A5" s="1389" t="s">
        <v>393</v>
      </c>
      <c r="B5" s="1347">
        <f>BILANCIO!K46</f>
        <v>5.748333333333334</v>
      </c>
      <c r="C5" s="1347">
        <f>BILANCIO!L46</f>
        <v>4.9991666666666665</v>
      </c>
      <c r="D5" s="1347">
        <f>BILANCIO!M46</f>
        <v>0</v>
      </c>
      <c r="E5" s="1347">
        <f>BILANCIO!N46</f>
        <v>0</v>
      </c>
      <c r="F5" s="1347">
        <f>BILANCIO!O46</f>
        <v>14.740833333333335</v>
      </c>
      <c r="G5" s="1347">
        <f>BILANCIO!P46</f>
        <v>13.4925</v>
      </c>
      <c r="H5" s="1381">
        <f>BILANCIO!Q46</f>
        <v>0</v>
      </c>
    </row>
    <row r="6" spans="1:8" x14ac:dyDescent="0.25">
      <c r="A6" s="1389" t="s">
        <v>35</v>
      </c>
      <c r="B6" s="1347">
        <f>BILANCIO!K50</f>
        <v>3.4158333333333335</v>
      </c>
      <c r="C6" s="1347">
        <f>BILANCIO!L50</f>
        <v>3.831666666666667</v>
      </c>
      <c r="D6" s="1347">
        <f>BILANCIO!M50</f>
        <v>4.5741666666666667</v>
      </c>
      <c r="E6" s="1347">
        <f>BILANCIO!N50</f>
        <v>4.1583333333333332</v>
      </c>
      <c r="F6" s="1347">
        <f>BILANCIO!O50</f>
        <v>4.1583333333333332</v>
      </c>
      <c r="G6" s="1347">
        <f>BILANCIO!P50</f>
        <v>4.1583333333333332</v>
      </c>
      <c r="H6" s="1381">
        <f>BILANCIO!Q50</f>
        <v>4.1583333333333332</v>
      </c>
    </row>
    <row r="7" spans="1:8" x14ac:dyDescent="0.25">
      <c r="A7" s="1379" t="s">
        <v>397</v>
      </c>
      <c r="B7" s="1377">
        <f t="shared" ref="B7:H7" si="0">SUM(B4:B6)</f>
        <v>15.4975</v>
      </c>
      <c r="C7" s="1377">
        <f t="shared" si="0"/>
        <v>14.580833333333334</v>
      </c>
      <c r="D7" s="1377">
        <f t="shared" si="0"/>
        <v>9.4908333333333346</v>
      </c>
      <c r="E7" s="1377">
        <f t="shared" si="0"/>
        <v>7.8241666666666667</v>
      </c>
      <c r="F7" s="1377">
        <f t="shared" si="0"/>
        <v>22.898333333333333</v>
      </c>
      <c r="G7" s="1377">
        <f t="shared" si="0"/>
        <v>21.566666666666663</v>
      </c>
      <c r="H7" s="1382">
        <f t="shared" si="0"/>
        <v>8.0741666666666667</v>
      </c>
    </row>
    <row r="9" spans="1:8" x14ac:dyDescent="0.25">
      <c r="A9" s="1376" t="s">
        <v>407</v>
      </c>
      <c r="B9" s="1378">
        <v>2020</v>
      </c>
      <c r="C9" s="1378">
        <v>2021</v>
      </c>
      <c r="D9" s="1378">
        <v>2022</v>
      </c>
      <c r="E9" s="1378">
        <v>2023</v>
      </c>
      <c r="F9" s="1378">
        <v>2024</v>
      </c>
      <c r="G9" s="1378">
        <v>2025</v>
      </c>
      <c r="H9" s="1380">
        <v>2026</v>
      </c>
    </row>
    <row r="10" spans="1:8" x14ac:dyDescent="0.25">
      <c r="A10" s="1389" t="s">
        <v>28</v>
      </c>
      <c r="B10" s="1347">
        <f>BILANCIO!K42</f>
        <v>5.8250000000000002</v>
      </c>
      <c r="C10" s="1347">
        <f>BILANCIO!L42</f>
        <v>1.7474999999999998</v>
      </c>
      <c r="D10" s="1347">
        <f>BILANCIO!M42</f>
        <v>0</v>
      </c>
      <c r="E10" s="1347">
        <f>BILANCIO!N42</f>
        <v>0</v>
      </c>
      <c r="F10" s="1347">
        <f>BILANCIO!O42</f>
        <v>0</v>
      </c>
      <c r="G10" s="1347">
        <f>BILANCIO!P42</f>
        <v>1.3333333333333333</v>
      </c>
      <c r="H10" s="1381">
        <f>BILANCIO!Q42</f>
        <v>8</v>
      </c>
    </row>
    <row r="11" spans="1:8" x14ac:dyDescent="0.25">
      <c r="A11" s="1389" t="s">
        <v>29</v>
      </c>
      <c r="B11" s="1347">
        <f>BILANCIO!K43</f>
        <v>15.990000000000002</v>
      </c>
      <c r="C11" s="1347">
        <f>BILANCIO!L43</f>
        <v>13.324166666666668</v>
      </c>
      <c r="D11" s="1347">
        <f>BILANCIO!M43</f>
        <v>7.9899999999999993</v>
      </c>
      <c r="E11" s="1347">
        <f>BILANCIO!N43</f>
        <v>7.9899999999999993</v>
      </c>
      <c r="F11" s="1347">
        <f>BILANCIO!O43</f>
        <v>8.1566666666666663</v>
      </c>
      <c r="G11" s="1347">
        <f>BILANCIO!P43</f>
        <v>6.9899999999999993</v>
      </c>
      <c r="H11" s="1381">
        <f>BILANCIO!Q43</f>
        <v>6.9899999999999993</v>
      </c>
    </row>
    <row r="12" spans="1:8" x14ac:dyDescent="0.25">
      <c r="A12" s="1389" t="s">
        <v>30</v>
      </c>
      <c r="B12" s="1347">
        <f>BILANCIO!K44</f>
        <v>4.9950000000000001</v>
      </c>
      <c r="C12" s="1347">
        <f>BILANCIO!L44</f>
        <v>10.825000000000001</v>
      </c>
      <c r="D12" s="1347">
        <f>BILANCIO!M44</f>
        <v>8.3291666666666657</v>
      </c>
      <c r="E12" s="1347">
        <f>BILANCIO!N44</f>
        <v>0</v>
      </c>
      <c r="F12" s="1347">
        <f>BILANCIO!O44</f>
        <v>0.4991666666666667</v>
      </c>
      <c r="G12" s="1347">
        <f>BILANCIO!P44</f>
        <v>5.4108333333333336</v>
      </c>
      <c r="H12" s="1381">
        <f>BILANCIO!Q44</f>
        <v>0</v>
      </c>
    </row>
    <row r="13" spans="1:8" x14ac:dyDescent="0.25">
      <c r="A13" s="1389" t="s">
        <v>31</v>
      </c>
      <c r="B13" s="1347">
        <f>BILANCIO!K45</f>
        <v>4.9983333333333331</v>
      </c>
      <c r="C13" s="1347">
        <f>BILANCIO!L45</f>
        <v>22.489166666666673</v>
      </c>
      <c r="D13" s="1347">
        <f>BILANCIO!M45</f>
        <v>19.990000000000002</v>
      </c>
      <c r="E13" s="1347">
        <f>BILANCIO!N45</f>
        <v>19.990000000000002</v>
      </c>
      <c r="F13" s="1347">
        <f>BILANCIO!O45</f>
        <v>24.99</v>
      </c>
      <c r="G13" s="1347">
        <f>BILANCIO!P45</f>
        <v>29.830000000000002</v>
      </c>
      <c r="H13" s="1381">
        <f>BILANCIO!Q45</f>
        <v>29.990000000000006</v>
      </c>
    </row>
    <row r="14" spans="1:8" x14ac:dyDescent="0.25">
      <c r="A14" s="1389" t="s">
        <v>33</v>
      </c>
      <c r="B14" s="1347">
        <f>BILANCIO!K47</f>
        <v>9.9899999999999984</v>
      </c>
      <c r="C14" s="1347">
        <f>BILANCIO!L47</f>
        <v>9.9899999999999984</v>
      </c>
      <c r="D14" s="1347">
        <f>BILANCIO!M47</f>
        <v>9.9899999999999984</v>
      </c>
      <c r="E14" s="1347">
        <f>BILANCIO!N47</f>
        <v>10.323333333333332</v>
      </c>
      <c r="F14" s="1347">
        <f>BILANCIO!O47</f>
        <v>10.074166666666665</v>
      </c>
      <c r="G14" s="1347">
        <f>BILANCIO!P47</f>
        <v>11.239999999999997</v>
      </c>
      <c r="H14" s="1381">
        <f>BILANCIO!Q47</f>
        <v>11.99</v>
      </c>
    </row>
    <row r="15" spans="1:8" x14ac:dyDescent="0.25">
      <c r="A15" s="1379" t="s">
        <v>397</v>
      </c>
      <c r="B15" s="1377">
        <f t="shared" ref="B15:H15" si="1">SUM(B10:B14)</f>
        <v>41.798333333333332</v>
      </c>
      <c r="C15" s="1377">
        <f t="shared" si="1"/>
        <v>58.375833333333333</v>
      </c>
      <c r="D15" s="1377">
        <f t="shared" si="1"/>
        <v>46.299166666666665</v>
      </c>
      <c r="E15" s="1377">
        <f t="shared" si="1"/>
        <v>38.303333333333335</v>
      </c>
      <c r="F15" s="1377">
        <f t="shared" si="1"/>
        <v>43.719999999999992</v>
      </c>
      <c r="G15" s="1377">
        <f t="shared" si="1"/>
        <v>54.80416666666666</v>
      </c>
      <c r="H15" s="1382">
        <f t="shared" si="1"/>
        <v>56.970000000000006</v>
      </c>
    </row>
    <row r="17" spans="1:8" x14ac:dyDescent="0.25">
      <c r="A17" s="1376" t="s">
        <v>782</v>
      </c>
      <c r="B17" s="1378">
        <v>2020</v>
      </c>
      <c r="C17" s="1378">
        <v>2021</v>
      </c>
      <c r="D17" s="1378">
        <v>2022</v>
      </c>
      <c r="E17" s="1378">
        <v>2023</v>
      </c>
      <c r="F17" s="1378">
        <v>2024</v>
      </c>
      <c r="G17" s="1378">
        <v>2025</v>
      </c>
      <c r="H17" s="1380">
        <v>2026</v>
      </c>
    </row>
    <row r="18" spans="1:8" x14ac:dyDescent="0.25">
      <c r="A18" s="1389" t="s">
        <v>34</v>
      </c>
      <c r="B18" s="1347">
        <f>BILANCIO!C48/12</f>
        <v>38.131666666666668</v>
      </c>
      <c r="C18" s="1347">
        <f>BILANCIO!D48/12</f>
        <v>25.638333333333332</v>
      </c>
      <c r="D18" s="1347">
        <f>BILANCIO!E48/12</f>
        <v>14.655833333333334</v>
      </c>
      <c r="E18" s="1347">
        <f>BILANCIO!F48/12</f>
        <v>14.074166666666665</v>
      </c>
      <c r="F18" s="1347">
        <f>BILANCIO!G48/12</f>
        <v>14.573333333333336</v>
      </c>
      <c r="G18" s="1347">
        <f>BILANCIO!H48/12</f>
        <v>14.990000000000002</v>
      </c>
      <c r="H18" s="1381">
        <f>BILANCIO!I48/12</f>
        <v>13.989166666666668</v>
      </c>
    </row>
    <row r="19" spans="1:8" x14ac:dyDescent="0.25">
      <c r="A19" s="1389" t="s">
        <v>1220</v>
      </c>
      <c r="B19" s="1347">
        <f>BILANCIO!K49</f>
        <v>0</v>
      </c>
      <c r="C19" s="1347">
        <f>BILANCIO!L49</f>
        <v>8.3249999999999993</v>
      </c>
      <c r="D19" s="1347">
        <f>BILANCIO!M49</f>
        <v>9.9899999999999984</v>
      </c>
      <c r="E19" s="1347">
        <f>BILANCIO!N49</f>
        <v>9.9899999999999984</v>
      </c>
      <c r="F19" s="1347">
        <f>BILANCIO!O49</f>
        <v>9.9899999999999984</v>
      </c>
      <c r="G19" s="1347">
        <f>BILANCIO!P49</f>
        <v>9.9899999999999984</v>
      </c>
      <c r="H19" s="1381">
        <f>BILANCIO!Q49</f>
        <v>9.9899999999999984</v>
      </c>
    </row>
    <row r="20" spans="1:8" x14ac:dyDescent="0.25">
      <c r="A20" s="1379" t="s">
        <v>397</v>
      </c>
      <c r="B20" s="1377">
        <f t="shared" ref="B20:H20" si="2">SUM(B18:B19)</f>
        <v>38.131666666666668</v>
      </c>
      <c r="C20" s="1377">
        <f t="shared" si="2"/>
        <v>33.963333333333331</v>
      </c>
      <c r="D20" s="1377">
        <f t="shared" si="2"/>
        <v>24.645833333333332</v>
      </c>
      <c r="E20" s="1377">
        <f t="shared" si="2"/>
        <v>24.064166666666665</v>
      </c>
      <c r="F20" s="1377">
        <f t="shared" si="2"/>
        <v>24.563333333333333</v>
      </c>
      <c r="G20" s="1377">
        <f t="shared" si="2"/>
        <v>24.98</v>
      </c>
      <c r="H20" s="1382">
        <f t="shared" si="2"/>
        <v>23.979166666666664</v>
      </c>
    </row>
    <row r="22" spans="1:8" x14ac:dyDescent="0.25">
      <c r="A22" s="1385" t="s">
        <v>1219</v>
      </c>
      <c r="B22" s="1384">
        <v>2020</v>
      </c>
      <c r="C22" s="1384">
        <v>2021</v>
      </c>
      <c r="D22" s="1384">
        <v>2022</v>
      </c>
      <c r="E22" s="1384">
        <v>2023</v>
      </c>
      <c r="F22" s="1384">
        <v>2024</v>
      </c>
      <c r="G22" s="1384">
        <v>2025</v>
      </c>
      <c r="H22" s="1387">
        <v>2026</v>
      </c>
    </row>
    <row r="23" spans="1:8" x14ac:dyDescent="0.25">
      <c r="A23" s="1386" t="s">
        <v>397</v>
      </c>
      <c r="B23" s="1383">
        <f t="shared" ref="B23:H23" si="3">B7+B15+B20</f>
        <v>95.427500000000009</v>
      </c>
      <c r="C23" s="1383">
        <f t="shared" si="3"/>
        <v>106.91999999999999</v>
      </c>
      <c r="D23" s="1383">
        <f t="shared" si="3"/>
        <v>80.435833333333335</v>
      </c>
      <c r="E23" s="1383">
        <f t="shared" si="3"/>
        <v>70.191666666666663</v>
      </c>
      <c r="F23" s="1383">
        <f t="shared" si="3"/>
        <v>91.181666666666658</v>
      </c>
      <c r="G23" s="1383">
        <f t="shared" si="3"/>
        <v>101.35083333333333</v>
      </c>
      <c r="H23" s="1388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23</vt:i4>
      </vt:variant>
      <vt:variant>
        <vt:lpstr>Intervalli denominati</vt:lpstr>
      </vt:variant>
      <vt:variant>
        <vt:i4>4</vt:i4>
      </vt:variant>
    </vt:vector>
  </HeadingPairs>
  <TitlesOfParts>
    <vt:vector size="27" baseType="lpstr"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Valutazione Spese e Risparmi</vt:lpstr>
      <vt:lpstr>Analisi Spese Generiche Conto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Abbonamenti Mensili</vt:lpstr>
      <vt:lpstr>DATA</vt:lpstr>
      <vt:lpstr>DettagliospesegenericheBA</vt:lpstr>
      <vt:lpstr>DettagliospesegenericheCC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2026-03-23T07:47:18Z</dcterms:modified>
  <cp:category/>
  <cp:contentStatus/>
</cp:coreProperties>
</file>